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Documents\GitHub\Catalogo\"/>
    </mc:Choice>
  </mc:AlternateContent>
  <bookViews>
    <workbookView xWindow="0" yWindow="0" windowWidth="15345" windowHeight="4185" firstSheet="1" activeTab="5"/>
  </bookViews>
  <sheets>
    <sheet name="JULIO-2026" sheetId="1" r:id="rId1"/>
    <sheet name="JUNIO-2026" sheetId="2" r:id="rId2"/>
    <sheet name="MAYO - 2026" sheetId="3" r:id="rId3"/>
    <sheet name="ABRIL-2026" sheetId="4" r:id="rId4"/>
    <sheet name="MARZO.2026" sheetId="5" r:id="rId5"/>
    <sheet name="FEBRERO-2026" sheetId="6" r:id="rId6"/>
    <sheet name="CUENTAS EDIFICIO + ADMT-2023" sheetId="9" state="hidden" r:id="rId7"/>
  </sheets>
  <externalReferences>
    <externalReference r:id="rId8"/>
  </externalReferences>
  <calcPr calcId="162913"/>
  <extLst>
    <ext uri="GoogleSheetsCustomDataVersion2">
      <go:sheetsCustomData xmlns:go="http://customooxmlschemas.google.com/" r:id="rId13" roundtripDataChecksum="nPX9sJrvLg4kxn/TWvX0i2PjMQs1A2AV9ku/OiZZCeo="/>
    </ext>
  </extLst>
</workbook>
</file>

<file path=xl/calcChain.xml><?xml version="1.0" encoding="utf-8"?>
<calcChain xmlns="http://schemas.openxmlformats.org/spreadsheetml/2006/main">
  <c r="F116" i="9" l="1"/>
  <c r="G116" i="9" s="1"/>
  <c r="F115" i="9"/>
  <c r="G115" i="9" s="1"/>
  <c r="F114" i="9"/>
  <c r="G114" i="9" s="1"/>
  <c r="F113" i="9"/>
  <c r="G113" i="9" s="1"/>
  <c r="F112" i="9"/>
  <c r="G112" i="9" s="1"/>
  <c r="F111" i="9"/>
  <c r="G111" i="9" s="1"/>
  <c r="F110" i="9"/>
  <c r="G110" i="9" s="1"/>
  <c r="F109" i="9"/>
  <c r="G109" i="9" s="1"/>
  <c r="F108" i="9"/>
  <c r="G108" i="9" s="1"/>
  <c r="F107" i="9"/>
  <c r="G107" i="9" s="1"/>
  <c r="F106" i="9"/>
  <c r="G106" i="9" s="1"/>
  <c r="F105" i="9"/>
  <c r="E104" i="9" s="1"/>
  <c r="L104" i="9"/>
  <c r="K104" i="9"/>
  <c r="M104" i="9" s="1"/>
  <c r="G103" i="9"/>
  <c r="K12" i="9"/>
  <c r="K11" i="9"/>
  <c r="K10" i="9"/>
  <c r="J1" i="9"/>
  <c r="I1" i="9"/>
  <c r="H1" i="9"/>
  <c r="G1" i="9"/>
  <c r="F1" i="9"/>
  <c r="L1" i="9" s="1"/>
  <c r="M1" i="9" s="1"/>
  <c r="E1" i="9"/>
  <c r="D77" i="6"/>
  <c r="D74" i="6"/>
  <c r="G70" i="6"/>
  <c r="G68" i="6"/>
  <c r="G65" i="6"/>
  <c r="G62" i="6"/>
  <c r="G58" i="6"/>
  <c r="G55" i="6"/>
  <c r="G51" i="6"/>
  <c r="E49" i="6"/>
  <c r="G35" i="6"/>
  <c r="G30" i="6"/>
  <c r="G27" i="6"/>
  <c r="G17" i="6"/>
  <c r="I17" i="6" s="1"/>
  <c r="G11" i="6"/>
  <c r="G6" i="6"/>
  <c r="E2" i="6"/>
  <c r="D2" i="6"/>
  <c r="F2" i="6" s="1"/>
  <c r="D76" i="5"/>
  <c r="G72" i="5"/>
  <c r="G69" i="5"/>
  <c r="G64" i="5"/>
  <c r="G61" i="5"/>
  <c r="G57" i="5"/>
  <c r="G41" i="5"/>
  <c r="G36" i="5"/>
  <c r="G33" i="5"/>
  <c r="G22" i="5"/>
  <c r="I22" i="5" s="1"/>
  <c r="G10" i="5"/>
  <c r="G6" i="5"/>
  <c r="E2" i="5"/>
  <c r="D2" i="5"/>
  <c r="F2" i="5" s="1"/>
  <c r="D78" i="4"/>
  <c r="G74" i="4"/>
  <c r="G68" i="4"/>
  <c r="G59" i="4"/>
  <c r="G56" i="4"/>
  <c r="G53" i="4"/>
  <c r="G38" i="4"/>
  <c r="G33" i="4"/>
  <c r="G30" i="4"/>
  <c r="G18" i="4"/>
  <c r="I18" i="4" s="1"/>
  <c r="G11" i="4"/>
  <c r="G6" i="4"/>
  <c r="E2" i="4"/>
  <c r="D2" i="4"/>
  <c r="F2" i="4" s="1"/>
  <c r="D76" i="3"/>
  <c r="G68" i="3"/>
  <c r="G63" i="3"/>
  <c r="G57" i="3"/>
  <c r="G54" i="3"/>
  <c r="J52" i="3"/>
  <c r="G51" i="3"/>
  <c r="G38" i="3"/>
  <c r="G33" i="3"/>
  <c r="G30" i="3"/>
  <c r="I18" i="3"/>
  <c r="G18" i="3"/>
  <c r="G11" i="3"/>
  <c r="G6" i="3"/>
  <c r="E2" i="3"/>
  <c r="D2" i="3"/>
  <c r="F2" i="3" s="1"/>
  <c r="G72" i="2"/>
  <c r="G67" i="2"/>
  <c r="G63" i="2"/>
  <c r="G60" i="2"/>
  <c r="J58" i="2"/>
  <c r="J59" i="2" s="1"/>
  <c r="G57" i="2"/>
  <c r="H43" i="2"/>
  <c r="G42" i="2"/>
  <c r="H38" i="2"/>
  <c r="G37" i="2"/>
  <c r="G34" i="2"/>
  <c r="G22" i="2"/>
  <c r="I22" i="2" s="1"/>
  <c r="G15" i="2"/>
  <c r="G11" i="2"/>
  <c r="G6" i="2"/>
  <c r="F2" i="2"/>
  <c r="E2" i="2"/>
  <c r="D2" i="2"/>
  <c r="G76" i="1"/>
  <c r="G71" i="1"/>
  <c r="G59" i="1"/>
  <c r="H57" i="1"/>
  <c r="G56" i="1"/>
  <c r="J55" i="1"/>
  <c r="J54" i="1"/>
  <c r="G53" i="1"/>
  <c r="G42" i="1"/>
  <c r="H43" i="1" s="1"/>
  <c r="H38" i="1"/>
  <c r="G37" i="1"/>
  <c r="G34" i="1"/>
  <c r="I22" i="1"/>
  <c r="G22" i="1"/>
  <c r="G15" i="1"/>
  <c r="G10" i="1"/>
  <c r="G6" i="1"/>
  <c r="E2" i="1"/>
  <c r="D2" i="1"/>
  <c r="F2" i="1" s="1"/>
  <c r="G105" i="9" l="1"/>
  <c r="K1" i="9"/>
</calcChain>
</file>

<file path=xl/sharedStrings.xml><?xml version="1.0" encoding="utf-8"?>
<sst xmlns="http://schemas.openxmlformats.org/spreadsheetml/2006/main" count="542" uniqueCount="359">
  <si>
    <t>SALDO</t>
  </si>
  <si>
    <r>
      <rPr>
        <b/>
        <sz val="14"/>
        <color theme="1"/>
        <rFont val="Calibri"/>
      </rPr>
      <t xml:space="preserve">MOVIMIENTOS CONTABLES - INGRESOS Y EGRESOS : JULIO- </t>
    </r>
    <r>
      <rPr>
        <b/>
        <sz val="14"/>
        <color rgb="FF2E75B5"/>
        <rFont val="Arial Black"/>
      </rPr>
      <t>$1.186.750(General)</t>
    </r>
  </si>
  <si>
    <t>FECHA</t>
  </si>
  <si>
    <t>DESCRIPCION</t>
  </si>
  <si>
    <t>DEBE</t>
  </si>
  <si>
    <t>HABER</t>
  </si>
  <si>
    <t>Saldo que viene de mayo.</t>
  </si>
  <si>
    <t>OTROS INGRESOS</t>
  </si>
  <si>
    <t>CUENTAS POR PAGAR A PARTICULARES</t>
  </si>
  <si>
    <t>Cuenta por pagar - Angelica María Dussan $1.000.000 5% - mes julio - Comprobante No. M01252415</t>
  </si>
  <si>
    <t xml:space="preserve">Cuenta por pagar - Valentina Renza - Cuota No. 5 Julio -  Celulares </t>
  </si>
  <si>
    <t>Cuenta por pagar -  tienda la ventana $97.600</t>
  </si>
  <si>
    <t>CUENTAS POR PAGAR A ICDE</t>
  </si>
  <si>
    <t xml:space="preserve">SERGIO </t>
  </si>
  <si>
    <t>PATRICIA</t>
  </si>
  <si>
    <t>Ingreso real mes por</t>
  </si>
  <si>
    <t>Ingreso  general</t>
  </si>
  <si>
    <t>ADMINISTRACION</t>
  </si>
  <si>
    <t>Diferencia</t>
  </si>
  <si>
    <t>INGRESO ADMINISTRACION - 9 TOTAL</t>
  </si>
  <si>
    <t>Ingresa Administración 10%  - APTO - Marcos - Giro.  - $63.000  - Giro a ICDE</t>
  </si>
  <si>
    <t xml:space="preserve">Ingresa Administración 10%  - CASA - Marcos - Efectivo - Cancela en la Oficina. </t>
  </si>
  <si>
    <t>Ingresa Administración 10%  - APTO - Campo nuñez - Giro a ICDE.</t>
  </si>
  <si>
    <t>Ingresa Administración 10%  - CASA - Limonar - Jorge Luis. Gira al propietario.</t>
  </si>
  <si>
    <t>Ingresa Administración 10% - CASA - Manzanares - Ana - Sandra - Gira al propietario.</t>
  </si>
  <si>
    <t>Ingresa Administración 10% -$85.000 - APTO 302-Lilola - Nohora -  Giro a ICDE.</t>
  </si>
  <si>
    <t>Ingresa Administración 10%  - APTO 102  GOYA - T 33 -  Eduar - Natalia - Gira al propietario. - ANTICIPADO</t>
  </si>
  <si>
    <t>Ingresa Administración 10%  - APTO 101  GOYA - T 10 -  Giovany</t>
  </si>
  <si>
    <r>
      <rPr>
        <sz val="11"/>
        <color rgb="FF000000"/>
        <rFont val="Calibri"/>
      </rPr>
      <t>Ingresa Administración 10%  - EDIFICIO - Silvia. Junio $ 575.500 (</t>
    </r>
    <r>
      <rPr>
        <sz val="11"/>
        <color rgb="FFFF0000"/>
        <rFont val="Calibri"/>
      </rPr>
      <t>HABITACION DESOCUPADA Y APTO 303</t>
    </r>
    <r>
      <rPr>
        <sz val="11"/>
        <color rgb="FF000000"/>
        <rFont val="Calibri"/>
      </rPr>
      <t>)</t>
    </r>
  </si>
  <si>
    <t>ARRENDAMIENTO</t>
  </si>
  <si>
    <r>
      <rPr>
        <sz val="11"/>
        <color theme="1"/>
        <rFont val="Calibri"/>
      </rPr>
      <t xml:space="preserve">Cancelación canon arrendamiento oficina - Mes vencido - Mes de </t>
    </r>
    <r>
      <rPr>
        <b/>
        <sz val="11"/>
        <color theme="1"/>
        <rFont val="Calibri"/>
      </rPr>
      <t>Junio</t>
    </r>
    <r>
      <rPr>
        <sz val="11"/>
        <color theme="1"/>
        <rFont val="Calibri"/>
      </rPr>
      <t xml:space="preserve"> - 2026 - Comprobante No.M01216619</t>
    </r>
  </si>
  <si>
    <t>SERVICIOS PUBLICOS</t>
  </si>
  <si>
    <t>Tope total maximo - Aprox.</t>
  </si>
  <si>
    <t>Cancelación Alcanos- Gas  Factura No.  25818443</t>
  </si>
  <si>
    <t>Desface</t>
  </si>
  <si>
    <t>Cancelación Electrificadora - Luz- Factura No.</t>
  </si>
  <si>
    <t>Cancelación EPN - Agua-Factura No.  No. 57207051</t>
  </si>
  <si>
    <t xml:space="preserve">BOTELLON CON AGUA - PROMEDIO MES 9 BOTELLONES  </t>
  </si>
  <si>
    <t>Compra botellón con agua. Orden de  pedido - PED - Angelica - cita entre rios - no dejo recibo</t>
  </si>
  <si>
    <t>Compra botellón con agua. Orden de  pedido - PED - 21581</t>
  </si>
  <si>
    <t>Compra botellón con agua. Orden de  pedido - PED - 21568</t>
  </si>
  <si>
    <t>Compra botellón con agua. Orden de  pedido - PED - Sr. no entregó  el  soporte</t>
  </si>
  <si>
    <t xml:space="preserve">Compra botellón con agua. Orden de  pedido - PED - </t>
  </si>
  <si>
    <t>CARNES - VERDURAS</t>
  </si>
  <si>
    <t>Max.</t>
  </si>
  <si>
    <t>Tope total maximo</t>
  </si>
  <si>
    <t>Carnes y verduras</t>
  </si>
  <si>
    <t>Total compra Carne y aseo mes Junio</t>
  </si>
  <si>
    <t>ASEO</t>
  </si>
  <si>
    <t>D1 - Varios - factura No. M1F039420</t>
  </si>
  <si>
    <t>OFICINA - OTROS</t>
  </si>
  <si>
    <t>Arreglo plancha</t>
  </si>
  <si>
    <t>Muñeco cumpleaños Jorge Mario</t>
  </si>
  <si>
    <t>Palma  - Edificio silvia</t>
  </si>
  <si>
    <t xml:space="preserve">Recarga - llamada Villa Maria </t>
  </si>
  <si>
    <t>Ambientador - factura 5A-31331</t>
  </si>
  <si>
    <t>Veneno cucarachas - Trasteo y oficina - 2009</t>
  </si>
  <si>
    <t>Veneno ratones - trasteo y oficina - sra, Ceilia</t>
  </si>
  <si>
    <t>MOTO - SERGIO ANDRES - TRANSPORTE</t>
  </si>
  <si>
    <t>Gasolina moto - transporte Sergio</t>
  </si>
  <si>
    <t>SOCIAL - CAFETERIA</t>
  </si>
  <si>
    <r>
      <rPr>
        <b/>
        <sz val="14"/>
        <color theme="1"/>
        <rFont val="Calibri"/>
      </rPr>
      <t xml:space="preserve">MOVIMIENTOS CONTABLES - INGRESOS Y EGRESOS : JUNIO- </t>
    </r>
    <r>
      <rPr>
        <b/>
        <sz val="14"/>
        <color rgb="FF2E75B5"/>
        <rFont val="Arial Black"/>
      </rPr>
      <t>$1.228.750(General)</t>
    </r>
  </si>
  <si>
    <t>Cuidado perritas -  4 días.  del 2 al 5 de junio - $20.000 día- Para cancelar la Cuota No. 4 - Junio  a Valentina - Celulares.</t>
  </si>
  <si>
    <t>Aporte de Patricia a ICDE - Cuota No. 4 - Junio -  Valentina celulares.</t>
  </si>
  <si>
    <t>CUENTAS POR PAGAR</t>
  </si>
  <si>
    <r>
      <rPr>
        <sz val="11"/>
        <color theme="1"/>
        <rFont val="Calibri"/>
      </rPr>
      <t>Valentina-Cuota celular-mes junio - Vamos al día. -</t>
    </r>
    <r>
      <rPr>
        <sz val="11"/>
        <color rgb="FFFF0000"/>
        <rFont val="Calibri"/>
      </rPr>
      <t xml:space="preserve"> </t>
    </r>
    <r>
      <rPr>
        <sz val="11"/>
        <color theme="1"/>
        <rFont val="Calibri"/>
      </rPr>
      <t>SERGIO TIENE EL DINERO SE CANCELA EL DIA 29 DE JUNIO.</t>
    </r>
  </si>
  <si>
    <t>Angelica María Dussan presto $1.000.000 al 5% por 2 meses. a partir del 10 de junio 2026. $50.000 MENSUAL</t>
  </si>
  <si>
    <t>Ingresa Administración 10%  - APTO 102  GOYA - T 33 -  Eduar - Natalia - Gira al propietario.</t>
  </si>
  <si>
    <r>
      <rPr>
        <sz val="11"/>
        <color rgb="FF000000"/>
        <rFont val="Calibri"/>
      </rPr>
      <t>Ingresa Administración 10%  - EDIFICIO - Silvia. Mayo $ 617.500 (</t>
    </r>
    <r>
      <rPr>
        <sz val="11"/>
        <color rgb="FFFF0000"/>
        <rFont val="Calibri"/>
      </rPr>
      <t>HABITACION DESOCUPADA Y APTO 303</t>
    </r>
    <r>
      <rPr>
        <sz val="11"/>
        <color rgb="FF000000"/>
        <rFont val="Calibri"/>
      </rPr>
      <t>)</t>
    </r>
  </si>
  <si>
    <t>Cancelación canon arrendamiento oficina - Mes vencido - Mes de Mayo - 2026 - Comprobante No.M19574510</t>
  </si>
  <si>
    <t>Cancelación Alcanos- Gas  Factura No.  24839049 -  $16.750</t>
  </si>
  <si>
    <t>Cancelación Electrificadora - Luz- Factura No. 91525507 -$92.300</t>
  </si>
  <si>
    <t>Cancelación EPN - Agua-Factura No.  No. 57069459 -  $67.960</t>
  </si>
  <si>
    <t>Compra botellón con agua. Orden de  pedido - PED -  No dejo factura - Monedas y Nequi $2.000</t>
  </si>
  <si>
    <t>Compra botellón con agua. Orden de  pedido - PED - 21374</t>
  </si>
  <si>
    <t>Compra botellón con agua. Orden de  pedido - PED -  21378</t>
  </si>
  <si>
    <t>Compra botellón con agua. Orden de  pedido - PED - 21397</t>
  </si>
  <si>
    <t>Compra botellón con agua. Orden de  pedido - PED - 21418</t>
  </si>
  <si>
    <t>Compra botellón con agua. Orden de  pedido - PED - 21452</t>
  </si>
  <si>
    <t>Compra botellón con agua. Orden de  pedido - PED - 21471</t>
  </si>
  <si>
    <t>Compra botellón con agua. Orden de  pedido - PED - 21481</t>
  </si>
  <si>
    <t>Compra botellón con agua. Orden de  pedido - PED - 21487</t>
  </si>
  <si>
    <t>Compra botellón con agua. Orden de  pedido - PED - 21502</t>
  </si>
  <si>
    <t>Compra botellón con agua. Orden de  pedido - PED - 21518</t>
  </si>
  <si>
    <t>Compra botellón con agua. Orden de  pedido - PED - 21525</t>
  </si>
  <si>
    <t>Mercado campesino La calidad - Nit 1.075.22047-3 -  000809 - Las Granjas</t>
  </si>
  <si>
    <t>D1- Varios Aseo - 2026-06-03</t>
  </si>
  <si>
    <t>Copia de llaves - Candado y acceso oficina. $3.500 c/u - Al frente de la oficina.</t>
  </si>
  <si>
    <t>Gasolina - efectivo</t>
  </si>
  <si>
    <t>Parqueadero - cita Dr. Cesar - Remates</t>
  </si>
  <si>
    <t>Enseñar apto Goya - don Walter.</t>
  </si>
  <si>
    <t>Palco AIRECO -Desfile nocturno san pedro -  Sergio y Valentina</t>
  </si>
  <si>
    <t>OBSERVACIONES:</t>
  </si>
  <si>
    <t>Se debe cancelar las facturas de servicios publicos del Apto 101 T10 Goya - Giovany y cruzar con el depósito $250.000-Arreglo de la chapa puerta habitación.</t>
  </si>
  <si>
    <t>SOLUCION - DINEROS PARA CANCELAR GOYA:</t>
  </si>
  <si>
    <t>Con el depósito del nuevo arrendatario.</t>
  </si>
  <si>
    <t>Gastos no contemplados</t>
  </si>
  <si>
    <r>
      <rPr>
        <b/>
        <sz val="14"/>
        <color theme="1"/>
        <rFont val="Calibri"/>
      </rPr>
      <t xml:space="preserve">MOVIMIENTOS CONTABLES - INGRESOS Y EGRESOS : ABRIL - </t>
    </r>
    <r>
      <rPr>
        <b/>
        <sz val="14"/>
        <color rgb="FF2E75B5"/>
        <rFont val="Arial Black"/>
      </rPr>
      <t>$1.293.500(General)</t>
    </r>
  </si>
  <si>
    <t>Saldo que viene de Febrero.</t>
  </si>
  <si>
    <t xml:space="preserve">Cuidado de Perritas - 3 días - sabado, domingo y lunes </t>
  </si>
  <si>
    <t>Ingresa - pilar - Sergio</t>
  </si>
  <si>
    <t>Ingresa - por Concepto Avalúo  - barrio El Jardín</t>
  </si>
  <si>
    <t>Ingreso real mes</t>
  </si>
  <si>
    <t xml:space="preserve">Ingresa Administración 10%  - APTO - Marcos - Giro.  - $63.000 </t>
  </si>
  <si>
    <t>NO - Ingresa Administración 10%  - APTO 102  GOYA - T 10  - Giovany - 74.000 -Giro a ICDE.</t>
  </si>
  <si>
    <r>
      <rPr>
        <sz val="11"/>
        <color rgb="FF000000"/>
        <rFont val="Calibri"/>
      </rPr>
      <t>Ingresa Administración 10%  - EDIFICIO - Silvia.  Abril $ 617.500 (</t>
    </r>
    <r>
      <rPr>
        <sz val="11"/>
        <color rgb="FF0000FF"/>
        <rFont val="Calibri"/>
      </rPr>
      <t>HABITACION DESOCUPADA</t>
    </r>
    <r>
      <rPr>
        <sz val="11"/>
        <color rgb="FF000000"/>
        <rFont val="Calibri"/>
      </rPr>
      <t>)</t>
    </r>
  </si>
  <si>
    <t>Cancelación canon arrendamiento oficina - Mes vencido - Mes de Abril - 2026 - Comprobante No. M09522619</t>
  </si>
  <si>
    <t>Aproximado</t>
  </si>
  <si>
    <t>Cancelación Alcanos- Gas  Factura No.  23829954 - $12.490.</t>
  </si>
  <si>
    <t>Cancelación Electrificadora - Luz- Factura No. 91110616   -$92.200.</t>
  </si>
  <si>
    <t>Cancelación EPN - Agua-Factura No.  56932078 - 58.700.</t>
  </si>
  <si>
    <t>Compra botellón con agua. Orden de  pedido - PED - 21160</t>
  </si>
  <si>
    <t>Compra botellón con agua. Orden de  pedido - PED - 21173</t>
  </si>
  <si>
    <t>Compra botellón con agua. Orden de  pedido - PED - 21187</t>
  </si>
  <si>
    <t>Compra botellón con agua. Orden de  pedido - PED - 21212</t>
  </si>
  <si>
    <t>Compra botellón con agua. Orden de  pedido - PED - 21224</t>
  </si>
  <si>
    <t>Compra botellón con agua. Orden de  pedido - PED - 21238</t>
  </si>
  <si>
    <t>Compra botellón con agua. Orden de  pedido - PED - 21244</t>
  </si>
  <si>
    <t>Compra botellón con agua. Orden de  pedido - PED - Don Heriberto trajo el botellón - No recibo - Ñeñes.</t>
  </si>
  <si>
    <t>Compra botellón con agua. Orden de  pedido - PED - 21279</t>
  </si>
  <si>
    <t>Compra botellón con agua. Orden de  pedido - PED - 21296</t>
  </si>
  <si>
    <t>Compra botellón con agua. Orden de  pedido - PED - 21318</t>
  </si>
  <si>
    <t>Supermercado - La calidad- mercado las Granjas- Cra 7 No. 36-03 - Nit. 1.075.220047-3</t>
  </si>
  <si>
    <t>D1 SAS. - Productos de aseo.</t>
  </si>
  <si>
    <t>Compra 2 pares de pilas, para el mouse Patricia. - $2.500  Und.</t>
  </si>
  <si>
    <t>Recarga 3208762117 - llamar Bladimir - cliente  Coj. Yahaira - Jovel</t>
  </si>
  <si>
    <t>Recarga 3208762117 - llamar Bladimir - cliente  Coj. anda Lucia - C&amp;C</t>
  </si>
  <si>
    <t>Se cancela a Valentina - Pintura  en aceite - reja color blanco - oficina. Comprobante M2411853</t>
  </si>
  <si>
    <t>MOTO - SERGIO ANDRES</t>
  </si>
  <si>
    <t>Aburrajados y guarapo</t>
  </si>
  <si>
    <t>3 avenas, 3 pasteles, 2 tortas y un croasan</t>
  </si>
  <si>
    <t>1205/2026</t>
  </si>
  <si>
    <t>3 avenas, 3 pasteles,  1 torta</t>
  </si>
  <si>
    <t>Cuentas por pagar  mes abril - 2026.</t>
  </si>
  <si>
    <t>No contemplados en los gastos mensuales</t>
  </si>
  <si>
    <r>
      <rPr>
        <b/>
        <sz val="14"/>
        <color theme="1"/>
        <rFont val="Calibri"/>
      </rPr>
      <t xml:space="preserve">MOVIMIENTOS CONTABLES - INGRESOS Y EGRESOS : ABRIL - </t>
    </r>
    <r>
      <rPr>
        <b/>
        <sz val="14"/>
        <color rgb="FF2E75B5"/>
        <rFont val="Arial Black"/>
      </rPr>
      <t>$1.293.500(General)</t>
    </r>
  </si>
  <si>
    <t>CXP DE ICDE A LILOLA</t>
  </si>
  <si>
    <t xml:space="preserve">OTROS </t>
  </si>
  <si>
    <t>CXP - Valentina - Cuota celulares - Valentina Cuota 2 de 12 - mes Abril.</t>
  </si>
  <si>
    <t>Cancelación anual - dominio página</t>
  </si>
  <si>
    <t>Cancelación - paso más del limites link - publicación.</t>
  </si>
  <si>
    <t>Saldo compra mercado del mes. - - $4.000 pinceles. Saldo $34.000.</t>
  </si>
  <si>
    <t>Ingresa Administración 10%  - APTO - Marcos - Giro.  - $63.000</t>
  </si>
  <si>
    <t>Ingresa Administración 10%  - CASA - Marcos - Efectivo - Oficina - 100.000</t>
  </si>
  <si>
    <t>Ingresa Administración 10%  - APTO - Campo nuñez - Giro. - 126.000</t>
  </si>
  <si>
    <t>Ingresa Administración 10%  - CASA - Limonar - Jorge Luis. Giro. - 53.000</t>
  </si>
  <si>
    <t>Ingresa Administración 10% - CASA - Manzanares - Ana - Sandra - 90.000</t>
  </si>
  <si>
    <t xml:space="preserve">NO- Ingresa Administración 10% -$85.000 - APTO 302-Lilola - Nohora </t>
  </si>
  <si>
    <t>Ingresa Administración 10%  - APTO 102  GOYA - T 33 -  Eduar - Natalia - 85.000 - ANTICIPADO</t>
  </si>
  <si>
    <t>Ingresa Administración 10%  - APTO 102  GOYA - T 10  - Giovany - 74.000</t>
  </si>
  <si>
    <r>
      <rPr>
        <sz val="11"/>
        <color rgb="FF000000"/>
        <rFont val="Calibri"/>
      </rPr>
      <t xml:space="preserve">Ingresa Administración 10%  - EDIFICIO - Silvia.  Marzo $ </t>
    </r>
    <r>
      <rPr>
        <sz val="11"/>
        <color rgb="FF000000"/>
        <rFont val="Calibri"/>
      </rPr>
      <t>xxxxxxx (HABITACION DESOCUPADA)</t>
    </r>
  </si>
  <si>
    <t xml:space="preserve">Cancelación canon arrendamiento oficina - Mes vencido - Mes de Marzo - 2026 - Comprobante No. M00986203 </t>
  </si>
  <si>
    <t>Cancelación Alcanos- Gas  Factura No. $16.040</t>
  </si>
  <si>
    <t>Cancelación Electrificadora - Luz- Factura No. 90649405 -$93160</t>
  </si>
  <si>
    <t>Cancelación EPN - Agua-Factura No. 56794819 - $59.100</t>
  </si>
  <si>
    <t>Compra  2 Dos botellones con agua. Orden de  pedido - PED -20901</t>
  </si>
  <si>
    <t>Compra botellón con agua. Orden de  pedido - PED - 20965</t>
  </si>
  <si>
    <t>Compra botellón con agua. Orden de  pedido - PED - 20981</t>
  </si>
  <si>
    <t>Compra botellón con agua. Orden de  pedido - PED -21016</t>
  </si>
  <si>
    <t>Compra botellón con agua. Orden de  pedido - PED - 21033</t>
  </si>
  <si>
    <t>Compra botellón con agua. Orden de  pedido - PED - 21045</t>
  </si>
  <si>
    <t>Compra botellón con agua. Orden de  pedido - PED - Recibir apto Primavera - Jorge recibio</t>
  </si>
  <si>
    <t>Compra botellón con agua. Orden de  pedido - PED - 21150</t>
  </si>
  <si>
    <t>MERCADO BASICO Y ESPECIAL</t>
  </si>
  <si>
    <t>CARNES</t>
  </si>
  <si>
    <t>Cinco menos</t>
  </si>
  <si>
    <t>D1 - Factura M1F233767</t>
  </si>
  <si>
    <t xml:space="preserve">Recargas - 3208762117 - </t>
  </si>
  <si>
    <t>2 Pinceles - pintar nomenclatura oficina.</t>
  </si>
  <si>
    <t>Compra de pilas para el teclado - Patricia</t>
  </si>
  <si>
    <t>Compra de dulces oficina</t>
  </si>
  <si>
    <t>Gasolina - Giro  - Nequi - M09439347</t>
  </si>
  <si>
    <t>Gasolina - Giro  - Nequi - M0083959</t>
  </si>
  <si>
    <t>Gasolina  - Giro - Nequi - M17172952</t>
  </si>
  <si>
    <t>SOCIAL</t>
  </si>
  <si>
    <r>
      <rPr>
        <b/>
        <sz val="14"/>
        <color theme="1"/>
        <rFont val="Calibri"/>
      </rPr>
      <t xml:space="preserve">MOVIMIENTOS CONTABLES - INGRESOS Y EGRESOS : MARZO - </t>
    </r>
    <r>
      <rPr>
        <b/>
        <sz val="14"/>
        <color rgb="FF2E75B5"/>
        <rFont val="Arial Black"/>
      </rPr>
      <t>$1.240.500</t>
    </r>
  </si>
  <si>
    <t>CXP DE ICDE A PATRICIA</t>
  </si>
  <si>
    <t xml:space="preserve">Cancelar canon Apto Lilola $765.000 </t>
  </si>
  <si>
    <t>Descontar habitación. Arreglo  habitación.</t>
  </si>
  <si>
    <t>Saldo del mercado mensual - Marzo</t>
  </si>
  <si>
    <t>Prestamo día de la mujer</t>
  </si>
  <si>
    <t>Super buso - Juego Aleja</t>
  </si>
  <si>
    <t>Día de la mujer</t>
  </si>
  <si>
    <t>Cimcard - Celular Patricia</t>
  </si>
  <si>
    <t>Polvos y vitaminas</t>
  </si>
  <si>
    <t>Administración</t>
  </si>
  <si>
    <t>INGRESO ADMINISTRACION - 8 TOTAL</t>
  </si>
  <si>
    <t>Pendiente ingreso CASA - Manzanares - Ya tomamos los $90.000 - Cancelar varios la boita.</t>
  </si>
  <si>
    <t xml:space="preserve">Ingresa Administración 10%  - APTO - Marcos - Giro.  </t>
  </si>
  <si>
    <t>Ingresa Administración 10%  - CASA - Marcos - Efectivo - Oficina</t>
  </si>
  <si>
    <t xml:space="preserve">Ingresa Administración 10%  - APTO - Campo nuñez - Giro. </t>
  </si>
  <si>
    <t xml:space="preserve">Ingresa Administración 10%  - CASA - Limonar - Jorge Luis. Giro. </t>
  </si>
  <si>
    <t>Ingresa Administración 10%  - APTO 302-Lilola - Nohora</t>
  </si>
  <si>
    <t>Ingresa Administración 10%  - APTO 102  GOYA - T 33 -  Eduar - Natalia</t>
  </si>
  <si>
    <t>Ingresa Administración 10%  - APTO 102  GOYA - T 10  - Giovany</t>
  </si>
  <si>
    <t xml:space="preserve">Ingresa Administración 10%  - EDIFICIO - Silvia.  Febrero $728.000 </t>
  </si>
  <si>
    <t>Cancelación canon arrendamiento oficina - Mes de Febrero - 2026 - Comprobante No.  M06945480</t>
  </si>
  <si>
    <t>Cancelación Alcanos- Gas  Factura No. 21847772 - $15.510</t>
  </si>
  <si>
    <t>Cancelación EPN - Agua-Factura No. 56657703  - $69.210</t>
  </si>
  <si>
    <t>Cancelación Electrificadora - Luz- Factura No. 90291122 - $91.010</t>
  </si>
  <si>
    <t>BOTELLON CON AGUA - PROMEDIO MES 9 BOTELLONES.</t>
  </si>
  <si>
    <t>Compra botellón con agua. Orden de  pedido - PED - 20314</t>
  </si>
  <si>
    <t>Compra botellón con agua. Orden de  pedido - PED - 20510</t>
  </si>
  <si>
    <t>Compra botellón con agua. Orden de  pedido - PED - 20538</t>
  </si>
  <si>
    <t>Compra botellón con agua. Orden de  pedido - PED - 20555</t>
  </si>
  <si>
    <t>Compra botellón con agua. Orden de  pedido - PED -20694</t>
  </si>
  <si>
    <t>Compra botellón con agua. Orden de  pedido - PED -20723</t>
  </si>
  <si>
    <t>Compra botellón con agua. Orden de  pedido - PED - 20793</t>
  </si>
  <si>
    <t>Compra botellón con agua. Orden de  pedido - PED - 20800</t>
  </si>
  <si>
    <t>Compra botellón con agua. Orden de  pedido - PED -20826</t>
  </si>
  <si>
    <t>Compra botellón con agua. Orden de  pedido - PED -20852</t>
  </si>
  <si>
    <t>No se compró. .se descuenta los $17.000 del aceite oliva  - Patricia</t>
  </si>
  <si>
    <t>Carnes 5 menos Factura total...????????</t>
  </si>
  <si>
    <t>Factura D1 - 03-03-2026 $125.000.. .se descuenta los $17.000 del aceite oliva  - Patricia</t>
  </si>
  <si>
    <t>Recargas</t>
  </si>
  <si>
    <t>Dulces</t>
  </si>
  <si>
    <t>Silicona</t>
  </si>
  <si>
    <t>Gasolina</t>
  </si>
  <si>
    <t>Cuentas por pagar  mes marzo - 2026.</t>
  </si>
  <si>
    <r>
      <rPr>
        <b/>
        <sz val="14"/>
        <color theme="1"/>
        <rFont val="Calibri"/>
      </rPr>
      <t xml:space="preserve">MOVIMIENTOS CONTABLES - INGRESOS Y EGRESOS : FEBRERO - </t>
    </r>
    <r>
      <rPr>
        <b/>
        <sz val="14"/>
        <color rgb="FF2E75B5"/>
        <rFont val="Arial Black"/>
      </rPr>
      <t>$1.240.500</t>
    </r>
  </si>
  <si>
    <t>Saldo a cancelar ICDE a  Patricia</t>
  </si>
  <si>
    <t>Saldo que viene de Noviembre.</t>
  </si>
  <si>
    <r>
      <rPr>
        <sz val="11"/>
        <color rgb="FF000000"/>
        <rFont val="Calibri"/>
      </rPr>
      <t xml:space="preserve">Ingresa Administración 10%  - EDIFICIO - Silvia.  Enero </t>
    </r>
    <r>
      <rPr>
        <sz val="11"/>
        <color rgb="FFFF0000"/>
        <rFont val="Calibri"/>
      </rPr>
      <t xml:space="preserve"> $534.000</t>
    </r>
  </si>
  <si>
    <t>Cancelación canon arrendamiento oficina - Mes de Enero - 2026 - Comprobante No.  M12509706</t>
  </si>
  <si>
    <t>Cancelación Alcanos- Gas  Factura No. 20834878  - $15.690</t>
  </si>
  <si>
    <t>Cancelación EPN - Agua-Factura No. 56520765 - $72.600</t>
  </si>
  <si>
    <t>Cancelación Electrificadora - Luz- Factura No. No. 89866709 - $86.630</t>
  </si>
  <si>
    <t>Compra botellón con agua. Orden de  pedido - PED - 18413</t>
  </si>
  <si>
    <t>Compra botellón con agua. Orden de  pedido - PED -18733</t>
  </si>
  <si>
    <t>Compra botellón con agua. Orden de  pedido - PED - 18849</t>
  </si>
  <si>
    <t>Compra botellón con agua. Orden de  pedido - PED - 19098</t>
  </si>
  <si>
    <t>Compra botellón con agua. Orden de  pedido - PED -Sin recibo - entregó botellón a la gorda.</t>
  </si>
  <si>
    <t>Compra botellón con agua. Orden de  pedido - PED -19560</t>
  </si>
  <si>
    <t>Compra botellón con agua. Orden de  pedido - PED - 19673</t>
  </si>
  <si>
    <t>Compra botellón con agua. Orden de  pedido - PED -19868</t>
  </si>
  <si>
    <t>Compra botellón con agua. Orden de  pedido - PED -20044</t>
  </si>
  <si>
    <t>Huevos 10 +  2 bananos - papas, tomates, panela</t>
  </si>
  <si>
    <t>Huevos.</t>
  </si>
  <si>
    <t>Supermercado Cinco menos Factura No. PEV 264298 - Mercado anticipado.</t>
  </si>
  <si>
    <t>D1 - Factura No. M1F011081 -  Mercado anticipado.</t>
  </si>
  <si>
    <t>SERGIO ANDRES DUSSAN</t>
  </si>
  <si>
    <t>OLGA PATRICIA</t>
  </si>
  <si>
    <t>Cuentas por pagar  mes Febrero - 2026.</t>
  </si>
  <si>
    <t>TOTAL INGRESOS</t>
  </si>
  <si>
    <t>CASA AZUL</t>
  </si>
  <si>
    <t>HABIT. AZUL</t>
  </si>
  <si>
    <t>APTO AZUL</t>
  </si>
  <si>
    <t>EDIFICIO</t>
  </si>
  <si>
    <t>OTROS</t>
  </si>
  <si>
    <t>TOTAL GASTOS CASA AZUL</t>
  </si>
  <si>
    <t>TOTAL GASTOS</t>
  </si>
  <si>
    <t>DIFERENCIA DEL EJERCICIO</t>
  </si>
  <si>
    <t>INGRESO HABITACION AZUL - 1 ENERO 2023  AL 1 FEBRERO 2023</t>
  </si>
  <si>
    <t>Cancelacion fatura 056 Electrificadora-50% habitación y aparta estudio azul. Periodo 03-12-2022 al 04-01-2023. valor total factura $28.120.</t>
  </si>
  <si>
    <t>Cancelacion fatura 000- Alcanos-100% casa azul. Periodo 03-12-2022 al 04-01-2023.</t>
  </si>
  <si>
    <t>Cancelacion factura 26490690 Electrificadora-Cuenta numero 901844110- Apto 102-Periodo 03-12-2022 al 04-02-2023</t>
  </si>
  <si>
    <t>INGRESO CASA AZUL - 05 FEBRERO 2023</t>
  </si>
  <si>
    <t xml:space="preserve">INGRESO DE DATOS  QUE FALTABAN EN EL INFORME </t>
  </si>
  <si>
    <t>DEPOSITO</t>
  </si>
  <si>
    <t>1-Factura 2785-Homecenter-Varios</t>
  </si>
  <si>
    <t>DATOS SEÑALADOS  POR SILVIA</t>
  </si>
  <si>
    <t>2-Factura 5417-Homecenter-varios</t>
  </si>
  <si>
    <t>DATOS  QUE FORMAN PARTE PARA LA  SUMA DE GASTOS -  TOTAL GASTOS  $1.800.031</t>
  </si>
  <si>
    <t>3-Factura 1308-Homecenter-varios</t>
  </si>
  <si>
    <t>Transporte, materiales de Homecenter a la casa azul. Ceràmica, pegacor, otros.</t>
  </si>
  <si>
    <t>Factura 79935- Electric lamparas s.a.s-compra nuevo contador monofasico 0019</t>
  </si>
  <si>
    <t>INFORME HASTA EL DIA 04 -02-2023 -   TOTAL GASTOS $1.800.031</t>
  </si>
  <si>
    <t>Factura 3253-Ferrenorte- varios</t>
  </si>
  <si>
    <t>Tornillos con chazos-agarraderas tuberia - no  factura</t>
  </si>
  <si>
    <t>Productos de aseo, para el mes, edificio, compra en la tienda</t>
  </si>
  <si>
    <t>Reg-0015-Ferrenorte-Uniones, codos, pegante-daño cocina</t>
  </si>
  <si>
    <t>Reg-0016-Ferrenorte-Union de reparación y union sencilla-daño cocina</t>
  </si>
  <si>
    <t>Anticipo Electrico - para legalizar el nuevo contador</t>
  </si>
  <si>
    <t>Factura 21147-Ferrenorte, Interruptor, 2kl cemento gris, abrazadera.</t>
  </si>
  <si>
    <t>Reg-0038-Ferrenorte-Caja con toma doble, puntillas, chazos y otros.</t>
  </si>
  <si>
    <t>Factura No. 3290-Ferrenorte-varios</t>
  </si>
  <si>
    <t>Fctura No. 01313- Certificado nomenclatura Secretaria de Hacienda municipal. Entregan en 5 dias habiles.</t>
  </si>
  <si>
    <t>Factura No. 01315- Certificado estratificacion Secretaria de Hacienda municipal. Entregan en 5 dàs habiles.</t>
  </si>
  <si>
    <t>Transporte, fotocopias e impresiòn documento de la casa para la solicitud de los certificados</t>
  </si>
  <si>
    <t>INGRESA ABONO -  ARRENDAMIENTO APTO 102</t>
  </si>
  <si>
    <t>Abono maestro Carlos-Yeferson- obra-casa azul</t>
  </si>
  <si>
    <t>Abrir Apartamento 303, desmontar chapa$30.000, instalar nueva chapa $35.000.</t>
  </si>
  <si>
    <t>Cancelar aseo Apto 102 , pintar muros, incluyendo tapar huecos a los muros con estuco.</t>
  </si>
  <si>
    <t>Cancelar aseo  Apto. 303, incluyendo tapar huecos a los muros con estuco.</t>
  </si>
  <si>
    <t>Factura No. JME23931-Dobladora y cortadora JM - 2 tejas de zinc</t>
  </si>
  <si>
    <t>Factura No. 72494-Homecenter- Bordillo en madera para machehembre  suelto en la cocina.</t>
  </si>
  <si>
    <t>Factura No. FE 47030-ferreteria los paisas-Chapa -  Habitaciòn principal-casa azul.</t>
  </si>
  <si>
    <t>Compra un toma-  cocina- sin factura.</t>
  </si>
  <si>
    <t>Compra manguera pyp 2ml   para el gas, y accesorios, union, codo. Para el buen funcionamiento  de la conexión de la estufa. No factura.</t>
  </si>
  <si>
    <t>Servicio de transporte - Moto taxi- Mario Amar Motta - CC. 12106434-Cel. 3102473058, compra materiales y accesorios cocina y tejas de zinc.</t>
  </si>
  <si>
    <t>Transporte de tejas a la casa azul - Mario Amar Motta - Cel. 3102473058</t>
  </si>
  <si>
    <t>Ajuste  porton-Carolina- APARTAMENTO AZUL</t>
  </si>
  <si>
    <t>Aseo de la casa azul para entregar a arrendatarios</t>
  </si>
  <si>
    <t>Instalacion nueva chapa - habitacion pp casa azul-Leonardo Vargas Cel. 3143637531</t>
  </si>
  <si>
    <t>Cancelacion saldo maestro-Carlos</t>
  </si>
  <si>
    <t>INGRESA SEPARAR APTO 303 - mas adelante no toma el Apto.</t>
  </si>
  <si>
    <t>INGRESA SALDO ARRENDAMIENTO APTO 102</t>
  </si>
  <si>
    <t>Cancelacion maestro Ildefonso</t>
  </si>
  <si>
    <t>Cancela recibo Luz Apto 303-17-02-2023-FACT- 75302799-</t>
  </si>
  <si>
    <t>Reclamar certificados- moto taxi+parqueadero - Mario Amar</t>
  </si>
  <si>
    <t>Compra, soporte tendedero Apto 102 - Factura electrònica</t>
  </si>
  <si>
    <t>Compra estufa a gas Apto 102 - Facura electronica</t>
  </si>
  <si>
    <t>Instalacion Estufa y tendedero Apto 102 - Recibo caja</t>
  </si>
  <si>
    <t>INGRESA - ARRENDAMIENTO APARTA ESTUDIO AZUL</t>
  </si>
  <si>
    <t>Cancelacion Saldo Alirio-Ferreteria-Recibo caja</t>
  </si>
  <si>
    <t>Certificado de tradiciòn y libertad -  Casa azul-200-115984-Papeleria Aldo</t>
  </si>
  <si>
    <t>Devolucion, dinero separa -  Apto 303- no lo toma - Recibo de caja</t>
  </si>
  <si>
    <t>INGRESO-GIRO- SILVIA PARA CANCELAR  FACTURAS SERVICIOS - BANCOLOMBIA.</t>
  </si>
  <si>
    <t>Agua Apto 303 - Factura 0051676369-Cont. 40565205- 24 Dic-2022 al  24 Ene-2022</t>
  </si>
  <si>
    <t>Gas Apto 303 - Factura 139923715-Cont 872189-22 Dic-2022 al 20 Ene-2023</t>
  </si>
  <si>
    <t>Cancelar 3 dìas de aseo Maria Alejandra- Apto 201 - inicio 26 de enero - hasta el dia 8 de febrero 2023 - no nos  colabora más.</t>
  </si>
  <si>
    <t>Luz - Apto 102 - Factura 75683533 - 04-ene-2023 al 03- febrero -2023</t>
  </si>
  <si>
    <t>INGRESO-GIRO- DON ANDRES - BANCOLOMBIA.</t>
  </si>
  <si>
    <t>Abono - Maestro Henrry - Impermeabilizar culata-giro don ANDRES</t>
  </si>
  <si>
    <t>INGRESO - ARRENDAMIENTO Apto 102 ($390.000) + Apto 301 ($490.000)…TOTAL $880.000.</t>
  </si>
  <si>
    <r>
      <rPr>
        <sz val="20"/>
        <color rgb="FF2F5496"/>
        <rFont val="Calibri"/>
      </rPr>
      <t>Cancelación Administración correspondiente mes enero ($152.000) febrero ($470.000) marzo ($387.000)=$1.009.000--</t>
    </r>
    <r>
      <rPr>
        <b/>
        <u/>
        <sz val="20"/>
        <color rgb="FF2F5496"/>
        <rFont val="Calibri"/>
      </rPr>
      <t>CASA AZUL $ 326.000--EDIFICIO $554.000</t>
    </r>
  </si>
  <si>
    <t>Cancelacion saldo maestro Henrry- arreglo daño tuberia interna, enchape area lavanderia, estucar y pintar.</t>
  </si>
  <si>
    <t>INGRESO - ARRENDAMIENTO Apto 201 ($490.000).</t>
  </si>
  <si>
    <r>
      <rPr>
        <sz val="20"/>
        <color rgb="FF2F5496"/>
        <rFont val="Calibri"/>
      </rPr>
      <t>Cancelación saldo y  Administración correspondiente mes abril ($449.000) -------</t>
    </r>
    <r>
      <rPr>
        <b/>
        <u/>
        <sz val="20"/>
        <color rgb="FF2F5496"/>
        <rFont val="Calibri"/>
      </rPr>
      <t>CASA AZUL $ 140.000--------EDIFICIO $309.000</t>
    </r>
    <r>
      <rPr>
        <b/>
        <sz val="20"/>
        <color rgb="FF2F5496"/>
        <rFont val="Calibri"/>
      </rPr>
      <t>--------$41.000 girar a Silvia.</t>
    </r>
  </si>
  <si>
    <t>INGRESO- ARRENDAMIENTO CASA AZUL ($850.000) + DEPOSITO (550.000)</t>
  </si>
  <si>
    <t>Cancelacion servicio de Aseo edificio periodo, 17 marzo al 17 de abril 2023 - Natalia Lagos Garay c.c. 1.081.402.203</t>
  </si>
  <si>
    <t>Suministro y aplicación veneno Rad + tiza - closet habitación.</t>
  </si>
  <si>
    <t>Suministro y arreglo closet, cambio de piezas, pintar parte exterior e interior, color blanco.</t>
  </si>
  <si>
    <t>Pintar habitación azul, obra lavadero (casa azul), instalacion flotador completo tanque elevado (casa azul).</t>
  </si>
  <si>
    <t>Suministro e instalacion de 3 lamparas led de sobreponer de 18v con sensores, verificacion suministro de energia edificio.</t>
  </si>
  <si>
    <t>Compra tendedero Apto azul</t>
  </si>
  <si>
    <t>Instalacion tendedero</t>
  </si>
  <si>
    <t>Compra lampara led 18 v</t>
  </si>
  <si>
    <t>Suministro e instalación de cortinero, recibidores extremos, cortina nueva. Area  ducha.</t>
  </si>
  <si>
    <t>Copia llave local 1</t>
  </si>
  <si>
    <t>Giro Nequi 3208515362-Silvia-Saldo - arrendamiento casa azul.</t>
  </si>
  <si>
    <t>Cancela saldo - Independizar contador. Cancela el saldo Electrico para la nueva cuenta del contador.</t>
  </si>
  <si>
    <t>INGRESO - ARRENDAMIENTO Apto 102 ($390.000).</t>
  </si>
  <si>
    <t>Cancelcion trabajo gotera casa y habitacion - maestro Carlos Moreno. C.C. 7.685.515</t>
  </si>
  <si>
    <t>CUENTA POR PAGAR</t>
  </si>
  <si>
    <t>FERRETERIA - ALIRIO…....materiales $124.0000…..........saldo final a cancelar</t>
  </si>
  <si>
    <t>APARTAMENTO 102….NO COBRARON LOS $62.000</t>
  </si>
  <si>
    <t>APARTAMENTO AZUL Y CASA AZUL….SE CANCELO EL 24 DE ABRIL $80.000 - ELECTRICO.</t>
  </si>
  <si>
    <t>INFORME DE ADMINISTRACION A FECHA DE HOY -  03-MAYO- 2023--2:29 PM.</t>
  </si>
  <si>
    <t>MES</t>
  </si>
  <si>
    <t>RECAUDO MENSUAL</t>
  </si>
  <si>
    <t>TOTAL</t>
  </si>
  <si>
    <t>TOTAL RECAUDADO 10%</t>
  </si>
  <si>
    <t>TOTAL CANCELADO</t>
  </si>
  <si>
    <t>SALDO A FAVOR ICDE</t>
  </si>
  <si>
    <t>ENERO</t>
  </si>
  <si>
    <t>FEBRERO</t>
  </si>
  <si>
    <t>MARZO</t>
  </si>
  <si>
    <t xml:space="preserve"> Se canceló con Apto 102 ($390) y 301 (490)</t>
  </si>
  <si>
    <t>ABRIL</t>
  </si>
  <si>
    <t xml:space="preserve">Se cancelo con Apto 201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</si>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</sst>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FF0000"/>
      <name val="Calibri"/>
    </font>
    <font>
      <sz val="11"/>
      <name val="Calibri"/>
    </font>
    <font>
      <b/>
      <sz val="12"/>
      <color theme="1"/>
      <name val="Calibri"/>
    </font>
    <font>
      <sz val="12"/>
      <color theme="1"/>
      <name val="Arial Black"/>
    </font>
    <font>
      <b/>
      <sz val="14"/>
      <color theme="1"/>
      <name val="Calibri"/>
    </font>
    <font>
      <b/>
      <sz val="10"/>
      <color theme="1"/>
      <name val="Arial"/>
    </font>
    <font>
      <sz val="11"/>
      <color theme="1"/>
      <name val="Calibri"/>
      <scheme val="minor"/>
    </font>
    <font>
      <b/>
      <sz val="12"/>
      <color theme="1"/>
      <name val="Arial Black"/>
    </font>
    <font>
      <b/>
      <sz val="11"/>
      <color theme="1"/>
      <name val="Calibri"/>
    </font>
    <font>
      <sz val="12"/>
      <color theme="1"/>
      <name val="Calibri"/>
    </font>
    <font>
      <sz val="12"/>
      <color rgb="FF000000"/>
      <name val="Arial Black"/>
    </font>
    <font>
      <b/>
      <sz val="12"/>
      <color rgb="FFFF0000"/>
      <name val="Calibri"/>
    </font>
    <font>
      <sz val="12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2"/>
      <color rgb="FFFF0000"/>
      <name val="Calibri"/>
      <scheme val="minor"/>
    </font>
    <font>
      <sz val="9"/>
      <color theme="1"/>
      <name val="Arial"/>
    </font>
    <font>
      <b/>
      <sz val="13"/>
      <color theme="1"/>
      <name val="Calibri"/>
    </font>
    <font>
      <sz val="12"/>
      <color rgb="FF0000FF"/>
      <name val="Calibri"/>
    </font>
    <font>
      <sz val="12"/>
      <color rgb="FFFF0000"/>
      <name val="Arial Black"/>
    </font>
    <font>
      <b/>
      <sz val="12"/>
      <color rgb="FF2E75B5"/>
      <name val="Calibri"/>
    </font>
    <font>
      <sz val="12"/>
      <color rgb="FFFF0000"/>
      <name val="Calibri"/>
    </font>
    <font>
      <sz val="13"/>
      <color theme="1"/>
      <name val="Calibri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b/>
      <sz val="11"/>
      <color rgb="FFFF0000"/>
      <name val="Calibri"/>
    </font>
    <font>
      <sz val="11"/>
      <color rgb="FF0000FF"/>
      <name val="Calibri"/>
    </font>
    <font>
      <sz val="11"/>
      <color rgb="FF2E75B5"/>
      <name val="Calibri"/>
    </font>
    <font>
      <sz val="10"/>
      <color theme="1"/>
      <name val="Arial"/>
    </font>
    <font>
      <sz val="20"/>
      <color rgb="FF2F5496"/>
      <name val="Calibri"/>
    </font>
    <font>
      <b/>
      <sz val="20"/>
      <color rgb="FF2F5496"/>
      <name val="Calibri"/>
    </font>
    <font>
      <b/>
      <sz val="22"/>
      <color rgb="FF2F5496"/>
      <name val="Calibri"/>
    </font>
    <font>
      <b/>
      <sz val="24"/>
      <color rgb="FF2F5496"/>
      <name val="Calibri"/>
    </font>
    <font>
      <sz val="20"/>
      <color rgb="FFC55A11"/>
      <name val="Calibri"/>
    </font>
    <font>
      <sz val="20"/>
      <color rgb="FF385623"/>
      <name val="Calibri"/>
    </font>
    <font>
      <sz val="20"/>
      <color rgb="FFFF0000"/>
      <name val="Calibri"/>
    </font>
    <font>
      <b/>
      <sz val="14"/>
      <color rgb="FF2E75B5"/>
      <name val="Arial Black"/>
    </font>
    <font>
      <b/>
      <u/>
      <sz val="20"/>
      <color rgb="FF2F5496"/>
      <name val="Calibri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4B083"/>
        <bgColor rgb="FFF4B083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9">
    <xf numFmtId="0" fontId="0" fillId="0" borderId="0" xfId="0" applyFont="1" applyAlignment="1"/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0" xfId="0" applyFont="1"/>
    <xf numFmtId="3" fontId="1" fillId="0" borderId="0" xfId="0" applyNumberFormat="1" applyFont="1" applyAlignment="1">
      <alignment vertical="center"/>
    </xf>
    <xf numFmtId="3" fontId="4" fillId="0" borderId="4" xfId="0" applyNumberFormat="1" applyFont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6" borderId="4" xfId="0" applyFont="1" applyFill="1" applyBorder="1" applyAlignment="1">
      <alignment horizontal="center" vertical="center"/>
    </xf>
    <xf numFmtId="3" fontId="4" fillId="6" borderId="4" xfId="0" applyNumberFormat="1" applyFont="1" applyFill="1" applyBorder="1" applyAlignment="1">
      <alignment horizontal="center" vertical="center"/>
    </xf>
    <xf numFmtId="3" fontId="9" fillId="2" borderId="7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/>
    <xf numFmtId="14" fontId="1" fillId="0" borderId="4" xfId="0" applyNumberFormat="1" applyFont="1" applyBorder="1" applyAlignment="1">
      <alignment horizontal="center"/>
    </xf>
    <xf numFmtId="3" fontId="10" fillId="0" borderId="4" xfId="0" applyNumberFormat="1" applyFont="1" applyBorder="1" applyAlignment="1">
      <alignment horizontal="left" vertical="center"/>
    </xf>
    <xf numFmtId="3" fontId="4" fillId="2" borderId="4" xfId="0" applyNumberFormat="1" applyFont="1" applyFill="1" applyBorder="1" applyAlignment="1">
      <alignment vertical="center"/>
    </xf>
    <xf numFmtId="3" fontId="11" fillId="2" borderId="4" xfId="0" applyNumberFormat="1" applyFont="1" applyFill="1" applyBorder="1"/>
    <xf numFmtId="0" fontId="1" fillId="2" borderId="4" xfId="0" applyFont="1" applyFill="1" applyBorder="1"/>
    <xf numFmtId="3" fontId="9" fillId="2" borderId="8" xfId="0" applyNumberFormat="1" applyFont="1" applyFill="1" applyBorder="1" applyAlignment="1">
      <alignment horizontal="right" vertical="center"/>
    </xf>
    <xf numFmtId="0" fontId="1" fillId="2" borderId="8" xfId="0" applyFont="1" applyFill="1" applyBorder="1"/>
    <xf numFmtId="3" fontId="10" fillId="0" borderId="9" xfId="0" applyNumberFormat="1" applyFont="1" applyBorder="1" applyAlignment="1">
      <alignment horizontal="left" vertical="center"/>
    </xf>
    <xf numFmtId="3" fontId="4" fillId="2" borderId="10" xfId="0" applyNumberFormat="1" applyFont="1" applyFill="1" applyBorder="1" applyAlignment="1">
      <alignment vertical="center"/>
    </xf>
    <xf numFmtId="3" fontId="11" fillId="2" borderId="10" xfId="0" applyNumberFormat="1" applyFont="1" applyFill="1" applyBorder="1"/>
    <xf numFmtId="0" fontId="1" fillId="2" borderId="10" xfId="0" applyFont="1" applyFill="1" applyBorder="1"/>
    <xf numFmtId="14" fontId="1" fillId="0" borderId="5" xfId="0" applyNumberFormat="1" applyFont="1" applyBorder="1" applyAlignment="1">
      <alignment horizontal="center"/>
    </xf>
    <xf numFmtId="3" fontId="10" fillId="7" borderId="11" xfId="0" applyNumberFormat="1" applyFont="1" applyFill="1" applyBorder="1" applyAlignment="1">
      <alignment horizontal="left" vertical="center"/>
    </xf>
    <xf numFmtId="3" fontId="4" fillId="7" borderId="12" xfId="0" applyNumberFormat="1" applyFont="1" applyFill="1" applyBorder="1" applyAlignment="1">
      <alignment vertical="center"/>
    </xf>
    <xf numFmtId="3" fontId="11" fillId="7" borderId="12" xfId="0" applyNumberFormat="1" applyFont="1" applyFill="1" applyBorder="1"/>
    <xf numFmtId="0" fontId="1" fillId="7" borderId="12" xfId="0" applyFont="1" applyFill="1" applyBorder="1"/>
    <xf numFmtId="3" fontId="12" fillId="7" borderId="13" xfId="0" applyNumberFormat="1" applyFont="1" applyFill="1" applyBorder="1" applyAlignment="1">
      <alignment horizontal="right" vertical="center"/>
    </xf>
    <xf numFmtId="14" fontId="1" fillId="2" borderId="4" xfId="0" applyNumberFormat="1" applyFont="1" applyFill="1" applyBorder="1" applyAlignment="1">
      <alignment horizontal="center"/>
    </xf>
    <xf numFmtId="3" fontId="1" fillId="0" borderId="14" xfId="0" applyNumberFormat="1" applyFont="1" applyBorder="1" applyAlignment="1">
      <alignment horizontal="left" vertical="center"/>
    </xf>
    <xf numFmtId="3" fontId="11" fillId="2" borderId="15" xfId="0" applyNumberFormat="1" applyFont="1" applyFill="1" applyBorder="1" applyAlignment="1">
      <alignment vertical="center"/>
    </xf>
    <xf numFmtId="3" fontId="13" fillId="2" borderId="15" xfId="0" applyNumberFormat="1" applyFont="1" applyFill="1" applyBorder="1" applyAlignment="1"/>
    <xf numFmtId="0" fontId="1" fillId="2" borderId="15" xfId="0" applyFont="1" applyFill="1" applyBorder="1"/>
    <xf numFmtId="3" fontId="12" fillId="2" borderId="16" xfId="0" applyNumberFormat="1" applyFont="1" applyFill="1" applyBorder="1" applyAlignment="1">
      <alignment horizontal="right" vertical="center"/>
    </xf>
    <xf numFmtId="3" fontId="10" fillId="0" borderId="14" xfId="0" applyNumberFormat="1" applyFont="1" applyBorder="1" applyAlignment="1">
      <alignment horizontal="left" vertical="center"/>
    </xf>
    <xf numFmtId="0" fontId="1" fillId="5" borderId="8" xfId="0" applyFont="1" applyFill="1" applyBorder="1"/>
    <xf numFmtId="0" fontId="1" fillId="2" borderId="4" xfId="0" applyFont="1" applyFill="1" applyBorder="1" applyAlignment="1">
      <alignment horizontal="left" vertical="center" wrapText="1"/>
    </xf>
    <xf numFmtId="3" fontId="11" fillId="2" borderId="4" xfId="0" applyNumberFormat="1" applyFont="1" applyFill="1" applyBorder="1" applyAlignment="1">
      <alignment vertical="center"/>
    </xf>
    <xf numFmtId="3" fontId="14" fillId="8" borderId="4" xfId="0" applyNumberFormat="1" applyFont="1" applyFill="1" applyBorder="1" applyAlignment="1">
      <alignment vertical="center"/>
    </xf>
    <xf numFmtId="14" fontId="15" fillId="2" borderId="4" xfId="0" applyNumberFormat="1" applyFont="1" applyFill="1" applyBorder="1" applyAlignment="1">
      <alignment horizontal="center" vertical="center" wrapText="1"/>
    </xf>
    <xf numFmtId="3" fontId="16" fillId="5" borderId="4" xfId="0" applyNumberFormat="1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vertical="center"/>
    </xf>
    <xf numFmtId="3" fontId="11" fillId="2" borderId="4" xfId="0" applyNumberFormat="1" applyFont="1" applyFill="1" applyBorder="1" applyAlignment="1"/>
    <xf numFmtId="3" fontId="12" fillId="2" borderId="0" xfId="0" applyNumberFormat="1" applyFont="1" applyFill="1" applyAlignment="1">
      <alignment horizontal="right" vertical="center"/>
    </xf>
    <xf numFmtId="3" fontId="1" fillId="2" borderId="3" xfId="0" applyNumberFormat="1" applyFont="1" applyFill="1" applyBorder="1"/>
    <xf numFmtId="3" fontId="1" fillId="5" borderId="1" xfId="0" applyNumberFormat="1" applyFont="1" applyFill="1" applyBorder="1"/>
    <xf numFmtId="14" fontId="1" fillId="5" borderId="4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left" vertical="center"/>
    </xf>
    <xf numFmtId="3" fontId="4" fillId="5" borderId="4" xfId="0" applyNumberFormat="1" applyFont="1" applyFill="1" applyBorder="1" applyAlignment="1">
      <alignment vertical="center"/>
    </xf>
    <xf numFmtId="3" fontId="11" fillId="5" borderId="4" xfId="0" applyNumberFormat="1" applyFont="1" applyFill="1" applyBorder="1"/>
    <xf numFmtId="0" fontId="1" fillId="5" borderId="4" xfId="0" applyFont="1" applyFill="1" applyBorder="1"/>
    <xf numFmtId="3" fontId="12" fillId="5" borderId="0" xfId="0" applyNumberFormat="1" applyFont="1" applyFill="1" applyAlignment="1">
      <alignment horizontal="right" vertical="center"/>
    </xf>
    <xf numFmtId="3" fontId="1" fillId="5" borderId="3" xfId="0" applyNumberFormat="1" applyFont="1" applyFill="1" applyBorder="1"/>
    <xf numFmtId="3" fontId="10" fillId="5" borderId="4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/>
    <xf numFmtId="14" fontId="1" fillId="2" borderId="4" xfId="0" applyNumberFormat="1" applyFont="1" applyFill="1" applyBorder="1" applyAlignment="1">
      <alignment horizontal="center"/>
    </xf>
    <xf numFmtId="3" fontId="10" fillId="7" borderId="5" xfId="0" applyNumberFormat="1" applyFont="1" applyFill="1" applyBorder="1" applyAlignment="1">
      <alignment horizontal="left" vertical="center"/>
    </xf>
    <xf numFmtId="3" fontId="4" fillId="7" borderId="17" xfId="0" applyNumberFormat="1" applyFont="1" applyFill="1" applyBorder="1" applyAlignment="1">
      <alignment vertical="center"/>
    </xf>
    <xf numFmtId="3" fontId="11" fillId="7" borderId="17" xfId="0" applyNumberFormat="1" applyFont="1" applyFill="1" applyBorder="1"/>
    <xf numFmtId="0" fontId="1" fillId="7" borderId="17" xfId="0" applyFont="1" applyFill="1" applyBorder="1"/>
    <xf numFmtId="3" fontId="12" fillId="7" borderId="18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left"/>
    </xf>
    <xf numFmtId="14" fontId="1" fillId="2" borderId="4" xfId="0" applyNumberFormat="1" applyFont="1" applyFill="1" applyBorder="1" applyAlignment="1">
      <alignment horizontal="center" vertical="center"/>
    </xf>
    <xf numFmtId="3" fontId="17" fillId="5" borderId="15" xfId="0" applyNumberFormat="1" applyFont="1" applyFill="1" applyBorder="1" applyAlignment="1">
      <alignment horizontal="left" vertical="center"/>
    </xf>
    <xf numFmtId="3" fontId="18" fillId="5" borderId="15" xfId="0" applyNumberFormat="1" applyFont="1" applyFill="1" applyBorder="1" applyAlignment="1">
      <alignment horizontal="left" vertical="center"/>
    </xf>
    <xf numFmtId="0" fontId="19" fillId="0" borderId="4" xfId="0" applyFont="1" applyBorder="1" applyAlignment="1"/>
    <xf numFmtId="0" fontId="1" fillId="2" borderId="15" xfId="0" applyFont="1" applyFill="1" applyBorder="1" applyAlignment="1">
      <alignment horizontal="left" vertical="center"/>
    </xf>
    <xf numFmtId="3" fontId="5" fillId="2" borderId="19" xfId="0" applyNumberFormat="1" applyFont="1" applyFill="1" applyBorder="1" applyAlignment="1">
      <alignment horizontal="left" vertical="center"/>
    </xf>
    <xf numFmtId="3" fontId="1" fillId="2" borderId="8" xfId="0" applyNumberFormat="1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8" fillId="0" borderId="4" xfId="0" applyFont="1" applyBorder="1"/>
    <xf numFmtId="0" fontId="1" fillId="2" borderId="15" xfId="0" applyFont="1" applyFill="1" applyBorder="1" applyAlignment="1">
      <alignment vertical="center"/>
    </xf>
    <xf numFmtId="3" fontId="5" fillId="2" borderId="8" xfId="0" applyNumberFormat="1" applyFont="1" applyFill="1" applyBorder="1" applyAlignment="1">
      <alignment horizontal="right" vertical="center"/>
    </xf>
    <xf numFmtId="14" fontId="1" fillId="2" borderId="4" xfId="0" applyNumberFormat="1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left" vertical="center" wrapText="1"/>
    </xf>
    <xf numFmtId="3" fontId="11" fillId="2" borderId="4" xfId="0" applyNumberFormat="1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3" fontId="20" fillId="2" borderId="8" xfId="0" applyNumberFormat="1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4" fontId="1" fillId="2" borderId="20" xfId="0" applyNumberFormat="1" applyFont="1" applyFill="1" applyBorder="1" applyAlignment="1">
      <alignment horizontal="center"/>
    </xf>
    <xf numFmtId="3" fontId="10" fillId="7" borderId="21" xfId="0" applyNumberFormat="1" applyFont="1" applyFill="1" applyBorder="1" applyAlignment="1">
      <alignment horizontal="left" vertical="center"/>
    </xf>
    <xf numFmtId="3" fontId="4" fillId="7" borderId="22" xfId="0" applyNumberFormat="1" applyFont="1" applyFill="1" applyBorder="1" applyAlignment="1">
      <alignment vertical="center"/>
    </xf>
    <xf numFmtId="3" fontId="11" fillId="7" borderId="22" xfId="0" applyNumberFormat="1" applyFont="1" applyFill="1" applyBorder="1"/>
    <xf numFmtId="0" fontId="1" fillId="7" borderId="22" xfId="0" applyFont="1" applyFill="1" applyBorder="1"/>
    <xf numFmtId="3" fontId="5" fillId="7" borderId="13" xfId="0" applyNumberFormat="1" applyFont="1" applyFill="1" applyBorder="1" applyAlignment="1">
      <alignment horizontal="right" vertical="center"/>
    </xf>
    <xf numFmtId="3" fontId="21" fillId="9" borderId="8" xfId="0" applyNumberFormat="1" applyFont="1" applyFill="1" applyBorder="1" applyAlignment="1"/>
    <xf numFmtId="3" fontId="4" fillId="10" borderId="8" xfId="0" applyNumberFormat="1" applyFont="1" applyFill="1" applyBorder="1"/>
    <xf numFmtId="14" fontId="1" fillId="2" borderId="14" xfId="0" applyNumberFormat="1" applyFont="1" applyFill="1" applyBorder="1" applyAlignment="1">
      <alignment horizontal="center"/>
    </xf>
    <xf numFmtId="3" fontId="22" fillId="2" borderId="4" xfId="0" applyNumberFormat="1" applyFont="1" applyFill="1" applyBorder="1" applyAlignment="1">
      <alignment vertical="center"/>
    </xf>
    <xf numFmtId="3" fontId="11" fillId="2" borderId="4" xfId="0" applyNumberFormat="1" applyFont="1" applyFill="1" applyBorder="1" applyAlignment="1">
      <alignment horizontal="right" vertical="center"/>
    </xf>
    <xf numFmtId="3" fontId="1" fillId="2" borderId="15" xfId="0" applyNumberFormat="1" applyFont="1" applyFill="1" applyBorder="1" applyAlignment="1">
      <alignment vertical="center"/>
    </xf>
    <xf numFmtId="3" fontId="14" fillId="8" borderId="15" xfId="0" applyNumberFormat="1" applyFont="1" applyFill="1" applyBorder="1" applyAlignment="1">
      <alignment horizontal="right" vertical="center"/>
    </xf>
    <xf numFmtId="3" fontId="11" fillId="2" borderId="15" xfId="0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3" fontId="1" fillId="2" borderId="4" xfId="0" applyNumberFormat="1" applyFont="1" applyFill="1" applyBorder="1" applyAlignment="1">
      <alignment vertical="center"/>
    </xf>
    <xf numFmtId="3" fontId="5" fillId="2" borderId="8" xfId="0" applyNumberFormat="1" applyFont="1" applyFill="1" applyBorder="1" applyAlignment="1">
      <alignment horizontal="right" vertical="center"/>
    </xf>
    <xf numFmtId="3" fontId="14" fillId="8" borderId="4" xfId="0" applyNumberFormat="1" applyFont="1" applyFill="1" applyBorder="1" applyAlignment="1">
      <alignment horizontal="right" vertical="center"/>
    </xf>
    <xf numFmtId="3" fontId="16" fillId="5" borderId="4" xfId="0" applyNumberFormat="1" applyFont="1" applyFill="1" applyBorder="1" applyAlignment="1">
      <alignment vertical="center"/>
    </xf>
    <xf numFmtId="3" fontId="16" fillId="2" borderId="4" xfId="0" applyNumberFormat="1" applyFont="1" applyFill="1" applyBorder="1" applyAlignment="1">
      <alignment vertical="center" wrapText="1"/>
    </xf>
    <xf numFmtId="3" fontId="14" fillId="5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wrapText="1"/>
    </xf>
    <xf numFmtId="0" fontId="11" fillId="2" borderId="4" xfId="0" applyFont="1" applyFill="1" applyBorder="1"/>
    <xf numFmtId="14" fontId="1" fillId="2" borderId="23" xfId="0" applyNumberFormat="1" applyFont="1" applyFill="1" applyBorder="1" applyAlignment="1">
      <alignment horizontal="center"/>
    </xf>
    <xf numFmtId="3" fontId="10" fillId="7" borderId="24" xfId="0" applyNumberFormat="1" applyFont="1" applyFill="1" applyBorder="1" applyAlignment="1">
      <alignment horizontal="left" vertical="center"/>
    </xf>
    <xf numFmtId="3" fontId="1" fillId="9" borderId="8" xfId="0" applyNumberFormat="1" applyFont="1" applyFill="1" applyBorder="1"/>
    <xf numFmtId="0" fontId="1" fillId="2" borderId="25" xfId="0" applyFont="1" applyFill="1" applyBorder="1" applyAlignment="1">
      <alignment horizontal="left" vertical="center" wrapText="1"/>
    </xf>
    <xf numFmtId="3" fontId="4" fillId="2" borderId="25" xfId="0" applyNumberFormat="1" applyFont="1" applyFill="1" applyBorder="1" applyAlignment="1">
      <alignment vertical="center"/>
    </xf>
    <xf numFmtId="3" fontId="11" fillId="8" borderId="25" xfId="0" applyNumberFormat="1" applyFont="1" applyFill="1" applyBorder="1" applyAlignment="1">
      <alignment vertical="center"/>
    </xf>
    <xf numFmtId="0" fontId="1" fillId="2" borderId="25" xfId="0" applyFont="1" applyFill="1" applyBorder="1"/>
    <xf numFmtId="0" fontId="1" fillId="2" borderId="10" xfId="0" applyFont="1" applyFill="1" applyBorder="1" applyAlignment="1">
      <alignment wrapText="1"/>
    </xf>
    <xf numFmtId="0" fontId="11" fillId="2" borderId="10" xfId="0" applyFont="1" applyFill="1" applyBorder="1"/>
    <xf numFmtId="3" fontId="11" fillId="2" borderId="10" xfId="0" applyNumberFormat="1" applyFont="1" applyFill="1" applyBorder="1" applyAlignment="1">
      <alignment vertical="center"/>
    </xf>
    <xf numFmtId="14" fontId="1" fillId="2" borderId="23" xfId="0" applyNumberFormat="1" applyFont="1" applyFill="1" applyBorder="1" applyAlignment="1">
      <alignment horizontal="center" vertical="center"/>
    </xf>
    <xf numFmtId="3" fontId="10" fillId="7" borderId="11" xfId="0" applyNumberFormat="1" applyFont="1" applyFill="1" applyBorder="1" applyAlignment="1">
      <alignment horizontal="left" vertical="center"/>
    </xf>
    <xf numFmtId="3" fontId="1" fillId="9" borderId="8" xfId="0" applyNumberFormat="1" applyFont="1" applyFill="1" applyBorder="1" applyAlignment="1"/>
    <xf numFmtId="3" fontId="16" fillId="0" borderId="15" xfId="0" applyNumberFormat="1" applyFont="1" applyBorder="1" applyAlignment="1">
      <alignment horizontal="left" vertical="center"/>
    </xf>
    <xf numFmtId="3" fontId="18" fillId="2" borderId="25" xfId="0" applyNumberFormat="1" applyFont="1" applyFill="1" applyBorder="1" applyAlignment="1">
      <alignment vertical="center"/>
    </xf>
    <xf numFmtId="3" fontId="14" fillId="5" borderId="25" xfId="0" applyNumberFormat="1" applyFont="1" applyFill="1" applyBorder="1" applyAlignment="1"/>
    <xf numFmtId="3" fontId="1" fillId="11" borderId="8" xfId="0" applyNumberFormat="1" applyFont="1" applyFill="1" applyBorder="1"/>
    <xf numFmtId="3" fontId="1" fillId="0" borderId="4" xfId="0" applyNumberFormat="1" applyFont="1" applyBorder="1" applyAlignment="1">
      <alignment horizontal="left" vertical="center" wrapText="1"/>
    </xf>
    <xf numFmtId="3" fontId="16" fillId="0" borderId="4" xfId="0" applyNumberFormat="1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left" vertical="center" wrapText="1"/>
    </xf>
    <xf numFmtId="3" fontId="1" fillId="2" borderId="25" xfId="0" applyNumberFormat="1" applyFont="1" applyFill="1" applyBorder="1" applyAlignment="1">
      <alignment vertical="center"/>
    </xf>
    <xf numFmtId="3" fontId="11" fillId="8" borderId="4" xfId="0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3" fontId="4" fillId="2" borderId="9" xfId="0" applyNumberFormat="1" applyFont="1" applyFill="1" applyBorder="1" applyAlignment="1">
      <alignment vertical="center"/>
    </xf>
    <xf numFmtId="3" fontId="14" fillId="2" borderId="4" xfId="0" applyNumberFormat="1" applyFont="1" applyFill="1" applyBorder="1" applyAlignment="1">
      <alignment vertical="center"/>
    </xf>
    <xf numFmtId="0" fontId="1" fillId="2" borderId="9" xfId="0" applyFont="1" applyFill="1" applyBorder="1"/>
    <xf numFmtId="3" fontId="5" fillId="5" borderId="3" xfId="0" applyNumberFormat="1" applyFont="1" applyFill="1" applyBorder="1" applyAlignment="1">
      <alignment horizontal="right" vertical="center"/>
    </xf>
    <xf numFmtId="3" fontId="1" fillId="5" borderId="8" xfId="0" applyNumberFormat="1" applyFont="1" applyFill="1" applyBorder="1"/>
    <xf numFmtId="3" fontId="5" fillId="5" borderId="0" xfId="0" applyNumberFormat="1" applyFont="1" applyFill="1" applyAlignment="1">
      <alignment horizontal="right" vertical="center"/>
    </xf>
    <xf numFmtId="3" fontId="1" fillId="5" borderId="8" xfId="0" applyNumberFormat="1" applyFont="1" applyFill="1" applyBorder="1" applyAlignment="1"/>
    <xf numFmtId="3" fontId="21" fillId="5" borderId="8" xfId="0" applyNumberFormat="1" applyFont="1" applyFill="1" applyBorder="1" applyAlignment="1"/>
    <xf numFmtId="3" fontId="1" fillId="2" borderId="8" xfId="0" applyNumberFormat="1" applyFont="1" applyFill="1" applyBorder="1" applyAlignment="1">
      <alignment horizontal="center"/>
    </xf>
    <xf numFmtId="3" fontId="11" fillId="5" borderId="2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/>
    </xf>
    <xf numFmtId="3" fontId="10" fillId="7" borderId="4" xfId="0" applyNumberFormat="1" applyFont="1" applyFill="1" applyBorder="1" applyAlignment="1">
      <alignment horizontal="left" vertical="center"/>
    </xf>
    <xf numFmtId="3" fontId="4" fillId="7" borderId="4" xfId="0" applyNumberFormat="1" applyFont="1" applyFill="1" applyBorder="1" applyAlignment="1">
      <alignment vertical="center"/>
    </xf>
    <xf numFmtId="3" fontId="11" fillId="7" borderId="4" xfId="0" applyNumberFormat="1" applyFont="1" applyFill="1" applyBorder="1" applyAlignment="1"/>
    <xf numFmtId="0" fontId="1" fillId="7" borderId="4" xfId="0" applyFont="1" applyFill="1" applyBorder="1"/>
    <xf numFmtId="3" fontId="5" fillId="7" borderId="26" xfId="0" applyNumberFormat="1" applyFont="1" applyFill="1" applyBorder="1" applyAlignment="1">
      <alignment horizontal="right" vertical="center"/>
    </xf>
    <xf numFmtId="3" fontId="1" fillId="12" borderId="8" xfId="0" applyNumberFormat="1" applyFont="1" applyFill="1" applyBorder="1" applyAlignment="1"/>
    <xf numFmtId="3" fontId="21" fillId="12" borderId="8" xfId="0" applyNumberFormat="1" applyFont="1" applyFill="1" applyBorder="1" applyAlignment="1"/>
    <xf numFmtId="0" fontId="16" fillId="5" borderId="4" xfId="0" applyFont="1" applyFill="1" applyBorder="1" applyAlignment="1">
      <alignment horizontal="left" vertical="center"/>
    </xf>
    <xf numFmtId="3" fontId="14" fillId="13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/>
    <xf numFmtId="3" fontId="23" fillId="2" borderId="3" xfId="0" applyNumberFormat="1" applyFont="1" applyFill="1" applyBorder="1" applyAlignment="1">
      <alignment horizontal="right" vertical="center"/>
    </xf>
    <xf numFmtId="3" fontId="1" fillId="14" borderId="8" xfId="0" applyNumberFormat="1" applyFont="1" applyFill="1" applyBorder="1"/>
    <xf numFmtId="0" fontId="1" fillId="2" borderId="4" xfId="0" applyFont="1" applyFill="1" applyBorder="1" applyAlignment="1">
      <alignment horizontal="left" vertical="center"/>
    </xf>
    <xf numFmtId="3" fontId="24" fillId="2" borderId="4" xfId="0" applyNumberFormat="1" applyFont="1" applyFill="1" applyBorder="1" applyAlignment="1">
      <alignment vertical="center"/>
    </xf>
    <xf numFmtId="3" fontId="5" fillId="2" borderId="3" xfId="0" applyNumberFormat="1" applyFont="1" applyFill="1" applyBorder="1" applyAlignment="1">
      <alignment horizontal="right" vertical="center"/>
    </xf>
    <xf numFmtId="3" fontId="10" fillId="7" borderId="4" xfId="0" applyNumberFormat="1" applyFont="1" applyFill="1" applyBorder="1" applyAlignment="1">
      <alignment horizontal="left" vertical="center"/>
    </xf>
    <xf numFmtId="3" fontId="5" fillId="7" borderId="26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vertical="center" wrapText="1"/>
    </xf>
    <xf numFmtId="3" fontId="11" fillId="2" borderId="4" xfId="0" applyNumberFormat="1" applyFont="1" applyFill="1" applyBorder="1" applyAlignment="1">
      <alignment horizontal="right"/>
    </xf>
    <xf numFmtId="3" fontId="5" fillId="2" borderId="27" xfId="0" applyNumberFormat="1" applyFont="1" applyFill="1" applyBorder="1" applyAlignment="1">
      <alignment horizontal="right" vertical="center"/>
    </xf>
    <xf numFmtId="3" fontId="10" fillId="15" borderId="4" xfId="0" applyNumberFormat="1" applyFont="1" applyFill="1" applyBorder="1" applyAlignment="1">
      <alignment horizontal="left" vertical="center"/>
    </xf>
    <xf numFmtId="3" fontId="4" fillId="15" borderId="4" xfId="0" applyNumberFormat="1" applyFont="1" applyFill="1" applyBorder="1" applyAlignment="1">
      <alignment vertical="center"/>
    </xf>
    <xf numFmtId="3" fontId="11" fillId="15" borderId="4" xfId="0" applyNumberFormat="1" applyFont="1" applyFill="1" applyBorder="1"/>
    <xf numFmtId="0" fontId="1" fillId="15" borderId="4" xfId="0" applyFont="1" applyFill="1" applyBorder="1"/>
    <xf numFmtId="3" fontId="12" fillId="15" borderId="4" xfId="0" applyNumberFormat="1" applyFont="1" applyFill="1" applyBorder="1" applyAlignment="1">
      <alignment horizontal="right" vertical="center"/>
    </xf>
    <xf numFmtId="3" fontId="1" fillId="2" borderId="15" xfId="0" applyNumberFormat="1" applyFont="1" applyFill="1" applyBorder="1" applyAlignment="1"/>
    <xf numFmtId="3" fontId="11" fillId="2" borderId="15" xfId="0" applyNumberFormat="1" applyFont="1" applyFill="1" applyBorder="1"/>
    <xf numFmtId="3" fontId="14" fillId="8" borderId="15" xfId="0" applyNumberFormat="1" applyFont="1" applyFill="1" applyBorder="1" applyAlignment="1"/>
    <xf numFmtId="3" fontId="12" fillId="2" borderId="19" xfId="0" applyNumberFormat="1" applyFont="1" applyFill="1" applyBorder="1" applyAlignment="1">
      <alignment horizontal="right" vertical="center"/>
    </xf>
    <xf numFmtId="3" fontId="1" fillId="0" borderId="15" xfId="0" applyNumberFormat="1" applyFont="1" applyBorder="1" applyAlignment="1">
      <alignment horizontal="left" vertical="center"/>
    </xf>
    <xf numFmtId="3" fontId="4" fillId="2" borderId="15" xfId="0" applyNumberFormat="1" applyFont="1" applyFill="1" applyBorder="1" applyAlignment="1">
      <alignment vertical="center"/>
    </xf>
    <xf numFmtId="3" fontId="11" fillId="8" borderId="15" xfId="0" applyNumberFormat="1" applyFont="1" applyFill="1" applyBorder="1" applyAlignment="1"/>
    <xf numFmtId="3" fontId="1" fillId="0" borderId="4" xfId="0" applyNumberFormat="1" applyFont="1" applyBorder="1" applyAlignment="1">
      <alignment horizontal="left" vertical="center"/>
    </xf>
    <xf numFmtId="3" fontId="11" fillId="8" borderId="4" xfId="0" applyNumberFormat="1" applyFont="1" applyFill="1" applyBorder="1" applyAlignment="1"/>
    <xf numFmtId="3" fontId="10" fillId="5" borderId="28" xfId="0" applyNumberFormat="1" applyFont="1" applyFill="1" applyBorder="1" applyAlignment="1">
      <alignment horizontal="left" vertical="center"/>
    </xf>
    <xf numFmtId="3" fontId="10" fillId="15" borderId="29" xfId="0" applyNumberFormat="1" applyFont="1" applyFill="1" applyBorder="1" applyAlignment="1">
      <alignment horizontal="left" vertical="center"/>
    </xf>
    <xf numFmtId="3" fontId="4" fillId="15" borderId="30" xfId="0" applyNumberFormat="1" applyFont="1" applyFill="1" applyBorder="1" applyAlignment="1">
      <alignment vertical="center"/>
    </xf>
    <xf numFmtId="3" fontId="11" fillId="15" borderId="30" xfId="0" applyNumberFormat="1" applyFont="1" applyFill="1" applyBorder="1"/>
    <xf numFmtId="0" fontId="1" fillId="15" borderId="30" xfId="0" applyFont="1" applyFill="1" applyBorder="1"/>
    <xf numFmtId="3" fontId="12" fillId="15" borderId="31" xfId="0" applyNumberFormat="1" applyFont="1" applyFill="1" applyBorder="1" applyAlignment="1">
      <alignment horizontal="right" vertical="center"/>
    </xf>
    <xf numFmtId="3" fontId="16" fillId="2" borderId="8" xfId="0" applyNumberFormat="1" applyFont="1" applyFill="1" applyBorder="1"/>
    <xf numFmtId="0" fontId="16" fillId="5" borderId="25" xfId="0" applyFont="1" applyFill="1" applyBorder="1" applyAlignment="1"/>
    <xf numFmtId="0" fontId="14" fillId="5" borderId="25" xfId="0" applyFont="1" applyFill="1" applyBorder="1"/>
    <xf numFmtId="3" fontId="14" fillId="8" borderId="25" xfId="0" applyNumberFormat="1" applyFont="1" applyFill="1" applyBorder="1" applyAlignment="1"/>
    <xf numFmtId="0" fontId="16" fillId="2" borderId="25" xfId="0" applyFont="1" applyFill="1" applyBorder="1"/>
    <xf numFmtId="0" fontId="16" fillId="2" borderId="8" xfId="0" applyFont="1" applyFill="1" applyBorder="1"/>
    <xf numFmtId="3" fontId="14" fillId="5" borderId="4" xfId="0" applyNumberFormat="1" applyFont="1" applyFill="1" applyBorder="1" applyAlignment="1"/>
    <xf numFmtId="0" fontId="16" fillId="2" borderId="3" xfId="0" applyFont="1" applyFill="1" applyBorder="1"/>
    <xf numFmtId="3" fontId="10" fillId="0" borderId="4" xfId="0" applyNumberFormat="1" applyFont="1" applyBorder="1" applyAlignment="1">
      <alignment horizontal="left" vertical="center"/>
    </xf>
    <xf numFmtId="3" fontId="10" fillId="15" borderId="32" xfId="0" applyNumberFormat="1" applyFont="1" applyFill="1" applyBorder="1" applyAlignment="1">
      <alignment horizontal="left" vertical="center"/>
    </xf>
    <xf numFmtId="3" fontId="4" fillId="15" borderId="33" xfId="0" applyNumberFormat="1" applyFont="1" applyFill="1" applyBorder="1" applyAlignment="1">
      <alignment vertical="center"/>
    </xf>
    <xf numFmtId="3" fontId="11" fillId="15" borderId="33" xfId="0" applyNumberFormat="1" applyFont="1" applyFill="1" applyBorder="1"/>
    <xf numFmtId="0" fontId="1" fillId="15" borderId="33" xfId="0" applyFont="1" applyFill="1" applyBorder="1"/>
    <xf numFmtId="3" fontId="12" fillId="15" borderId="13" xfId="0" applyNumberFormat="1" applyFont="1" applyFill="1" applyBorder="1" applyAlignment="1">
      <alignment horizontal="right" vertical="center"/>
    </xf>
    <xf numFmtId="14" fontId="1" fillId="2" borderId="4" xfId="0" applyNumberFormat="1" applyFont="1" applyFill="1" applyBorder="1" applyAlignment="1">
      <alignment horizontal="center" vertical="center" wrapText="1"/>
    </xf>
    <xf numFmtId="3" fontId="1" fillId="0" borderId="4" xfId="0" applyNumberFormat="1" applyFont="1" applyBorder="1" applyAlignment="1"/>
    <xf numFmtId="3" fontId="1" fillId="5" borderId="4" xfId="0" applyNumberFormat="1" applyFont="1" applyFill="1" applyBorder="1" applyAlignment="1"/>
    <xf numFmtId="3" fontId="1" fillId="5" borderId="4" xfId="0" applyNumberFormat="1" applyFont="1" applyFill="1" applyBorder="1" applyAlignment="1">
      <alignment horizontal="right"/>
    </xf>
    <xf numFmtId="0" fontId="25" fillId="2" borderId="4" xfId="0" applyFont="1" applyFill="1" applyBorder="1" applyAlignment="1"/>
    <xf numFmtId="0" fontId="1" fillId="2" borderId="3" xfId="0" applyFont="1" applyFill="1" applyBorder="1"/>
    <xf numFmtId="3" fontId="11" fillId="0" borderId="0" xfId="0" applyNumberFormat="1" applyFont="1"/>
    <xf numFmtId="3" fontId="21" fillId="0" borderId="0" xfId="0" applyNumberFormat="1" applyFont="1" applyAlignment="1"/>
    <xf numFmtId="3" fontId="26" fillId="0" borderId="0" xfId="0" applyNumberFormat="1" applyFont="1"/>
    <xf numFmtId="3" fontId="1" fillId="5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wrapText="1"/>
    </xf>
    <xf numFmtId="3" fontId="26" fillId="0" borderId="0" xfId="0" applyNumberFormat="1" applyFont="1" applyAlignment="1"/>
    <xf numFmtId="3" fontId="16" fillId="2" borderId="25" xfId="0" applyNumberFormat="1" applyFont="1" applyFill="1" applyBorder="1" applyAlignment="1">
      <alignment horizontal="left" vertical="center" wrapText="1"/>
    </xf>
    <xf numFmtId="3" fontId="14" fillId="2" borderId="25" xfId="0" applyNumberFormat="1" applyFont="1" applyFill="1" applyBorder="1" applyAlignment="1">
      <alignment vertical="center"/>
    </xf>
    <xf numFmtId="3" fontId="25" fillId="2" borderId="25" xfId="0" applyNumberFormat="1" applyFont="1" applyFill="1" applyBorder="1" applyAlignment="1"/>
    <xf numFmtId="3" fontId="12" fillId="2" borderId="8" xfId="0" applyNumberFormat="1" applyFont="1" applyFill="1" applyBorder="1" applyAlignment="1">
      <alignment horizontal="right" vertical="center"/>
    </xf>
    <xf numFmtId="14" fontId="16" fillId="2" borderId="4" xfId="0" applyNumberFormat="1" applyFont="1" applyFill="1" applyBorder="1" applyAlignment="1">
      <alignment horizontal="center" vertical="center" wrapText="1"/>
    </xf>
    <xf numFmtId="3" fontId="16" fillId="0" borderId="4" xfId="0" applyNumberFormat="1" applyFont="1" applyBorder="1" applyAlignment="1">
      <alignment horizontal="left" vertical="center"/>
    </xf>
    <xf numFmtId="3" fontId="14" fillId="5" borderId="15" xfId="0" applyNumberFormat="1" applyFont="1" applyFill="1" applyBorder="1" applyAlignment="1">
      <alignment horizontal="right" vertical="center"/>
    </xf>
    <xf numFmtId="3" fontId="14" fillId="5" borderId="4" xfId="0" applyNumberFormat="1" applyFont="1" applyFill="1" applyBorder="1" applyAlignment="1">
      <alignment horizontal="right" vertical="center"/>
    </xf>
    <xf numFmtId="3" fontId="11" fillId="5" borderId="4" xfId="0" applyNumberFormat="1" applyFont="1" applyFill="1" applyBorder="1" applyAlignment="1">
      <alignment vertical="center"/>
    </xf>
    <xf numFmtId="3" fontId="11" fillId="5" borderId="15" xfId="0" applyNumberFormat="1" applyFont="1" applyFill="1" applyBorder="1" applyAlignment="1">
      <alignment vertical="center"/>
    </xf>
    <xf numFmtId="0" fontId="11" fillId="5" borderId="4" xfId="0" applyFont="1" applyFill="1" applyBorder="1" applyAlignment="1"/>
    <xf numFmtId="3" fontId="14" fillId="5" borderId="15" xfId="0" applyNumberFormat="1" applyFont="1" applyFill="1" applyBorder="1" applyAlignment="1"/>
    <xf numFmtId="3" fontId="1" fillId="16" borderId="0" xfId="0" applyNumberFormat="1" applyFont="1" applyFill="1" applyAlignment="1">
      <alignment horizontal="center" vertical="center"/>
    </xf>
    <xf numFmtId="3" fontId="6" fillId="3" borderId="25" xfId="0" applyNumberFormat="1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 wrapText="1"/>
    </xf>
    <xf numFmtId="3" fontId="9" fillId="2" borderId="19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/>
    <xf numFmtId="3" fontId="1" fillId="2" borderId="10" xfId="0" applyNumberFormat="1" applyFont="1" applyFill="1" applyBorder="1"/>
    <xf numFmtId="3" fontId="10" fillId="0" borderId="11" xfId="0" applyNumberFormat="1" applyFont="1" applyBorder="1" applyAlignment="1">
      <alignment horizontal="left" vertical="center"/>
    </xf>
    <xf numFmtId="3" fontId="4" fillId="2" borderId="12" xfId="0" applyNumberFormat="1" applyFont="1" applyFill="1" applyBorder="1" applyAlignment="1">
      <alignment vertical="center"/>
    </xf>
    <xf numFmtId="3" fontId="1" fillId="2" borderId="12" xfId="0" applyNumberFormat="1" applyFont="1" applyFill="1" applyBorder="1"/>
    <xf numFmtId="0" fontId="1" fillId="2" borderId="12" xfId="0" applyFont="1" applyFill="1" applyBorder="1"/>
    <xf numFmtId="3" fontId="12" fillId="2" borderId="13" xfId="0" applyNumberFormat="1" applyFont="1" applyFill="1" applyBorder="1" applyAlignment="1">
      <alignment horizontal="right" vertical="center"/>
    </xf>
    <xf numFmtId="14" fontId="1" fillId="2" borderId="4" xfId="0" applyNumberFormat="1" applyFont="1" applyFill="1" applyBorder="1" applyAlignment="1"/>
    <xf numFmtId="3" fontId="16" fillId="2" borderId="25" xfId="0" applyNumberFormat="1" applyFont="1" applyFill="1" applyBorder="1" applyAlignment="1">
      <alignment horizontal="left" vertical="center"/>
    </xf>
    <xf numFmtId="3" fontId="16" fillId="2" borderId="25" xfId="0" applyNumberFormat="1" applyFont="1" applyFill="1" applyBorder="1" applyAlignment="1">
      <alignment vertical="center"/>
    </xf>
    <xf numFmtId="3" fontId="15" fillId="2" borderId="25" xfId="0" applyNumberFormat="1" applyFont="1" applyFill="1" applyBorder="1" applyAlignment="1"/>
    <xf numFmtId="0" fontId="1" fillId="2" borderId="15" xfId="0" applyFont="1" applyFill="1" applyBorder="1" applyAlignment="1">
      <alignment horizontal="left"/>
    </xf>
    <xf numFmtId="3" fontId="1" fillId="2" borderId="15" xfId="0" applyNumberFormat="1" applyFont="1" applyFill="1" applyBorder="1"/>
    <xf numFmtId="14" fontId="1" fillId="2" borderId="14" xfId="0" applyNumberFormat="1" applyFont="1" applyFill="1" applyBorder="1"/>
    <xf numFmtId="3" fontId="10" fillId="0" borderId="5" xfId="0" applyNumberFormat="1" applyFont="1" applyBorder="1" applyAlignment="1">
      <alignment horizontal="left" vertical="center"/>
    </xf>
    <xf numFmtId="3" fontId="4" fillId="2" borderId="34" xfId="0" applyNumberFormat="1" applyFont="1" applyFill="1" applyBorder="1" applyAlignment="1">
      <alignment vertical="center"/>
    </xf>
    <xf numFmtId="3" fontId="1" fillId="2" borderId="34" xfId="0" applyNumberFormat="1" applyFont="1" applyFill="1" applyBorder="1"/>
    <xf numFmtId="0" fontId="1" fillId="2" borderId="34" xfId="0" applyFont="1" applyFill="1" applyBorder="1"/>
    <xf numFmtId="3" fontId="12" fillId="2" borderId="35" xfId="0" applyNumberFormat="1" applyFont="1" applyFill="1" applyBorder="1" applyAlignment="1">
      <alignment horizontal="right" vertical="center"/>
    </xf>
    <xf numFmtId="14" fontId="1" fillId="2" borderId="36" xfId="0" applyNumberFormat="1" applyFont="1" applyFill="1" applyBorder="1"/>
    <xf numFmtId="3" fontId="4" fillId="2" borderId="17" xfId="0" applyNumberFormat="1" applyFont="1" applyFill="1" applyBorder="1" applyAlignment="1">
      <alignment vertical="center"/>
    </xf>
    <xf numFmtId="3" fontId="1" fillId="2" borderId="17" xfId="0" applyNumberFormat="1" applyFont="1" applyFill="1" applyBorder="1"/>
    <xf numFmtId="0" fontId="1" fillId="2" borderId="17" xfId="0" applyFont="1" applyFill="1" applyBorder="1"/>
    <xf numFmtId="3" fontId="12" fillId="2" borderId="18" xfId="0" applyNumberFormat="1" applyFont="1" applyFill="1" applyBorder="1" applyAlignment="1">
      <alignment horizontal="right" vertical="center"/>
    </xf>
    <xf numFmtId="14" fontId="1" fillId="2" borderId="4" xfId="0" applyNumberFormat="1" applyFont="1" applyFill="1" applyBorder="1" applyAlignment="1">
      <alignment vertical="center"/>
    </xf>
    <xf numFmtId="0" fontId="27" fillId="0" borderId="4" xfId="0" applyFont="1" applyBorder="1" applyAlignment="1"/>
    <xf numFmtId="3" fontId="16" fillId="5" borderId="25" xfId="0" applyNumberFormat="1" applyFont="1" applyFill="1" applyBorder="1" applyAlignment="1">
      <alignment horizontal="left" vertical="center"/>
    </xf>
    <xf numFmtId="0" fontId="28" fillId="0" borderId="4" xfId="0" applyFont="1" applyBorder="1" applyAlignment="1"/>
    <xf numFmtId="14" fontId="1" fillId="2" borderId="4" xfId="0" applyNumberFormat="1" applyFont="1" applyFill="1" applyBorder="1" applyAlignment="1">
      <alignment horizontal="right" vertical="center"/>
    </xf>
    <xf numFmtId="3" fontId="10" fillId="0" borderId="15" xfId="0" applyNumberFormat="1" applyFont="1" applyBorder="1" applyAlignment="1">
      <alignment horizontal="left" vertical="center" wrapText="1"/>
    </xf>
    <xf numFmtId="3" fontId="1" fillId="2" borderId="4" xfId="0" applyNumberFormat="1" applyFont="1" applyFill="1" applyBorder="1" applyAlignment="1">
      <alignment vertical="center"/>
    </xf>
    <xf numFmtId="3" fontId="1" fillId="2" borderId="4" xfId="0" applyNumberFormat="1" applyFont="1" applyFill="1" applyBorder="1" applyAlignment="1"/>
    <xf numFmtId="3" fontId="1" fillId="2" borderId="8" xfId="0" applyNumberFormat="1" applyFont="1" applyFill="1" applyBorder="1" applyAlignment="1"/>
    <xf numFmtId="3" fontId="10" fillId="0" borderId="21" xfId="0" applyNumberFormat="1" applyFont="1" applyBorder="1" applyAlignment="1">
      <alignment horizontal="left" vertical="center"/>
    </xf>
    <xf numFmtId="3" fontId="4" fillId="2" borderId="22" xfId="0" applyNumberFormat="1" applyFont="1" applyFill="1" applyBorder="1" applyAlignment="1">
      <alignment vertical="center"/>
    </xf>
    <xf numFmtId="3" fontId="1" fillId="2" borderId="22" xfId="0" applyNumberFormat="1" applyFont="1" applyFill="1" applyBorder="1"/>
    <xf numFmtId="0" fontId="1" fillId="2" borderId="22" xfId="0" applyFont="1" applyFill="1" applyBorder="1"/>
    <xf numFmtId="3" fontId="5" fillId="2" borderId="13" xfId="0" applyNumberFormat="1" applyFont="1" applyFill="1" applyBorder="1" applyAlignment="1">
      <alignment horizontal="right" vertical="center"/>
    </xf>
    <xf numFmtId="14" fontId="1" fillId="2" borderId="14" xfId="0" applyNumberFormat="1" applyFont="1" applyFill="1" applyBorder="1" applyAlignment="1"/>
    <xf numFmtId="3" fontId="1" fillId="2" borderId="4" xfId="0" applyNumberFormat="1" applyFont="1" applyFill="1" applyBorder="1" applyAlignment="1">
      <alignment horizontal="right" vertical="center"/>
    </xf>
    <xf numFmtId="3" fontId="16" fillId="5" borderId="15" xfId="0" applyNumberFormat="1" applyFont="1" applyFill="1" applyBorder="1" applyAlignment="1">
      <alignment horizontal="right" vertical="center"/>
    </xf>
    <xf numFmtId="3" fontId="1" fillId="2" borderId="15" xfId="0" applyNumberFormat="1" applyFont="1" applyFill="1" applyBorder="1" applyAlignment="1">
      <alignment vertical="center"/>
    </xf>
    <xf numFmtId="3" fontId="16" fillId="5" borderId="4" xfId="0" applyNumberFormat="1" applyFont="1" applyFill="1" applyBorder="1" applyAlignment="1">
      <alignment horizontal="right" vertical="center"/>
    </xf>
    <xf numFmtId="3" fontId="15" fillId="5" borderId="4" xfId="0" applyNumberFormat="1" applyFont="1" applyFill="1" applyBorder="1" applyAlignment="1">
      <alignment vertical="center"/>
    </xf>
    <xf numFmtId="3" fontId="10" fillId="2" borderId="24" xfId="0" applyNumberFormat="1" applyFont="1" applyFill="1" applyBorder="1" applyAlignment="1">
      <alignment horizontal="left" vertical="center"/>
    </xf>
    <xf numFmtId="3" fontId="1" fillId="5" borderId="25" xfId="0" applyNumberFormat="1" applyFont="1" applyFill="1" applyBorder="1" applyAlignment="1">
      <alignment vertical="center"/>
    </xf>
    <xf numFmtId="3" fontId="1" fillId="2" borderId="10" xfId="0" applyNumberFormat="1" applyFont="1" applyFill="1" applyBorder="1" applyAlignment="1">
      <alignment vertical="center"/>
    </xf>
    <xf numFmtId="3" fontId="10" fillId="0" borderId="11" xfId="0" applyNumberFormat="1" applyFont="1" applyBorder="1" applyAlignment="1">
      <alignment horizontal="left" vertical="center"/>
    </xf>
    <xf numFmtId="3" fontId="16" fillId="5" borderId="25" xfId="0" applyNumberFormat="1" applyFont="1" applyFill="1" applyBorder="1" applyAlignment="1"/>
    <xf numFmtId="3" fontId="1" fillId="5" borderId="4" xfId="0" applyNumberFormat="1" applyFont="1" applyFill="1" applyBorder="1" applyAlignment="1">
      <alignment vertical="center"/>
    </xf>
    <xf numFmtId="3" fontId="11" fillId="2" borderId="25" xfId="0" applyNumberFormat="1" applyFont="1" applyFill="1" applyBorder="1" applyAlignment="1">
      <alignment vertical="center"/>
    </xf>
    <xf numFmtId="3" fontId="5" fillId="2" borderId="26" xfId="0" applyNumberFormat="1" applyFont="1" applyFill="1" applyBorder="1" applyAlignment="1">
      <alignment horizontal="right" vertical="center"/>
    </xf>
    <xf numFmtId="14" fontId="1" fillId="2" borderId="4" xfId="0" applyNumberFormat="1" applyFont="1" applyFill="1" applyBorder="1"/>
    <xf numFmtId="3" fontId="5" fillId="2" borderId="26" xfId="0" applyNumberFormat="1" applyFont="1" applyFill="1" applyBorder="1" applyAlignment="1">
      <alignment horizontal="right" vertical="center"/>
    </xf>
    <xf numFmtId="3" fontId="1" fillId="12" borderId="8" xfId="0" applyNumberFormat="1" applyFont="1" applyFill="1" applyBorder="1"/>
    <xf numFmtId="3" fontId="1" fillId="2" borderId="4" xfId="0" applyNumberFormat="1" applyFont="1" applyFill="1" applyBorder="1" applyAlignment="1">
      <alignment horizontal="right"/>
    </xf>
    <xf numFmtId="3" fontId="16" fillId="2" borderId="4" xfId="0" applyNumberFormat="1" applyFont="1" applyFill="1" applyBorder="1" applyAlignment="1">
      <alignment vertical="center"/>
    </xf>
    <xf numFmtId="3" fontId="23" fillId="2" borderId="4" xfId="0" applyNumberFormat="1" applyFont="1" applyFill="1" applyBorder="1" applyAlignment="1">
      <alignment horizontal="right" vertical="center"/>
    </xf>
    <xf numFmtId="3" fontId="15" fillId="2" borderId="15" xfId="0" applyNumberFormat="1" applyFont="1" applyFill="1" applyBorder="1" applyAlignment="1"/>
    <xf numFmtId="3" fontId="10" fillId="0" borderId="29" xfId="0" applyNumberFormat="1" applyFont="1" applyBorder="1" applyAlignment="1">
      <alignment horizontal="left" vertical="center"/>
    </xf>
    <xf numFmtId="3" fontId="4" fillId="2" borderId="30" xfId="0" applyNumberFormat="1" applyFont="1" applyFill="1" applyBorder="1" applyAlignment="1">
      <alignment vertical="center"/>
    </xf>
    <xf numFmtId="3" fontId="1" fillId="2" borderId="30" xfId="0" applyNumberFormat="1" applyFont="1" applyFill="1" applyBorder="1"/>
    <xf numFmtId="0" fontId="1" fillId="2" borderId="30" xfId="0" applyFont="1" applyFill="1" applyBorder="1"/>
    <xf numFmtId="3" fontId="12" fillId="2" borderId="31" xfId="0" applyNumberFormat="1" applyFont="1" applyFill="1" applyBorder="1" applyAlignment="1">
      <alignment horizontal="right" vertical="center"/>
    </xf>
    <xf numFmtId="14" fontId="16" fillId="2" borderId="4" xfId="0" applyNumberFormat="1" applyFont="1" applyFill="1" applyBorder="1" applyAlignment="1"/>
    <xf numFmtId="0" fontId="16" fillId="5" borderId="25" xfId="0" applyFont="1" applyFill="1" applyBorder="1"/>
    <xf numFmtId="3" fontId="15" fillId="5" borderId="25" xfId="0" applyNumberFormat="1" applyFont="1" applyFill="1" applyBorder="1" applyAlignment="1"/>
    <xf numFmtId="0" fontId="1" fillId="2" borderId="0" xfId="0" applyFont="1" applyFill="1"/>
    <xf numFmtId="14" fontId="1" fillId="2" borderId="5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left" vertical="center"/>
    </xf>
    <xf numFmtId="3" fontId="4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3" fontId="23" fillId="2" borderId="13" xfId="0" applyNumberFormat="1" applyFont="1" applyFill="1" applyBorder="1" applyAlignment="1">
      <alignment horizontal="right" vertical="center"/>
    </xf>
    <xf numFmtId="3" fontId="16" fillId="2" borderId="25" xfId="0" applyNumberFormat="1" applyFont="1" applyFill="1" applyBorder="1" applyAlignment="1"/>
    <xf numFmtId="3" fontId="16" fillId="2" borderId="25" xfId="0" applyNumberFormat="1" applyFont="1" applyFill="1" applyBorder="1"/>
    <xf numFmtId="0" fontId="15" fillId="2" borderId="4" xfId="0" applyFont="1" applyFill="1" applyBorder="1" applyAlignment="1"/>
    <xf numFmtId="0" fontId="1" fillId="2" borderId="4" xfId="0" applyFont="1" applyFill="1" applyBorder="1" applyAlignment="1">
      <alignment horizontal="right"/>
    </xf>
    <xf numFmtId="3" fontId="1" fillId="0" borderId="4" xfId="0" applyNumberFormat="1" applyFont="1" applyBorder="1"/>
    <xf numFmtId="3" fontId="15" fillId="0" borderId="4" xfId="0" applyNumberFormat="1" applyFont="1" applyBorder="1" applyAlignment="1"/>
    <xf numFmtId="3" fontId="6" fillId="0" borderId="4" xfId="0" applyNumberFormat="1" applyFont="1" applyBorder="1" applyAlignment="1">
      <alignment horizontal="left" vertical="center"/>
    </xf>
    <xf numFmtId="3" fontId="29" fillId="0" borderId="4" xfId="0" applyNumberFormat="1" applyFont="1" applyBorder="1" applyAlignment="1">
      <alignment horizontal="left" vertical="center" wrapText="1"/>
    </xf>
    <xf numFmtId="3" fontId="13" fillId="2" borderId="4" xfId="0" applyNumberFormat="1" applyFont="1" applyFill="1" applyBorder="1" applyAlignment="1">
      <alignment vertical="center"/>
    </xf>
    <xf numFmtId="3" fontId="1" fillId="0" borderId="0" xfId="0" applyNumberFormat="1" applyFont="1" applyAlignment="1">
      <alignment horizontal="left" vertical="center" wrapText="1"/>
    </xf>
    <xf numFmtId="3" fontId="6" fillId="0" borderId="4" xfId="0" applyNumberFormat="1" applyFont="1" applyBorder="1" applyAlignment="1">
      <alignment vertical="center"/>
    </xf>
    <xf numFmtId="3" fontId="17" fillId="0" borderId="4" xfId="0" applyNumberFormat="1" applyFont="1" applyBorder="1" applyAlignment="1">
      <alignment vertical="center"/>
    </xf>
    <xf numFmtId="0" fontId="30" fillId="2" borderId="25" xfId="0" applyFont="1" applyFill="1" applyBorder="1" applyAlignment="1"/>
    <xf numFmtId="3" fontId="15" fillId="2" borderId="8" xfId="0" applyNumberFormat="1" applyFont="1" applyFill="1" applyBorder="1"/>
    <xf numFmtId="0" fontId="16" fillId="2" borderId="4" xfId="0" applyFont="1" applyFill="1" applyBorder="1" applyAlignment="1">
      <alignment horizontal="left"/>
    </xf>
    <xf numFmtId="3" fontId="15" fillId="2" borderId="4" xfId="0" applyNumberFormat="1" applyFont="1" applyFill="1" applyBorder="1" applyAlignment="1">
      <alignment vertical="center"/>
    </xf>
    <xf numFmtId="3" fontId="15" fillId="2" borderId="4" xfId="0" applyNumberFormat="1" applyFont="1" applyFill="1" applyBorder="1" applyAlignment="1"/>
    <xf numFmtId="0" fontId="1" fillId="2" borderId="4" xfId="0" applyFont="1" applyFill="1" applyBorder="1" applyAlignment="1">
      <alignment horizontal="left" wrapText="1"/>
    </xf>
    <xf numFmtId="3" fontId="5" fillId="2" borderId="16" xfId="0" applyNumberFormat="1" applyFont="1" applyFill="1" applyBorder="1" applyAlignment="1">
      <alignment horizontal="right" vertical="center"/>
    </xf>
    <xf numFmtId="3" fontId="23" fillId="2" borderId="18" xfId="0" applyNumberFormat="1" applyFont="1" applyFill="1" applyBorder="1" applyAlignment="1">
      <alignment horizontal="right" vertical="center"/>
    </xf>
    <xf numFmtId="3" fontId="1" fillId="0" borderId="4" xfId="0" applyNumberFormat="1" applyFont="1" applyBorder="1" applyAlignment="1">
      <alignment horizontal="left" vertical="center" wrapText="1"/>
    </xf>
    <xf numFmtId="3" fontId="25" fillId="2" borderId="4" xfId="0" applyNumberFormat="1" applyFont="1" applyFill="1" applyBorder="1" applyAlignment="1">
      <alignment vertical="center"/>
    </xf>
    <xf numFmtId="3" fontId="1" fillId="2" borderId="15" xfId="0" applyNumberFormat="1" applyFont="1" applyFill="1" applyBorder="1" applyAlignment="1">
      <alignment horizontal="right" vertical="center"/>
    </xf>
    <xf numFmtId="3" fontId="25" fillId="5" borderId="4" xfId="0" applyNumberFormat="1" applyFont="1" applyFill="1" applyBorder="1" applyAlignment="1">
      <alignment vertical="center"/>
    </xf>
    <xf numFmtId="14" fontId="1" fillId="5" borderId="4" xfId="0" applyNumberFormat="1" applyFont="1" applyFill="1" applyBorder="1" applyAlignment="1"/>
    <xf numFmtId="0" fontId="15" fillId="5" borderId="4" xfId="0" applyFont="1" applyFill="1" applyBorder="1" applyAlignment="1">
      <alignment horizontal="left" vertical="center"/>
    </xf>
    <xf numFmtId="3" fontId="5" fillId="2" borderId="19" xfId="0" applyNumberFormat="1" applyFont="1" applyFill="1" applyBorder="1" applyAlignment="1">
      <alignment horizontal="right" vertical="center"/>
    </xf>
    <xf numFmtId="3" fontId="1" fillId="2" borderId="25" xfId="0" applyNumberFormat="1" applyFont="1" applyFill="1" applyBorder="1" applyAlignment="1"/>
    <xf numFmtId="3" fontId="1" fillId="2" borderId="25" xfId="0" applyNumberFormat="1" applyFont="1" applyFill="1" applyBorder="1" applyAlignment="1">
      <alignment horizontal="right"/>
    </xf>
    <xf numFmtId="3" fontId="5" fillId="2" borderId="0" xfId="0" applyNumberFormat="1" applyFont="1" applyFill="1" applyAlignment="1">
      <alignment horizontal="right" vertical="center"/>
    </xf>
    <xf numFmtId="3" fontId="23" fillId="2" borderId="31" xfId="0" applyNumberFormat="1" applyFont="1" applyFill="1" applyBorder="1" applyAlignment="1">
      <alignment horizontal="right" vertical="center"/>
    </xf>
    <xf numFmtId="3" fontId="5" fillId="2" borderId="35" xfId="0" applyNumberFormat="1" applyFont="1" applyFill="1" applyBorder="1" applyAlignment="1">
      <alignment horizontal="right" vertical="center"/>
    </xf>
    <xf numFmtId="3" fontId="31" fillId="2" borderId="25" xfId="0" applyNumberFormat="1" applyFont="1" applyFill="1" applyBorder="1"/>
    <xf numFmtId="3" fontId="6" fillId="2" borderId="8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32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25" fillId="2" borderId="25" xfId="0" applyNumberFormat="1" applyFont="1" applyFill="1" applyBorder="1" applyAlignment="1">
      <alignment horizontal="left" vertical="center"/>
    </xf>
    <xf numFmtId="3" fontId="15" fillId="2" borderId="25" xfId="0" applyNumberFormat="1" applyFont="1" applyFill="1" applyBorder="1" applyAlignment="1">
      <alignment vertical="center"/>
    </xf>
    <xf numFmtId="0" fontId="25" fillId="2" borderId="15" xfId="0" applyFont="1" applyFill="1" applyBorder="1" applyAlignment="1">
      <alignment horizontal="left"/>
    </xf>
    <xf numFmtId="3" fontId="15" fillId="2" borderId="15" xfId="0" applyNumberFormat="1" applyFont="1" applyFill="1" applyBorder="1" applyAlignment="1">
      <alignment vertical="center"/>
    </xf>
    <xf numFmtId="3" fontId="15" fillId="2" borderId="15" xfId="0" applyNumberFormat="1" applyFont="1" applyFill="1" applyBorder="1"/>
    <xf numFmtId="0" fontId="13" fillId="2" borderId="4" xfId="0" applyFont="1" applyFill="1" applyBorder="1" applyAlignment="1">
      <alignment horizontal="left"/>
    </xf>
    <xf numFmtId="3" fontId="15" fillId="2" borderId="4" xfId="0" applyNumberFormat="1" applyFont="1" applyFill="1" applyBorder="1"/>
    <xf numFmtId="3" fontId="5" fillId="2" borderId="18" xfId="0" applyNumberFormat="1" applyFont="1" applyFill="1" applyBorder="1" applyAlignment="1">
      <alignment horizontal="right" vertical="center"/>
    </xf>
    <xf numFmtId="3" fontId="10" fillId="0" borderId="21" xfId="0" applyNumberFormat="1" applyFont="1" applyBorder="1" applyAlignment="1">
      <alignment horizontal="left" vertical="center"/>
    </xf>
    <xf numFmtId="3" fontId="11" fillId="9" borderId="8" xfId="0" applyNumberFormat="1" applyFont="1" applyFill="1" applyBorder="1" applyAlignment="1"/>
    <xf numFmtId="3" fontId="1" fillId="10" borderId="8" xfId="0" applyNumberFormat="1" applyFont="1" applyFill="1" applyBorder="1"/>
    <xf numFmtId="3" fontId="16" fillId="2" borderId="4" xfId="0" applyNumberFormat="1" applyFont="1" applyFill="1" applyBorder="1" applyAlignment="1">
      <alignment vertical="center"/>
    </xf>
    <xf numFmtId="3" fontId="18" fillId="2" borderId="4" xfId="0" applyNumberFormat="1" applyFont="1" applyFill="1" applyBorder="1" applyAlignment="1">
      <alignment vertical="center"/>
    </xf>
    <xf numFmtId="3" fontId="16" fillId="5" borderId="4" xfId="0" applyNumberFormat="1" applyFont="1" applyFill="1" applyBorder="1" applyAlignment="1"/>
    <xf numFmtId="3" fontId="25" fillId="5" borderId="25" xfId="0" applyNumberFormat="1" applyFont="1" applyFill="1" applyBorder="1" applyAlignment="1">
      <alignment vertical="center"/>
    </xf>
    <xf numFmtId="14" fontId="1" fillId="2" borderId="4" xfId="0" applyNumberFormat="1" applyFont="1" applyFill="1" applyBorder="1" applyAlignment="1">
      <alignment horizontal="center"/>
    </xf>
    <xf numFmtId="3" fontId="10" fillId="0" borderId="37" xfId="0" applyNumberFormat="1" applyFont="1" applyBorder="1" applyAlignment="1">
      <alignment horizontal="left" vertical="center"/>
    </xf>
    <xf numFmtId="3" fontId="5" fillId="2" borderId="13" xfId="0" applyNumberFormat="1" applyFont="1" applyFill="1" applyBorder="1" applyAlignment="1">
      <alignment horizontal="right" vertical="center"/>
    </xf>
    <xf numFmtId="0" fontId="1" fillId="5" borderId="4" xfId="0" applyFont="1" applyFill="1" applyBorder="1" applyAlignment="1">
      <alignment horizontal="left" vertical="center"/>
    </xf>
    <xf numFmtId="3" fontId="16" fillId="18" borderId="4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vertical="center" wrapText="1"/>
    </xf>
    <xf numFmtId="3" fontId="1" fillId="2" borderId="25" xfId="0" applyNumberFormat="1" applyFont="1" applyFill="1" applyBorder="1" applyAlignment="1">
      <alignment vertical="center" wrapText="1"/>
    </xf>
    <xf numFmtId="0" fontId="1" fillId="2" borderId="38" xfId="0" applyFont="1" applyFill="1" applyBorder="1" applyAlignment="1">
      <alignment horizontal="left" vertical="center"/>
    </xf>
    <xf numFmtId="3" fontId="24" fillId="2" borderId="38" xfId="0" applyNumberFormat="1" applyFont="1" applyFill="1" applyBorder="1" applyAlignment="1">
      <alignment vertical="center"/>
    </xf>
    <xf numFmtId="3" fontId="1" fillId="2" borderId="38" xfId="0" applyNumberFormat="1" applyFont="1" applyFill="1" applyBorder="1"/>
    <xf numFmtId="0" fontId="1" fillId="2" borderId="38" xfId="0" applyFont="1" applyFill="1" applyBorder="1"/>
    <xf numFmtId="0" fontId="1" fillId="2" borderId="10" xfId="0" applyFont="1" applyFill="1" applyBorder="1" applyAlignment="1">
      <alignment horizontal="left" vertical="center"/>
    </xf>
    <xf numFmtId="3" fontId="24" fillId="2" borderId="10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3" fontId="5" fillId="2" borderId="4" xfId="0" applyNumberFormat="1" applyFont="1" applyFill="1" applyBorder="1" applyAlignment="1">
      <alignment horizontal="right" vertical="center"/>
    </xf>
    <xf numFmtId="3" fontId="16" fillId="2" borderId="15" xfId="0" applyNumberFormat="1" applyFont="1" applyFill="1" applyBorder="1" applyAlignment="1"/>
    <xf numFmtId="3" fontId="15" fillId="0" borderId="4" xfId="0" applyNumberFormat="1" applyFont="1" applyBorder="1" applyAlignment="1">
      <alignment horizontal="left" vertical="center"/>
    </xf>
    <xf numFmtId="3" fontId="10" fillId="0" borderId="32" xfId="0" applyNumberFormat="1" applyFont="1" applyBorder="1" applyAlignment="1">
      <alignment horizontal="left" vertical="center"/>
    </xf>
    <xf numFmtId="3" fontId="4" fillId="2" borderId="33" xfId="0" applyNumberFormat="1" applyFont="1" applyFill="1" applyBorder="1" applyAlignment="1">
      <alignment vertical="center"/>
    </xf>
    <xf numFmtId="3" fontId="1" fillId="2" borderId="33" xfId="0" applyNumberFormat="1" applyFont="1" applyFill="1" applyBorder="1"/>
    <xf numFmtId="0" fontId="1" fillId="2" borderId="33" xfId="0" applyFont="1" applyFill="1" applyBorder="1"/>
    <xf numFmtId="0" fontId="15" fillId="2" borderId="25" xfId="0" applyFont="1" applyFill="1" applyBorder="1" applyAlignment="1"/>
    <xf numFmtId="0" fontId="15" fillId="2" borderId="25" xfId="0" applyFont="1" applyFill="1" applyBorder="1"/>
    <xf numFmtId="3" fontId="6" fillId="0" borderId="4" xfId="0" applyNumberFormat="1" applyFont="1" applyBorder="1" applyAlignment="1"/>
    <xf numFmtId="3" fontId="10" fillId="0" borderId="4" xfId="0" applyNumberFormat="1" applyFont="1" applyBorder="1"/>
    <xf numFmtId="3" fontId="4" fillId="0" borderId="4" xfId="0" applyNumberFormat="1" applyFont="1" applyBorder="1" applyAlignment="1">
      <alignment horizontal="center"/>
    </xf>
    <xf numFmtId="3" fontId="6" fillId="3" borderId="25" xfId="0" applyNumberFormat="1" applyFont="1" applyFill="1" applyBorder="1" applyAlignment="1">
      <alignment horizontal="center"/>
    </xf>
    <xf numFmtId="0" fontId="32" fillId="2" borderId="8" xfId="0" applyFont="1" applyFill="1" applyBorder="1" applyAlignment="1">
      <alignment horizontal="right" vertical="center"/>
    </xf>
    <xf numFmtId="3" fontId="1" fillId="2" borderId="25" xfId="0" applyNumberFormat="1" applyFont="1" applyFill="1" applyBorder="1" applyAlignment="1">
      <alignment horizontal="left" vertical="center"/>
    </xf>
    <xf numFmtId="3" fontId="1" fillId="2" borderId="25" xfId="0" applyNumberFormat="1" applyFont="1" applyFill="1" applyBorder="1"/>
    <xf numFmtId="14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left" wrapText="1"/>
    </xf>
    <xf numFmtId="14" fontId="1" fillId="2" borderId="20" xfId="0" applyNumberFormat="1" applyFont="1" applyFill="1" applyBorder="1"/>
    <xf numFmtId="3" fontId="18" fillId="5" borderId="25" xfId="0" applyNumberFormat="1" applyFont="1" applyFill="1" applyBorder="1" applyAlignment="1">
      <alignment horizontal="left" vertical="center"/>
    </xf>
    <xf numFmtId="3" fontId="16" fillId="5" borderId="25" xfId="0" applyNumberFormat="1" applyFont="1" applyFill="1" applyBorder="1" applyAlignment="1">
      <alignment horizontal="right" vertical="center"/>
    </xf>
    <xf numFmtId="0" fontId="1" fillId="2" borderId="25" xfId="0" applyFont="1" applyFill="1" applyBorder="1" applyAlignment="1">
      <alignment horizontal="left" vertical="center"/>
    </xf>
    <xf numFmtId="3" fontId="5" fillId="2" borderId="8" xfId="0" applyNumberFormat="1" applyFont="1" applyFill="1" applyBorder="1" applyAlignment="1">
      <alignment horizontal="left" vertical="center"/>
    </xf>
    <xf numFmtId="3" fontId="1" fillId="2" borderId="25" xfId="0" applyNumberFormat="1" applyFont="1" applyFill="1" applyBorder="1" applyAlignment="1">
      <alignment vertical="center"/>
    </xf>
    <xf numFmtId="3" fontId="1" fillId="2" borderId="25" xfId="0" applyNumberFormat="1" applyFont="1" applyFill="1" applyBorder="1" applyAlignment="1">
      <alignment horizontal="right" vertical="center"/>
    </xf>
    <xf numFmtId="0" fontId="1" fillId="2" borderId="25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14" fontId="1" fillId="0" borderId="14" xfId="0" applyNumberFormat="1" applyFont="1" applyBorder="1" applyAlignment="1">
      <alignment horizontal="center"/>
    </xf>
    <xf numFmtId="3" fontId="4" fillId="2" borderId="39" xfId="0" applyNumberFormat="1" applyFont="1" applyFill="1" applyBorder="1" applyAlignment="1">
      <alignment vertical="center"/>
    </xf>
    <xf numFmtId="3" fontId="1" fillId="2" borderId="39" xfId="0" applyNumberFormat="1" applyFont="1" applyFill="1" applyBorder="1"/>
    <xf numFmtId="14" fontId="16" fillId="2" borderId="4" xfId="0" applyNumberFormat="1" applyFont="1" applyFill="1" applyBorder="1"/>
    <xf numFmtId="0" fontId="16" fillId="2" borderId="25" xfId="0" applyFont="1" applyFill="1" applyBorder="1" applyAlignment="1"/>
    <xf numFmtId="3" fontId="4" fillId="2" borderId="25" xfId="0" applyNumberFormat="1" applyFont="1" applyFill="1" applyBorder="1" applyAlignment="1">
      <alignment vertical="center"/>
    </xf>
    <xf numFmtId="3" fontId="1" fillId="0" borderId="4" xfId="0" applyNumberFormat="1" applyFont="1" applyBorder="1" applyAlignment="1">
      <alignment horizontal="left" vertical="center"/>
    </xf>
    <xf numFmtId="3" fontId="6" fillId="0" borderId="0" xfId="0" applyNumberFormat="1" applyFont="1" applyAlignment="1"/>
    <xf numFmtId="0" fontId="33" fillId="0" borderId="0" xfId="0" applyFont="1" applyAlignment="1">
      <alignment vertical="center"/>
    </xf>
    <xf numFmtId="3" fontId="35" fillId="0" borderId="43" xfId="0" applyNumberFormat="1" applyFont="1" applyBorder="1" applyAlignment="1">
      <alignment horizontal="center" vertical="center"/>
    </xf>
    <xf numFmtId="3" fontId="35" fillId="19" borderId="44" xfId="0" applyNumberFormat="1" applyFont="1" applyFill="1" applyBorder="1" applyAlignment="1">
      <alignment vertical="center"/>
    </xf>
    <xf numFmtId="3" fontId="35" fillId="19" borderId="45" xfId="0" applyNumberFormat="1" applyFont="1" applyFill="1" applyBorder="1" applyAlignment="1">
      <alignment vertical="center"/>
    </xf>
    <xf numFmtId="3" fontId="35" fillId="19" borderId="46" xfId="0" applyNumberFormat="1" applyFont="1" applyFill="1" applyBorder="1" applyAlignment="1">
      <alignment vertical="center"/>
    </xf>
    <xf numFmtId="3" fontId="35" fillId="20" borderId="4" xfId="0" applyNumberFormat="1" applyFont="1" applyFill="1" applyBorder="1" applyAlignment="1">
      <alignment horizontal="center" vertical="center"/>
    </xf>
    <xf numFmtId="3" fontId="35" fillId="19" borderId="4" xfId="0" applyNumberFormat="1" applyFont="1" applyFill="1" applyBorder="1" applyAlignment="1">
      <alignment vertical="center"/>
    </xf>
    <xf numFmtId="3" fontId="35" fillId="0" borderId="4" xfId="0" applyNumberFormat="1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 wrapText="1"/>
    </xf>
    <xf numFmtId="0" fontId="34" fillId="21" borderId="51" xfId="0" applyFont="1" applyFill="1" applyBorder="1" applyAlignment="1">
      <alignment horizontal="center" vertical="center" wrapText="1"/>
    </xf>
    <xf numFmtId="0" fontId="34" fillId="0" borderId="51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3" fontId="33" fillId="2" borderId="55" xfId="0" applyNumberFormat="1" applyFont="1" applyFill="1" applyBorder="1" applyAlignment="1">
      <alignment horizontal="center" vertical="center"/>
    </xf>
    <xf numFmtId="3" fontId="33" fillId="2" borderId="25" xfId="0" applyNumberFormat="1" applyFont="1" applyFill="1" applyBorder="1" applyAlignment="1">
      <alignment vertical="center"/>
    </xf>
    <xf numFmtId="3" fontId="33" fillId="0" borderId="15" xfId="0" applyNumberFormat="1" applyFont="1" applyBorder="1" applyAlignment="1">
      <alignment vertical="center"/>
    </xf>
    <xf numFmtId="15" fontId="34" fillId="22" borderId="56" xfId="0" applyNumberFormat="1" applyFont="1" applyFill="1" applyBorder="1" applyAlignment="1">
      <alignment horizontal="center" vertical="center"/>
    </xf>
    <xf numFmtId="3" fontId="33" fillId="2" borderId="18" xfId="0" applyNumberFormat="1" applyFont="1" applyFill="1" applyBorder="1" applyAlignment="1">
      <alignment horizontal="right" vertical="center"/>
    </xf>
    <xf numFmtId="3" fontId="33" fillId="2" borderId="4" xfId="0" applyNumberFormat="1" applyFont="1" applyFill="1" applyBorder="1" applyAlignment="1">
      <alignment vertical="center"/>
    </xf>
    <xf numFmtId="3" fontId="33" fillId="0" borderId="4" xfId="0" applyNumberFormat="1" applyFont="1" applyBorder="1" applyAlignment="1">
      <alignment vertical="center"/>
    </xf>
    <xf numFmtId="14" fontId="33" fillId="2" borderId="4" xfId="0" applyNumberFormat="1" applyFont="1" applyFill="1" applyBorder="1" applyAlignment="1">
      <alignment horizontal="center" vertical="center"/>
    </xf>
    <xf numFmtId="3" fontId="33" fillId="23" borderId="4" xfId="0" applyNumberFormat="1" applyFont="1" applyFill="1" applyBorder="1" applyAlignment="1">
      <alignment vertical="center"/>
    </xf>
    <xf numFmtId="3" fontId="33" fillId="0" borderId="0" xfId="0" applyNumberFormat="1" applyFont="1" applyAlignment="1">
      <alignment vertical="center"/>
    </xf>
    <xf numFmtId="3" fontId="33" fillId="2" borderId="59" xfId="0" applyNumberFormat="1" applyFont="1" applyFill="1" applyBorder="1" applyAlignment="1">
      <alignment horizontal="right" vertical="center"/>
    </xf>
    <xf numFmtId="3" fontId="33" fillId="2" borderId="10" xfId="0" applyNumberFormat="1" applyFont="1" applyFill="1" applyBorder="1" applyAlignment="1">
      <alignment vertical="center"/>
    </xf>
    <xf numFmtId="3" fontId="33" fillId="0" borderId="9" xfId="0" applyNumberFormat="1" applyFont="1" applyBorder="1" applyAlignment="1">
      <alignment vertical="center"/>
    </xf>
    <xf numFmtId="3" fontId="35" fillId="3" borderId="4" xfId="0" applyNumberFormat="1" applyFont="1" applyFill="1" applyBorder="1" applyAlignment="1">
      <alignment vertical="center"/>
    </xf>
    <xf numFmtId="14" fontId="33" fillId="0" borderId="4" xfId="0" applyNumberFormat="1" applyFont="1" applyBorder="1" applyAlignment="1">
      <alignment horizontal="center" vertical="center"/>
    </xf>
    <xf numFmtId="3" fontId="33" fillId="3" borderId="4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vertical="center"/>
    </xf>
    <xf numFmtId="3" fontId="33" fillId="2" borderId="4" xfId="0" applyNumberFormat="1" applyFont="1" applyFill="1" applyBorder="1" applyAlignment="1">
      <alignment horizontal="right" vertical="center"/>
    </xf>
    <xf numFmtId="3" fontId="33" fillId="12" borderId="4" xfId="0" applyNumberFormat="1" applyFont="1" applyFill="1" applyBorder="1" applyAlignment="1">
      <alignment horizontal="right" vertical="center"/>
    </xf>
    <xf numFmtId="3" fontId="35" fillId="12" borderId="4" xfId="0" applyNumberFormat="1" applyFont="1" applyFill="1" applyBorder="1" applyAlignment="1">
      <alignment vertical="center"/>
    </xf>
    <xf numFmtId="0" fontId="33" fillId="2" borderId="4" xfId="0" applyFont="1" applyFill="1" applyBorder="1" applyAlignment="1">
      <alignment vertical="center"/>
    </xf>
    <xf numFmtId="3" fontId="35" fillId="23" borderId="4" xfId="0" applyNumberFormat="1" applyFont="1" applyFill="1" applyBorder="1" applyAlignment="1">
      <alignment vertical="center"/>
    </xf>
    <xf numFmtId="3" fontId="36" fillId="0" borderId="0" xfId="0" applyNumberFormat="1" applyFont="1" applyAlignment="1">
      <alignment vertical="center"/>
    </xf>
    <xf numFmtId="3" fontId="33" fillId="2" borderId="4" xfId="0" applyNumberFormat="1" applyFont="1" applyFill="1" applyBorder="1" applyAlignment="1">
      <alignment horizontal="right" vertical="center" wrapText="1"/>
    </xf>
    <xf numFmtId="3" fontId="33" fillId="23" borderId="4" xfId="0" applyNumberFormat="1" applyFont="1" applyFill="1" applyBorder="1" applyAlignment="1">
      <alignment horizontal="right" vertical="center"/>
    </xf>
    <xf numFmtId="3" fontId="33" fillId="0" borderId="4" xfId="0" applyNumberFormat="1" applyFont="1" applyBorder="1" applyAlignment="1">
      <alignment horizontal="right" vertical="center"/>
    </xf>
    <xf numFmtId="0" fontId="33" fillId="2" borderId="8" xfId="0" applyFont="1" applyFill="1" applyBorder="1" applyAlignment="1">
      <alignment vertical="center"/>
    </xf>
    <xf numFmtId="3" fontId="33" fillId="2" borderId="8" xfId="0" applyNumberFormat="1" applyFont="1" applyFill="1" applyBorder="1" applyAlignment="1">
      <alignment horizontal="right" vertical="center"/>
    </xf>
    <xf numFmtId="3" fontId="33" fillId="2" borderId="8" xfId="0" applyNumberFormat="1" applyFont="1" applyFill="1" applyBorder="1" applyAlignment="1">
      <alignment vertical="center"/>
    </xf>
    <xf numFmtId="3" fontId="37" fillId="0" borderId="0" xfId="0" applyNumberFormat="1" applyFont="1" applyAlignment="1">
      <alignment vertical="center"/>
    </xf>
    <xf numFmtId="14" fontId="33" fillId="2" borderId="8" xfId="0" applyNumberFormat="1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left" vertical="center" wrapText="1"/>
    </xf>
    <xf numFmtId="3" fontId="33" fillId="2" borderId="8" xfId="0" applyNumberFormat="1" applyFont="1" applyFill="1" applyBorder="1" applyAlignment="1">
      <alignment horizontal="right" vertical="center" wrapText="1"/>
    </xf>
    <xf numFmtId="3" fontId="37" fillId="2" borderId="8" xfId="0" applyNumberFormat="1" applyFont="1" applyFill="1" applyBorder="1" applyAlignment="1">
      <alignment vertical="center"/>
    </xf>
    <xf numFmtId="14" fontId="34" fillId="22" borderId="4" xfId="0" applyNumberFormat="1" applyFont="1" applyFill="1" applyBorder="1" applyAlignment="1">
      <alignment horizontal="center" vertical="center"/>
    </xf>
    <xf numFmtId="0" fontId="34" fillId="22" borderId="4" xfId="0" applyFont="1" applyFill="1" applyBorder="1" applyAlignment="1">
      <alignment vertical="center"/>
    </xf>
    <xf numFmtId="14" fontId="33" fillId="0" borderId="4" xfId="0" applyNumberFormat="1" applyFont="1" applyBorder="1" applyAlignment="1">
      <alignment horizontal="center" vertical="center"/>
    </xf>
    <xf numFmtId="0" fontId="33" fillId="2" borderId="4" xfId="0" applyFont="1" applyFill="1" applyBorder="1" applyAlignment="1">
      <alignment horizontal="right" vertical="center"/>
    </xf>
    <xf numFmtId="14" fontId="33" fillId="0" borderId="5" xfId="0" applyNumberFormat="1" applyFont="1" applyBorder="1" applyAlignment="1">
      <alignment horizontal="center" vertical="center"/>
    </xf>
    <xf numFmtId="0" fontId="33" fillId="2" borderId="23" xfId="0" applyFont="1" applyFill="1" applyBorder="1" applyAlignment="1">
      <alignment vertical="center"/>
    </xf>
    <xf numFmtId="0" fontId="33" fillId="2" borderId="18" xfId="0" applyFont="1" applyFill="1" applyBorder="1" applyAlignment="1">
      <alignment vertical="center"/>
    </xf>
    <xf numFmtId="0" fontId="33" fillId="2" borderId="18" xfId="0" applyFont="1" applyFill="1" applyBorder="1" applyAlignment="1">
      <alignment horizontal="right" vertical="center"/>
    </xf>
    <xf numFmtId="0" fontId="33" fillId="23" borderId="4" xfId="0" applyFont="1" applyFill="1" applyBorder="1" applyAlignment="1">
      <alignment vertical="center"/>
    </xf>
    <xf numFmtId="14" fontId="33" fillId="0" borderId="5" xfId="0" applyNumberFormat="1" applyFont="1" applyBorder="1" applyAlignment="1">
      <alignment horizontal="center" vertical="center"/>
    </xf>
    <xf numFmtId="0" fontId="33" fillId="2" borderId="18" xfId="0" applyFont="1" applyFill="1" applyBorder="1" applyAlignment="1">
      <alignment horizontal="right" vertical="center" wrapText="1"/>
    </xf>
    <xf numFmtId="0" fontId="33" fillId="2" borderId="18" xfId="0" applyFont="1" applyFill="1" applyBorder="1" applyAlignment="1">
      <alignment horizontal="center" vertical="center"/>
    </xf>
    <xf numFmtId="3" fontId="33" fillId="12" borderId="4" xfId="0" applyNumberFormat="1" applyFont="1" applyFill="1" applyBorder="1" applyAlignment="1">
      <alignment vertical="center"/>
    </xf>
    <xf numFmtId="0" fontId="33" fillId="2" borderId="4" xfId="0" applyFont="1" applyFill="1" applyBorder="1" applyAlignment="1">
      <alignment horizontal="right" vertical="center" wrapText="1"/>
    </xf>
    <xf numFmtId="0" fontId="33" fillId="2" borderId="8" xfId="0" applyFont="1" applyFill="1" applyBorder="1" applyAlignment="1">
      <alignment horizontal="right" vertical="center"/>
    </xf>
    <xf numFmtId="14" fontId="33" fillId="0" borderId="14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vertical="center"/>
    </xf>
    <xf numFmtId="0" fontId="33" fillId="2" borderId="8" xfId="0" applyFont="1" applyFill="1" applyBorder="1" applyAlignment="1">
      <alignment horizontal="right" vertical="center" wrapText="1"/>
    </xf>
    <xf numFmtId="0" fontId="33" fillId="2" borderId="8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vertical="center"/>
    </xf>
    <xf numFmtId="3" fontId="38" fillId="2" borderId="8" xfId="0" applyNumberFormat="1" applyFont="1" applyFill="1" applyBorder="1" applyAlignment="1">
      <alignment vertical="center"/>
    </xf>
    <xf numFmtId="14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8" fillId="2" borderId="8" xfId="0" applyFont="1" applyFill="1" applyBorder="1" applyAlignment="1">
      <alignment vertical="center"/>
    </xf>
    <xf numFmtId="14" fontId="33" fillId="2" borderId="4" xfId="0" applyNumberFormat="1" applyFont="1" applyFill="1" applyBorder="1" applyAlignment="1">
      <alignment horizontal="center" vertical="center"/>
    </xf>
    <xf numFmtId="14" fontId="33" fillId="2" borderId="8" xfId="0" applyNumberFormat="1" applyFont="1" applyFill="1" applyBorder="1" applyAlignment="1">
      <alignment horizontal="center" vertical="center"/>
    </xf>
    <xf numFmtId="0" fontId="34" fillId="22" borderId="10" xfId="0" applyFont="1" applyFill="1" applyBorder="1" applyAlignment="1">
      <alignment vertical="center"/>
    </xf>
    <xf numFmtId="0" fontId="33" fillId="22" borderId="10" xfId="0" applyFont="1" applyFill="1" applyBorder="1" applyAlignment="1">
      <alignment vertical="center"/>
    </xf>
    <xf numFmtId="0" fontId="33" fillId="2" borderId="4" xfId="0" applyFont="1" applyFill="1" applyBorder="1" applyAlignment="1">
      <alignment horizontal="left" vertical="center"/>
    </xf>
    <xf numFmtId="0" fontId="33" fillId="2" borderId="8" xfId="0" applyFont="1" applyFill="1" applyBorder="1" applyAlignment="1">
      <alignment horizontal="left" vertical="center"/>
    </xf>
    <xf numFmtId="0" fontId="39" fillId="2" borderId="4" xfId="0" applyFont="1" applyFill="1" applyBorder="1" applyAlignment="1">
      <alignment vertical="center"/>
    </xf>
    <xf numFmtId="0" fontId="39" fillId="2" borderId="8" xfId="0" applyFont="1" applyFill="1" applyBorder="1" applyAlignment="1">
      <alignment horizontal="center" vertical="center"/>
    </xf>
    <xf numFmtId="3" fontId="39" fillId="2" borderId="8" xfId="0" applyNumberFormat="1" applyFont="1" applyFill="1" applyBorder="1" applyAlignment="1">
      <alignment vertical="center"/>
    </xf>
    <xf numFmtId="0" fontId="33" fillId="0" borderId="6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9" fontId="33" fillId="0" borderId="62" xfId="0" applyNumberFormat="1" applyFont="1" applyBorder="1" applyAlignment="1">
      <alignment horizontal="center" vertical="center"/>
    </xf>
    <xf numFmtId="3" fontId="34" fillId="0" borderId="4" xfId="0" applyNumberFormat="1" applyFont="1" applyBorder="1" applyAlignment="1">
      <alignment vertical="center"/>
    </xf>
    <xf numFmtId="3" fontId="33" fillId="0" borderId="0" xfId="0" applyNumberFormat="1" applyFont="1" applyAlignment="1">
      <alignment horizontal="center" vertical="center"/>
    </xf>
    <xf numFmtId="3" fontId="35" fillId="0" borderId="4" xfId="0" applyNumberFormat="1" applyFont="1" applyBorder="1" applyAlignment="1">
      <alignment vertical="center"/>
    </xf>
    <xf numFmtId="3" fontId="35" fillId="2" borderId="4" xfId="0" applyNumberFormat="1" applyFont="1" applyFill="1" applyBorder="1" applyAlignment="1">
      <alignment vertical="center"/>
    </xf>
    <xf numFmtId="3" fontId="33" fillId="0" borderId="4" xfId="0" applyNumberFormat="1" applyFont="1" applyBorder="1" applyAlignment="1">
      <alignment horizontal="center" vertical="center"/>
    </xf>
    <xf numFmtId="15" fontId="33" fillId="0" borderId="63" xfId="0" applyNumberFormat="1" applyFont="1" applyBorder="1" applyAlignment="1">
      <alignment horizontal="center" vertical="center"/>
    </xf>
    <xf numFmtId="3" fontId="33" fillId="0" borderId="64" xfId="0" applyNumberFormat="1" applyFont="1" applyBorder="1" applyAlignment="1">
      <alignment vertical="center"/>
    </xf>
    <xf numFmtId="3" fontId="33" fillId="0" borderId="63" xfId="0" applyNumberFormat="1" applyFont="1" applyBorder="1" applyAlignment="1">
      <alignment horizontal="center" vertical="center"/>
    </xf>
    <xf numFmtId="15" fontId="33" fillId="0" borderId="4" xfId="0" applyNumberFormat="1" applyFont="1" applyBorder="1" applyAlignment="1">
      <alignment vertical="center"/>
    </xf>
    <xf numFmtId="0" fontId="33" fillId="2" borderId="4" xfId="0" applyFont="1" applyFill="1" applyBorder="1" applyAlignment="1">
      <alignment horizontal="center" vertical="center" wrapText="1"/>
    </xf>
    <xf numFmtId="3" fontId="33" fillId="0" borderId="4" xfId="0" applyNumberFormat="1" applyFont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3" fontId="33" fillId="0" borderId="65" xfId="0" applyNumberFormat="1" applyFont="1" applyBorder="1" applyAlignment="1">
      <alignment horizontal="center" vertical="center"/>
    </xf>
    <xf numFmtId="3" fontId="33" fillId="0" borderId="51" xfId="0" applyNumberFormat="1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3" fillId="0" borderId="0" xfId="0" applyFont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6" fillId="4" borderId="5" xfId="0" applyFont="1" applyFill="1" applyBorder="1" applyAlignment="1">
      <alignment horizontal="center" vertical="center"/>
    </xf>
    <xf numFmtId="0" fontId="3" fillId="0" borderId="6" xfId="0" applyFont="1" applyBorder="1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6" fillId="0" borderId="5" xfId="0" applyFont="1" applyBorder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34" fillId="6" borderId="9" xfId="0" applyFont="1" applyFill="1" applyBorder="1" applyAlignment="1">
      <alignment horizontal="center" vertical="center"/>
    </xf>
    <xf numFmtId="0" fontId="3" fillId="0" borderId="38" xfId="0" applyFont="1" applyBorder="1"/>
    <xf numFmtId="0" fontId="3" fillId="0" borderId="15" xfId="0" applyFont="1" applyBorder="1"/>
    <xf numFmtId="0" fontId="34" fillId="6" borderId="9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2" borderId="5" xfId="0" applyFont="1" applyFill="1" applyBorder="1" applyAlignment="1">
      <alignment horizontal="left" vertical="center" wrapText="1"/>
    </xf>
    <xf numFmtId="0" fontId="33" fillId="2" borderId="5" xfId="0" applyFont="1" applyFill="1" applyBorder="1" applyAlignment="1">
      <alignment horizontal="left" vertical="center"/>
    </xf>
    <xf numFmtId="0" fontId="39" fillId="2" borderId="5" xfId="0" applyFont="1" applyFill="1" applyBorder="1" applyAlignment="1">
      <alignment horizontal="left" vertical="center"/>
    </xf>
    <xf numFmtId="0" fontId="36" fillId="21" borderId="5" xfId="0" applyFont="1" applyFill="1" applyBorder="1" applyAlignment="1">
      <alignment horizontal="center" vertical="center"/>
    </xf>
    <xf numFmtId="0" fontId="3" fillId="0" borderId="34" xfId="0" applyFont="1" applyBorder="1"/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 wrapText="1"/>
    </xf>
    <xf numFmtId="3" fontId="35" fillId="2" borderId="5" xfId="0" applyNumberFormat="1" applyFont="1" applyFill="1" applyBorder="1" applyAlignment="1">
      <alignment horizontal="center" vertical="center"/>
    </xf>
    <xf numFmtId="0" fontId="34" fillId="22" borderId="57" xfId="0" applyFont="1" applyFill="1" applyBorder="1" applyAlignment="1">
      <alignment horizontal="left" vertical="center"/>
    </xf>
    <xf numFmtId="0" fontId="3" fillId="0" borderId="58" xfId="0" applyFont="1" applyBorder="1"/>
    <xf numFmtId="0" fontId="35" fillId="0" borderId="0" xfId="0" applyFont="1" applyAlignment="1">
      <alignment horizontal="left" vertical="center"/>
    </xf>
    <xf numFmtId="14" fontId="34" fillId="0" borderId="40" xfId="0" applyNumberFormat="1" applyFont="1" applyBorder="1" applyAlignment="1">
      <alignment horizontal="center" vertical="center"/>
    </xf>
    <xf numFmtId="0" fontId="3" fillId="0" borderId="47" xfId="0" applyFont="1" applyBorder="1"/>
    <xf numFmtId="0" fontId="34" fillId="0" borderId="41" xfId="0" applyFont="1" applyBorder="1" applyAlignment="1">
      <alignment horizontal="center" vertical="center"/>
    </xf>
    <xf numFmtId="0" fontId="3" fillId="0" borderId="42" xfId="0" applyFont="1" applyBorder="1"/>
    <xf numFmtId="0" fontId="3" fillId="0" borderId="48" xfId="0" applyFont="1" applyBorder="1"/>
    <xf numFmtId="0" fontId="3" fillId="0" borderId="49" xfId="0" applyFont="1" applyBorder="1"/>
    <xf numFmtId="0" fontId="33" fillId="2" borderId="36" xfId="0" applyFont="1" applyFill="1" applyBorder="1" applyAlignment="1">
      <alignment horizontal="center" vertical="center"/>
    </xf>
    <xf numFmtId="0" fontId="3" fillId="0" borderId="53" xfId="0" applyFont="1" applyBorder="1"/>
    <xf numFmtId="0" fontId="3" fillId="0" borderId="54" xfId="0" applyFont="1" applyBorder="1"/>
    <xf numFmtId="0" fontId="34" fillId="3" borderId="5" xfId="0" applyFont="1" applyFill="1" applyBorder="1" applyAlignment="1">
      <alignment horizontal="left" vertical="center"/>
    </xf>
    <xf numFmtId="3" fontId="33" fillId="2" borderId="5" xfId="0" applyNumberFormat="1" applyFont="1" applyFill="1" applyBorder="1" applyAlignment="1">
      <alignment horizontal="left" vertical="center" wrapText="1"/>
    </xf>
    <xf numFmtId="3" fontId="36" fillId="0" borderId="60" xfId="0" applyNumberFormat="1" applyFont="1" applyBorder="1" applyAlignment="1">
      <alignment horizontal="center" vertical="center" wrapText="1"/>
    </xf>
    <xf numFmtId="0" fontId="33" fillId="0" borderId="5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/>
    </xf>
    <xf numFmtId="0" fontId="34" fillId="2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MINISTRACION%20DETALLA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CION DETALLA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999"/>
  <sheetViews>
    <sheetView workbookViewId="0">
      <selection activeCell="C10" sqref="C10"/>
    </sheetView>
  </sheetViews>
  <sheetFormatPr baseColWidth="10" defaultColWidth="14.42578125" defaultRowHeight="15" customHeight="1"/>
  <cols>
    <col min="1" max="1" width="4" customWidth="1"/>
    <col min="2" max="2" width="13.85546875" customWidth="1"/>
    <col min="3" max="3" width="94.85546875" customWidth="1"/>
    <col min="4" max="4" width="11.7109375" customWidth="1"/>
    <col min="5" max="5" width="11.42578125" customWidth="1"/>
    <col min="6" max="6" width="13.42578125" customWidth="1"/>
    <col min="7" max="7" width="22.5703125" customWidth="1"/>
    <col min="8" max="8" width="16.5703125" customWidth="1"/>
    <col min="9" max="9" width="15.85546875" customWidth="1"/>
    <col min="10" max="10" width="11.140625" customWidth="1"/>
    <col min="11" max="11" width="35.42578125" customWidth="1"/>
  </cols>
  <sheetData>
    <row r="1" spans="1:39" ht="23.25" customHeight="1">
      <c r="A1" s="1"/>
      <c r="B1" s="2"/>
      <c r="C1" s="506"/>
      <c r="D1" s="507"/>
      <c r="E1" s="508"/>
      <c r="F1" s="3" t="s">
        <v>0</v>
      </c>
      <c r="G1" s="4"/>
      <c r="H1" s="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1.5" customHeight="1">
      <c r="A2" s="6"/>
      <c r="B2" s="509" t="s">
        <v>1</v>
      </c>
      <c r="C2" s="510"/>
      <c r="D2" s="7">
        <f>SUM(D4:D57)</f>
        <v>1271750</v>
      </c>
      <c r="E2" s="7">
        <f>SUM(E4:E78)</f>
        <v>1354750</v>
      </c>
      <c r="F2" s="8">
        <f>SUM(D2-E2)</f>
        <v>-83000</v>
      </c>
      <c r="G2" s="9"/>
      <c r="H2" s="6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39" ht="23.25" customHeight="1">
      <c r="A3" s="1"/>
      <c r="B3" s="12" t="s">
        <v>2</v>
      </c>
      <c r="C3" s="12" t="s">
        <v>3</v>
      </c>
      <c r="D3" s="13" t="s">
        <v>4</v>
      </c>
      <c r="E3" s="13" t="s">
        <v>5</v>
      </c>
      <c r="F3" s="13" t="s">
        <v>0</v>
      </c>
      <c r="G3" s="14"/>
      <c r="H3" s="1"/>
      <c r="I3" s="5"/>
    </row>
    <row r="4" spans="1:39" ht="15" customHeight="1">
      <c r="A4" s="15"/>
      <c r="B4" s="16"/>
      <c r="C4" s="17" t="s">
        <v>6</v>
      </c>
      <c r="D4" s="18">
        <v>0</v>
      </c>
      <c r="E4" s="19"/>
      <c r="F4" s="20">
        <v>0</v>
      </c>
      <c r="G4" s="21"/>
      <c r="H4" s="15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1:39" ht="15" customHeight="1">
      <c r="A5" s="15"/>
      <c r="B5" s="16"/>
      <c r="C5" s="23"/>
      <c r="D5" s="24"/>
      <c r="E5" s="25"/>
      <c r="F5" s="26"/>
      <c r="G5" s="21"/>
      <c r="H5" s="15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</row>
    <row r="6" spans="1:39" ht="15" customHeight="1">
      <c r="A6" s="15"/>
      <c r="B6" s="27"/>
      <c r="C6" s="28" t="s">
        <v>7</v>
      </c>
      <c r="D6" s="29"/>
      <c r="E6" s="30"/>
      <c r="F6" s="31"/>
      <c r="G6" s="32">
        <f>SUM(D7:D11)</f>
        <v>0</v>
      </c>
      <c r="H6" s="15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pans="1:39" ht="15" customHeight="1">
      <c r="A7" s="15"/>
      <c r="B7" s="33"/>
      <c r="C7" s="34"/>
      <c r="D7" s="35"/>
      <c r="E7" s="36"/>
      <c r="F7" s="37"/>
      <c r="G7" s="38"/>
      <c r="H7" s="15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15" customHeight="1">
      <c r="A8" s="15"/>
      <c r="B8" s="33"/>
      <c r="C8" s="39"/>
      <c r="D8" s="35"/>
      <c r="E8" s="36"/>
      <c r="F8" s="37"/>
      <c r="G8" s="38"/>
      <c r="H8" s="15"/>
      <c r="I8" s="40"/>
      <c r="J8" s="40"/>
      <c r="K8" s="40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pans="1:39" ht="15" customHeight="1">
      <c r="A9" s="15"/>
      <c r="B9" s="33"/>
      <c r="C9" s="39"/>
      <c r="D9" s="35"/>
      <c r="E9" s="36"/>
      <c r="F9" s="37"/>
      <c r="G9" s="38"/>
      <c r="H9" s="15"/>
      <c r="I9" s="40"/>
      <c r="J9" s="40"/>
      <c r="K9" s="4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pans="1:39" ht="15" customHeight="1">
      <c r="A10" s="15"/>
      <c r="B10" s="33"/>
      <c r="C10" s="28" t="s">
        <v>8</v>
      </c>
      <c r="D10" s="29"/>
      <c r="E10" s="30"/>
      <c r="F10" s="31"/>
      <c r="G10" s="32">
        <f>SUM(E11:E12)</f>
        <v>150000</v>
      </c>
      <c r="H10" s="15"/>
      <c r="I10" s="40"/>
      <c r="J10" s="40"/>
      <c r="K10" s="40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</row>
    <row r="11" spans="1:39" ht="18" customHeight="1">
      <c r="A11" s="15"/>
      <c r="B11" s="33">
        <v>46183</v>
      </c>
      <c r="C11" s="41" t="s">
        <v>9</v>
      </c>
      <c r="D11" s="42"/>
      <c r="E11" s="43">
        <v>50000</v>
      </c>
      <c r="F11" s="20"/>
      <c r="G11" s="38"/>
      <c r="H11" s="15"/>
      <c r="I11" s="40"/>
      <c r="J11" s="40"/>
      <c r="K11" s="40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39" ht="15" customHeight="1">
      <c r="A12" s="15"/>
      <c r="B12" s="44"/>
      <c r="C12" s="45" t="s">
        <v>10</v>
      </c>
      <c r="D12" s="46"/>
      <c r="E12" s="47">
        <v>100000</v>
      </c>
      <c r="F12" s="20"/>
      <c r="G12" s="48"/>
      <c r="H12" s="49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</row>
    <row r="13" spans="1:39" ht="15" customHeight="1">
      <c r="A13" s="50"/>
      <c r="B13" s="51"/>
      <c r="C13" s="52" t="s">
        <v>11</v>
      </c>
      <c r="D13" s="53"/>
      <c r="E13" s="54"/>
      <c r="F13" s="55"/>
      <c r="G13" s="56"/>
      <c r="H13" s="57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</row>
    <row r="14" spans="1:39" ht="15" customHeight="1">
      <c r="A14" s="50"/>
      <c r="B14" s="51"/>
      <c r="C14" s="58"/>
      <c r="D14" s="53"/>
      <c r="E14" s="54"/>
      <c r="F14" s="55"/>
      <c r="G14" s="56"/>
      <c r="H14" s="57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</row>
    <row r="15" spans="1:39" ht="15" customHeight="1">
      <c r="A15" s="59"/>
      <c r="B15" s="60"/>
      <c r="C15" s="61" t="s">
        <v>12</v>
      </c>
      <c r="D15" s="62"/>
      <c r="E15" s="63"/>
      <c r="F15" s="64"/>
      <c r="G15" s="65">
        <f>SUM(E16:E21)</f>
        <v>0</v>
      </c>
      <c r="H15" s="49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15" customHeight="1">
      <c r="A16" s="66"/>
      <c r="B16" s="67"/>
      <c r="C16" s="68" t="s">
        <v>13</v>
      </c>
      <c r="D16" s="69"/>
      <c r="E16" s="70"/>
      <c r="F16" s="71"/>
      <c r="G16" s="72"/>
      <c r="H16" s="73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</row>
    <row r="17" spans="1:39" ht="15" customHeight="1">
      <c r="A17" s="59"/>
      <c r="B17" s="75"/>
      <c r="C17" s="75"/>
      <c r="D17" s="75"/>
      <c r="E17" s="75"/>
      <c r="F17" s="76"/>
      <c r="G17" s="77"/>
      <c r="H17" s="15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" customHeight="1">
      <c r="A18" s="59"/>
      <c r="B18" s="78"/>
      <c r="C18" s="79"/>
      <c r="D18" s="46"/>
      <c r="E18" s="80"/>
      <c r="F18" s="81"/>
      <c r="G18" s="77"/>
      <c r="H18" s="15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39" ht="15" customHeight="1">
      <c r="A19" s="59"/>
      <c r="B19" s="78"/>
      <c r="C19" s="79" t="s">
        <v>14</v>
      </c>
      <c r="D19" s="46"/>
      <c r="E19" s="80"/>
      <c r="F19" s="82"/>
      <c r="G19" s="77"/>
      <c r="H19" s="15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39" ht="15" customHeight="1">
      <c r="A20" s="15"/>
      <c r="B20" s="83"/>
      <c r="C20" s="84"/>
      <c r="D20" s="80"/>
      <c r="E20" s="47"/>
      <c r="F20" s="20"/>
      <c r="G20" s="85" t="s">
        <v>15</v>
      </c>
      <c r="H20" s="86" t="s">
        <v>16</v>
      </c>
      <c r="I20" s="87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39" ht="15" customHeight="1">
      <c r="A21" s="15"/>
      <c r="B21" s="83"/>
      <c r="C21" s="88"/>
      <c r="D21" s="80"/>
      <c r="E21" s="19"/>
      <c r="F21" s="20"/>
      <c r="G21" s="89" t="s">
        <v>17</v>
      </c>
      <c r="H21" s="89" t="s">
        <v>17</v>
      </c>
      <c r="I21" s="87" t="s">
        <v>18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39" ht="15" customHeight="1">
      <c r="A22" s="15"/>
      <c r="B22" s="90"/>
      <c r="C22" s="91" t="s">
        <v>19</v>
      </c>
      <c r="D22" s="92"/>
      <c r="E22" s="93"/>
      <c r="F22" s="94"/>
      <c r="G22" s="95">
        <f>SUM(D23:D32)</f>
        <v>1271750</v>
      </c>
      <c r="H22" s="96">
        <v>1183750</v>
      </c>
      <c r="I22" s="97">
        <f>SUM(G22-H22)</f>
        <v>88000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 ht="18" customHeight="1">
      <c r="A23" s="15"/>
      <c r="B23" s="98"/>
      <c r="C23" s="99"/>
      <c r="D23" s="100"/>
      <c r="E23" s="80"/>
      <c r="F23" s="82"/>
      <c r="H23" s="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 ht="18" customHeight="1">
      <c r="A24" s="15"/>
      <c r="B24" s="33">
        <v>46209</v>
      </c>
      <c r="C24" s="101" t="s">
        <v>20</v>
      </c>
      <c r="D24" s="102">
        <v>63000</v>
      </c>
      <c r="E24" s="103"/>
      <c r="F24" s="81"/>
      <c r="G24" s="104"/>
      <c r="H24" s="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</row>
    <row r="25" spans="1:39" ht="16.5" customHeight="1">
      <c r="A25" s="15"/>
      <c r="B25" s="33">
        <v>46207</v>
      </c>
      <c r="C25" s="105" t="s">
        <v>21</v>
      </c>
      <c r="D25" s="102">
        <v>100000</v>
      </c>
      <c r="E25" s="80"/>
      <c r="F25" s="82"/>
      <c r="G25" s="106"/>
      <c r="H25" s="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39" ht="17.25" customHeight="1">
      <c r="A26" s="15"/>
      <c r="B26" s="33">
        <v>46209</v>
      </c>
      <c r="C26" s="105" t="s">
        <v>22</v>
      </c>
      <c r="D26" s="107">
        <v>126000</v>
      </c>
      <c r="E26" s="80"/>
      <c r="F26" s="82"/>
      <c r="G26" s="106"/>
      <c r="H26" s="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39" ht="17.25" customHeight="1">
      <c r="A27" s="15"/>
      <c r="B27" s="33">
        <v>46209</v>
      </c>
      <c r="C27" s="105" t="s">
        <v>23</v>
      </c>
      <c r="D27" s="107">
        <v>53000</v>
      </c>
      <c r="E27" s="80"/>
      <c r="F27" s="82"/>
      <c r="G27" s="106"/>
      <c r="H27" s="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39" ht="17.25" customHeight="1">
      <c r="A28" s="15"/>
      <c r="B28" s="33">
        <v>46208</v>
      </c>
      <c r="C28" s="105" t="s">
        <v>24</v>
      </c>
      <c r="D28" s="43">
        <v>90000</v>
      </c>
      <c r="E28" s="80"/>
      <c r="F28" s="82"/>
      <c r="G28" s="106"/>
      <c r="H28" s="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39" ht="17.25" customHeight="1">
      <c r="A29" s="15"/>
      <c r="B29" s="33">
        <v>46213</v>
      </c>
      <c r="C29" s="108" t="s">
        <v>25</v>
      </c>
      <c r="D29" s="43">
        <v>90000</v>
      </c>
      <c r="E29" s="80"/>
      <c r="F29" s="82"/>
      <c r="G29" s="106"/>
      <c r="H29" s="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 ht="17.25" customHeight="1">
      <c r="A30" s="15"/>
      <c r="B30" s="33">
        <v>46200</v>
      </c>
      <c r="C30" s="105" t="s">
        <v>26</v>
      </c>
      <c r="D30" s="43">
        <v>89250</v>
      </c>
      <c r="E30" s="80"/>
      <c r="F30" s="82"/>
      <c r="G30" s="106"/>
      <c r="H30" s="15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</row>
    <row r="31" spans="1:39" ht="17.25" customHeight="1">
      <c r="A31" s="15"/>
      <c r="B31" s="33">
        <v>46183</v>
      </c>
      <c r="C31" s="105" t="s">
        <v>27</v>
      </c>
      <c r="D31" s="43">
        <v>85000</v>
      </c>
      <c r="E31" s="80"/>
      <c r="F31" s="82"/>
      <c r="G31" s="106"/>
      <c r="H31" s="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 ht="17.25" customHeight="1">
      <c r="A32" s="15"/>
      <c r="B32" s="33"/>
      <c r="C32" s="109" t="s">
        <v>28</v>
      </c>
      <c r="D32" s="110">
        <v>575500</v>
      </c>
      <c r="E32" s="80"/>
      <c r="F32" s="82"/>
      <c r="G32" s="106"/>
      <c r="H32" s="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</row>
    <row r="33" spans="1:39" ht="17.25" customHeight="1">
      <c r="A33" s="15"/>
      <c r="B33" s="83"/>
      <c r="C33" s="111"/>
      <c r="D33" s="112"/>
      <c r="E33" s="80"/>
      <c r="F33" s="20"/>
      <c r="G33" s="77"/>
      <c r="H33" s="15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39" ht="17.25" customHeight="1">
      <c r="A34" s="15"/>
      <c r="B34" s="113"/>
      <c r="C34" s="114" t="s">
        <v>29</v>
      </c>
      <c r="D34" s="29"/>
      <c r="E34" s="30"/>
      <c r="F34" s="31"/>
      <c r="G34" s="95">
        <f>SUM(E35)</f>
        <v>700000</v>
      </c>
      <c r="H34" s="115">
        <v>700000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 ht="21" customHeight="1">
      <c r="A35" s="15"/>
      <c r="B35" s="67">
        <v>46184</v>
      </c>
      <c r="C35" s="116" t="s">
        <v>30</v>
      </c>
      <c r="D35" s="117"/>
      <c r="E35" s="118">
        <v>700000</v>
      </c>
      <c r="F35" s="119"/>
      <c r="G35" s="77"/>
      <c r="H35" s="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39" ht="17.25" customHeight="1">
      <c r="A36" s="15"/>
      <c r="B36" s="83"/>
      <c r="C36" s="120"/>
      <c r="D36" s="121"/>
      <c r="E36" s="122"/>
      <c r="F36" s="26"/>
      <c r="G36" s="77"/>
      <c r="H36" s="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</row>
    <row r="37" spans="1:39" ht="17.25" customHeight="1">
      <c r="A37" s="15"/>
      <c r="B37" s="123"/>
      <c r="C37" s="124" t="s">
        <v>31</v>
      </c>
      <c r="D37" s="29"/>
      <c r="E37" s="30"/>
      <c r="F37" s="31"/>
      <c r="G37" s="95">
        <f>SUM(E38:E41)</f>
        <v>188100</v>
      </c>
      <c r="H37" s="125">
        <v>177000</v>
      </c>
      <c r="I37" s="511" t="s">
        <v>32</v>
      </c>
      <c r="J37" s="508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39" ht="15" customHeight="1">
      <c r="A38" s="15"/>
      <c r="B38" s="67"/>
      <c r="C38" s="126" t="s">
        <v>33</v>
      </c>
      <c r="D38" s="127"/>
      <c r="E38" s="128">
        <v>21590</v>
      </c>
      <c r="F38" s="119"/>
      <c r="G38" s="77"/>
      <c r="H38" s="129">
        <f>SUM(H37-E38-E39-E40)</f>
        <v>-11100</v>
      </c>
      <c r="I38" s="512" t="s">
        <v>34</v>
      </c>
      <c r="J38" s="508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39" ht="15" customHeight="1">
      <c r="A39" s="15"/>
      <c r="B39" s="67"/>
      <c r="C39" s="130" t="s">
        <v>35</v>
      </c>
      <c r="D39" s="46"/>
      <c r="E39" s="110">
        <v>98560</v>
      </c>
      <c r="F39" s="82"/>
      <c r="G39" s="77"/>
      <c r="H39" s="1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</row>
    <row r="40" spans="1:39" ht="15" customHeight="1">
      <c r="A40" s="15"/>
      <c r="B40" s="67"/>
      <c r="C40" s="131" t="s">
        <v>36</v>
      </c>
      <c r="D40" s="46"/>
      <c r="E40" s="110">
        <v>67950</v>
      </c>
      <c r="F40" s="82"/>
      <c r="G40" s="77"/>
      <c r="H40" s="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</row>
    <row r="41" spans="1:39" ht="15" customHeight="1">
      <c r="A41" s="15"/>
      <c r="B41" s="132"/>
      <c r="C41" s="133"/>
      <c r="D41" s="46"/>
      <c r="E41" s="80"/>
      <c r="F41" s="82"/>
      <c r="G41" s="77"/>
      <c r="H41" s="1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</row>
    <row r="42" spans="1:39" ht="15" customHeight="1">
      <c r="A42" s="15"/>
      <c r="B42" s="27"/>
      <c r="C42" s="28" t="s">
        <v>37</v>
      </c>
      <c r="D42" s="29"/>
      <c r="E42" s="30"/>
      <c r="F42" s="31"/>
      <c r="G42" s="95">
        <f>SUM(E43:E52)</f>
        <v>90000</v>
      </c>
      <c r="H42" s="125">
        <v>90000</v>
      </c>
      <c r="I42" s="511" t="s">
        <v>32</v>
      </c>
      <c r="J42" s="508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</row>
    <row r="43" spans="1:39" ht="15" customHeight="1">
      <c r="A43" s="15"/>
      <c r="B43" s="33">
        <v>46205</v>
      </c>
      <c r="C43" s="134" t="s">
        <v>38</v>
      </c>
      <c r="D43" s="80"/>
      <c r="E43" s="135">
        <v>10000</v>
      </c>
      <c r="F43" s="20"/>
      <c r="G43" s="77"/>
      <c r="H43" s="129">
        <f>SUM(H42-G42)</f>
        <v>0</v>
      </c>
      <c r="I43" s="512" t="s">
        <v>34</v>
      </c>
      <c r="J43" s="508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39" ht="15" customHeight="1">
      <c r="A44" s="15"/>
      <c r="B44" s="33">
        <v>46207</v>
      </c>
      <c r="C44" s="134" t="s">
        <v>39</v>
      </c>
      <c r="D44" s="80"/>
      <c r="E44" s="135">
        <v>10000</v>
      </c>
      <c r="F44" s="20"/>
      <c r="G44" s="77"/>
      <c r="H44" s="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39" ht="15" customHeight="1">
      <c r="A45" s="15"/>
      <c r="B45" s="33">
        <v>46209</v>
      </c>
      <c r="C45" s="134" t="s">
        <v>40</v>
      </c>
      <c r="D45" s="136"/>
      <c r="E45" s="135">
        <v>10000</v>
      </c>
      <c r="F45" s="82"/>
      <c r="G45" s="77"/>
      <c r="H45" s="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</row>
    <row r="46" spans="1:39" ht="15" customHeight="1">
      <c r="A46" s="15"/>
      <c r="B46" s="33">
        <v>46211</v>
      </c>
      <c r="C46" s="134" t="s">
        <v>41</v>
      </c>
      <c r="D46" s="136"/>
      <c r="E46" s="135">
        <v>10000</v>
      </c>
      <c r="F46" s="20"/>
      <c r="G46" s="22"/>
      <c r="H46" s="15"/>
      <c r="I46" s="22"/>
      <c r="J46" s="15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</row>
    <row r="47" spans="1:39" ht="15" customHeight="1">
      <c r="A47" s="15"/>
      <c r="B47" s="33">
        <v>46214</v>
      </c>
      <c r="C47" s="134" t="s">
        <v>41</v>
      </c>
      <c r="D47" s="80"/>
      <c r="E47" s="135">
        <v>10000</v>
      </c>
      <c r="F47" s="20"/>
      <c r="G47" s="22"/>
      <c r="H47" s="1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</row>
    <row r="48" spans="1:39" ht="15" customHeight="1">
      <c r="A48" s="15"/>
      <c r="B48" s="33"/>
      <c r="C48" s="134" t="s">
        <v>42</v>
      </c>
      <c r="D48" s="137"/>
      <c r="E48" s="138">
        <v>10000</v>
      </c>
      <c r="F48" s="139"/>
      <c r="G48" s="77"/>
      <c r="H48" s="15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</row>
    <row r="49" spans="1:39" ht="15" customHeight="1">
      <c r="A49" s="15"/>
      <c r="B49" s="33"/>
      <c r="C49" s="134" t="s">
        <v>42</v>
      </c>
      <c r="D49" s="80"/>
      <c r="E49" s="138">
        <v>10000</v>
      </c>
      <c r="F49" s="139"/>
      <c r="G49" s="77"/>
      <c r="H49" s="15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</row>
    <row r="50" spans="1:39" ht="15" customHeight="1">
      <c r="A50" s="59"/>
      <c r="B50" s="33"/>
      <c r="C50" s="134" t="s">
        <v>42</v>
      </c>
      <c r="D50" s="46"/>
      <c r="E50" s="138">
        <v>10000</v>
      </c>
      <c r="F50" s="20"/>
      <c r="G50" s="140"/>
      <c r="H50" s="141"/>
      <c r="I50" s="40"/>
      <c r="J50" s="40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39" ht="15" customHeight="1">
      <c r="A51" s="59"/>
      <c r="B51" s="33"/>
      <c r="C51" s="134" t="s">
        <v>42</v>
      </c>
      <c r="D51" s="46"/>
      <c r="E51" s="138">
        <v>10000</v>
      </c>
      <c r="F51" s="20"/>
      <c r="G51" s="142"/>
      <c r="H51" s="143"/>
      <c r="I51" s="141"/>
      <c r="J51" s="144"/>
      <c r="K51" s="145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</row>
    <row r="52" spans="1:39" ht="15" customHeight="1">
      <c r="A52" s="59"/>
      <c r="B52" s="33"/>
      <c r="C52" s="134"/>
      <c r="D52" s="46"/>
      <c r="E52" s="146"/>
      <c r="F52" s="20"/>
      <c r="G52" s="142"/>
      <c r="H52" s="143"/>
      <c r="I52" s="141"/>
      <c r="J52" s="144"/>
      <c r="K52" s="145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</row>
    <row r="53" spans="1:39" ht="15" customHeight="1">
      <c r="A53" s="59"/>
      <c r="B53" s="147"/>
      <c r="C53" s="148" t="s">
        <v>43</v>
      </c>
      <c r="D53" s="149"/>
      <c r="E53" s="150"/>
      <c r="F53" s="151"/>
      <c r="G53" s="152">
        <f>SUM(E53:E54)</f>
        <v>0</v>
      </c>
      <c r="H53" s="153">
        <v>91750</v>
      </c>
      <c r="I53" s="15" t="s">
        <v>44</v>
      </c>
      <c r="J53" s="154">
        <v>176750</v>
      </c>
      <c r="K53" s="145" t="s">
        <v>45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</row>
    <row r="54" spans="1:39" ht="15" customHeight="1">
      <c r="A54" s="59"/>
      <c r="B54" s="33"/>
      <c r="C54" s="155" t="s">
        <v>46</v>
      </c>
      <c r="D54" s="53"/>
      <c r="E54" s="156"/>
      <c r="F54" s="157"/>
      <c r="G54" s="158"/>
      <c r="H54" s="143"/>
      <c r="I54" s="22"/>
      <c r="J54" s="159">
        <f>SUM(E54:E57)</f>
        <v>83750</v>
      </c>
      <c r="K54" s="86" t="s">
        <v>47</v>
      </c>
      <c r="L54" s="145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</row>
    <row r="55" spans="1:39" ht="15" customHeight="1">
      <c r="A55" s="59"/>
      <c r="B55" s="60"/>
      <c r="C55" s="160"/>
      <c r="D55" s="161"/>
      <c r="E55" s="19"/>
      <c r="F55" s="20"/>
      <c r="G55" s="162"/>
      <c r="H55" s="15"/>
      <c r="I55" s="22"/>
      <c r="J55" s="129">
        <f>SUM(J53-J54)</f>
        <v>93000</v>
      </c>
      <c r="K55" s="87" t="s">
        <v>34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</row>
    <row r="56" spans="1:39" ht="15" customHeight="1">
      <c r="A56" s="59"/>
      <c r="B56" s="147"/>
      <c r="C56" s="163" t="s">
        <v>48</v>
      </c>
      <c r="D56" s="149"/>
      <c r="E56" s="150"/>
      <c r="F56" s="151"/>
      <c r="G56" s="164">
        <f>SUM(E56:E57)</f>
        <v>83750</v>
      </c>
      <c r="H56" s="153">
        <v>85000</v>
      </c>
      <c r="I56" s="15" t="s">
        <v>44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</row>
    <row r="57" spans="1:39" ht="15" customHeight="1">
      <c r="A57" s="59"/>
      <c r="B57" s="33">
        <v>46208</v>
      </c>
      <c r="C57" s="165" t="s">
        <v>49</v>
      </c>
      <c r="D57" s="166"/>
      <c r="E57" s="43">
        <v>83750</v>
      </c>
      <c r="F57" s="20"/>
      <c r="G57" s="162"/>
      <c r="H57" s="129">
        <f>SUM(H56-E57-E58-E59)</f>
        <v>1250</v>
      </c>
      <c r="I57" s="513" t="s">
        <v>34</v>
      </c>
      <c r="J57" s="508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39" ht="15" customHeight="1">
      <c r="A58" s="59"/>
      <c r="B58" s="60"/>
      <c r="C58" s="160"/>
      <c r="D58" s="46"/>
      <c r="E58" s="19"/>
      <c r="F58" s="20"/>
      <c r="G58" s="167"/>
      <c r="H58" s="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39" ht="15" customHeight="1">
      <c r="A59" s="15"/>
      <c r="B59" s="27"/>
      <c r="C59" s="168" t="s">
        <v>50</v>
      </c>
      <c r="D59" s="169"/>
      <c r="E59" s="170"/>
      <c r="F59" s="171"/>
      <c r="G59" s="172">
        <f>SUM(E60:E66)</f>
        <v>126650</v>
      </c>
      <c r="H59" s="49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</row>
    <row r="60" spans="1:39" ht="15" customHeight="1">
      <c r="A60" s="15"/>
      <c r="B60" s="33">
        <v>46207</v>
      </c>
      <c r="C60" s="173" t="s">
        <v>51</v>
      </c>
      <c r="D60" s="174"/>
      <c r="E60" s="175">
        <v>20000</v>
      </c>
      <c r="F60" s="37"/>
      <c r="G60" s="176"/>
      <c r="H60" s="1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</row>
    <row r="61" spans="1:39" ht="15" customHeight="1">
      <c r="A61" s="15"/>
      <c r="B61" s="33">
        <v>46207</v>
      </c>
      <c r="C61" s="177" t="s">
        <v>52</v>
      </c>
      <c r="D61" s="178"/>
      <c r="E61" s="179">
        <v>40000</v>
      </c>
      <c r="F61" s="37"/>
      <c r="G61" s="48"/>
      <c r="H61" s="1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</row>
    <row r="62" spans="1:39" ht="15" customHeight="1">
      <c r="A62" s="15"/>
      <c r="B62" s="33">
        <v>46207</v>
      </c>
      <c r="C62" s="177" t="s">
        <v>53</v>
      </c>
      <c r="D62" s="178"/>
      <c r="E62" s="179">
        <v>40000</v>
      </c>
      <c r="F62" s="37"/>
      <c r="G62" s="48"/>
      <c r="H62" s="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</row>
    <row r="63" spans="1:39" ht="15" customHeight="1">
      <c r="A63" s="15"/>
      <c r="B63" s="33">
        <v>46207</v>
      </c>
      <c r="C63" s="177" t="s">
        <v>54</v>
      </c>
      <c r="D63" s="178"/>
      <c r="E63" s="179">
        <v>5000</v>
      </c>
      <c r="F63" s="37"/>
      <c r="G63" s="48"/>
      <c r="H63" s="1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</row>
    <row r="64" spans="1:39" ht="15" customHeight="1">
      <c r="A64" s="15"/>
      <c r="B64" s="33">
        <v>46212</v>
      </c>
      <c r="C64" s="177" t="s">
        <v>55</v>
      </c>
      <c r="D64" s="178"/>
      <c r="E64" s="179">
        <v>8950</v>
      </c>
      <c r="F64" s="37"/>
      <c r="G64" s="48"/>
      <c r="H64" s="1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</row>
    <row r="65" spans="1:39" ht="15" customHeight="1">
      <c r="A65" s="15"/>
      <c r="B65" s="33">
        <v>46213</v>
      </c>
      <c r="C65" s="180" t="s">
        <v>56</v>
      </c>
      <c r="D65" s="46"/>
      <c r="E65" s="181">
        <v>5200</v>
      </c>
      <c r="F65" s="20"/>
      <c r="G65" s="48"/>
      <c r="H65" s="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</row>
    <row r="66" spans="1:39" ht="15" customHeight="1">
      <c r="A66" s="15"/>
      <c r="B66" s="33">
        <v>46213</v>
      </c>
      <c r="C66" s="180" t="s">
        <v>57</v>
      </c>
      <c r="D66" s="46"/>
      <c r="E66" s="181">
        <v>7500</v>
      </c>
      <c r="F66" s="20"/>
      <c r="G66" s="48"/>
      <c r="H66" s="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</row>
    <row r="67" spans="1:39" ht="15" customHeight="1">
      <c r="A67" s="15"/>
      <c r="B67" s="60"/>
      <c r="C67" s="182"/>
      <c r="D67" s="53"/>
      <c r="E67" s="54"/>
      <c r="F67" s="55"/>
      <c r="G67" s="56"/>
      <c r="H67" s="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</row>
    <row r="68" spans="1:39" ht="15" customHeight="1">
      <c r="A68" s="15"/>
      <c r="B68" s="60"/>
      <c r="C68" s="182"/>
      <c r="D68" s="53"/>
      <c r="E68" s="54"/>
      <c r="F68" s="55"/>
      <c r="G68" s="56"/>
      <c r="H68" s="1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1:39" ht="15" customHeight="1">
      <c r="A69" s="15"/>
      <c r="B69" s="60"/>
      <c r="C69" s="182"/>
      <c r="D69" s="53"/>
      <c r="E69" s="54"/>
      <c r="F69" s="55"/>
      <c r="G69" s="56"/>
      <c r="H69" s="1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</row>
    <row r="70" spans="1:39" ht="15" customHeight="1">
      <c r="A70" s="15"/>
      <c r="B70" s="60"/>
      <c r="C70" s="182"/>
      <c r="D70" s="53"/>
      <c r="E70" s="54"/>
      <c r="F70" s="55"/>
      <c r="G70" s="56"/>
      <c r="H70" s="1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</row>
    <row r="71" spans="1:39" ht="15" customHeight="1">
      <c r="A71" s="15"/>
      <c r="B71" s="60"/>
      <c r="C71" s="183" t="s">
        <v>58</v>
      </c>
      <c r="D71" s="184"/>
      <c r="E71" s="185"/>
      <c r="F71" s="186"/>
      <c r="G71" s="187">
        <f>SUM(E72:E74)</f>
        <v>16250</v>
      </c>
      <c r="H71" s="1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</row>
    <row r="72" spans="1:39" ht="15" customHeight="1">
      <c r="A72" s="188"/>
      <c r="B72" s="33">
        <v>46208</v>
      </c>
      <c r="C72" s="189" t="s">
        <v>59</v>
      </c>
      <c r="D72" s="190"/>
      <c r="E72" s="191">
        <v>16250</v>
      </c>
      <c r="F72" s="192"/>
      <c r="G72" s="193"/>
      <c r="H72" s="188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</row>
    <row r="73" spans="1:39" ht="15" customHeight="1">
      <c r="A73" s="15"/>
      <c r="B73" s="33"/>
      <c r="C73" s="157"/>
      <c r="D73" s="112"/>
      <c r="E73" s="194"/>
      <c r="F73" s="20"/>
      <c r="G73" s="195"/>
      <c r="H73" s="1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</row>
    <row r="74" spans="1:39" ht="15" customHeight="1">
      <c r="A74" s="59"/>
      <c r="B74" s="33"/>
      <c r="C74" s="157"/>
      <c r="D74" s="112"/>
      <c r="E74" s="194"/>
      <c r="F74" s="20"/>
      <c r="G74" s="48"/>
      <c r="H74" s="1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</row>
    <row r="75" spans="1:39" ht="15" customHeight="1">
      <c r="A75" s="59"/>
      <c r="B75" s="83"/>
      <c r="C75" s="196"/>
      <c r="D75" s="46"/>
      <c r="E75" s="19"/>
      <c r="F75" s="20"/>
      <c r="G75" s="48"/>
      <c r="H75" s="15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</row>
    <row r="76" spans="1:39" ht="15" customHeight="1">
      <c r="A76" s="15"/>
      <c r="B76" s="123"/>
      <c r="C76" s="197" t="s">
        <v>60</v>
      </c>
      <c r="D76" s="198"/>
      <c r="E76" s="199"/>
      <c r="F76" s="200"/>
      <c r="G76" s="201">
        <f>SUM(E77:E78)</f>
        <v>0</v>
      </c>
      <c r="H76" s="1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</row>
    <row r="77" spans="1:39" ht="15" customHeight="1">
      <c r="A77" s="15"/>
      <c r="B77" s="202"/>
      <c r="C77" s="203"/>
      <c r="D77" s="204"/>
      <c r="E77" s="205"/>
      <c r="F77" s="119"/>
      <c r="G77" s="77"/>
      <c r="H77" s="15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</row>
    <row r="78" spans="1:39" ht="15" customHeight="1">
      <c r="A78" s="59"/>
      <c r="B78" s="33"/>
      <c r="C78" s="157"/>
      <c r="D78" s="112"/>
      <c r="E78" s="206"/>
      <c r="F78" s="20"/>
      <c r="G78" s="207"/>
      <c r="H78" s="1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</row>
    <row r="79" spans="1:39" ht="19.5">
      <c r="A79" s="1"/>
      <c r="B79" s="2"/>
      <c r="C79" s="1"/>
      <c r="D79" s="208"/>
      <c r="E79" s="208"/>
      <c r="G79" s="4"/>
      <c r="H79" s="1"/>
    </row>
    <row r="80" spans="1:39" ht="19.5">
      <c r="A80" s="1"/>
      <c r="B80" s="2"/>
      <c r="C80" s="209"/>
      <c r="D80" s="208"/>
      <c r="E80" s="208"/>
      <c r="G80" s="4"/>
      <c r="H80" s="1"/>
    </row>
    <row r="81" spans="1:8" ht="19.5">
      <c r="A81" s="1"/>
      <c r="B81" s="2"/>
      <c r="C81" s="210"/>
      <c r="D81" s="208"/>
      <c r="E81" s="208"/>
      <c r="G81" s="4"/>
      <c r="H81" s="1"/>
    </row>
    <row r="82" spans="1:8" ht="19.5">
      <c r="A82" s="1"/>
      <c r="B82" s="211"/>
      <c r="C82" s="212"/>
      <c r="D82" s="208"/>
      <c r="E82" s="208"/>
      <c r="G82" s="4"/>
      <c r="H82" s="1"/>
    </row>
    <row r="83" spans="1:8" ht="19.5">
      <c r="A83" s="1"/>
      <c r="B83" s="2"/>
      <c r="C83" s="210"/>
      <c r="D83" s="208"/>
      <c r="E83" s="208"/>
      <c r="G83" s="4"/>
      <c r="H83" s="1"/>
    </row>
    <row r="84" spans="1:8" ht="19.5">
      <c r="A84" s="1"/>
      <c r="B84" s="2"/>
      <c r="C84" s="209"/>
      <c r="D84" s="208"/>
      <c r="E84" s="208"/>
      <c r="G84" s="4"/>
      <c r="H84" s="1"/>
    </row>
    <row r="85" spans="1:8" ht="19.5">
      <c r="A85" s="1"/>
      <c r="B85" s="2"/>
      <c r="C85" s="210"/>
      <c r="D85" s="208"/>
      <c r="E85" s="208"/>
      <c r="G85" s="4"/>
      <c r="H85" s="1"/>
    </row>
    <row r="86" spans="1:8" ht="19.5">
      <c r="A86" s="1"/>
      <c r="B86" s="2"/>
      <c r="C86" s="213"/>
      <c r="D86" s="208"/>
      <c r="E86" s="208"/>
      <c r="G86" s="4"/>
      <c r="H86" s="1"/>
    </row>
    <row r="87" spans="1:8" ht="19.5">
      <c r="A87" s="1"/>
      <c r="B87" s="2"/>
      <c r="C87" s="1"/>
      <c r="D87" s="208"/>
      <c r="E87" s="208"/>
      <c r="G87" s="4"/>
      <c r="H87" s="1"/>
    </row>
    <row r="88" spans="1:8" ht="19.5">
      <c r="A88" s="1"/>
      <c r="B88" s="2"/>
      <c r="C88" s="1"/>
      <c r="D88" s="208"/>
      <c r="E88" s="208"/>
      <c r="G88" s="4"/>
      <c r="H88" s="1"/>
    </row>
    <row r="89" spans="1:8" ht="19.5">
      <c r="A89" s="1"/>
      <c r="B89" s="2"/>
      <c r="C89" s="1"/>
      <c r="D89" s="208"/>
      <c r="E89" s="208"/>
      <c r="G89" s="4"/>
      <c r="H89" s="1"/>
    </row>
    <row r="90" spans="1:8" ht="19.5">
      <c r="A90" s="1"/>
      <c r="B90" s="2"/>
      <c r="C90" s="1"/>
      <c r="D90" s="208"/>
      <c r="E90" s="208"/>
      <c r="G90" s="4"/>
      <c r="H90" s="1"/>
    </row>
    <row r="91" spans="1:8" ht="19.5">
      <c r="A91" s="1"/>
      <c r="B91" s="2"/>
      <c r="C91" s="1"/>
      <c r="D91" s="208"/>
      <c r="E91" s="208"/>
      <c r="G91" s="4"/>
      <c r="H91" s="1"/>
    </row>
    <row r="92" spans="1:8" ht="19.5">
      <c r="A92" s="1"/>
      <c r="B92" s="2"/>
      <c r="C92" s="1"/>
      <c r="D92" s="208"/>
      <c r="E92" s="208"/>
      <c r="G92" s="4"/>
      <c r="H92" s="1"/>
    </row>
    <row r="93" spans="1:8" ht="19.5">
      <c r="A93" s="1"/>
      <c r="B93" s="2"/>
      <c r="C93" s="1"/>
      <c r="D93" s="208"/>
      <c r="E93" s="208"/>
      <c r="G93" s="4"/>
      <c r="H93" s="1"/>
    </row>
    <row r="94" spans="1:8" ht="19.5">
      <c r="A94" s="1"/>
      <c r="B94" s="2"/>
      <c r="C94" s="1"/>
      <c r="D94" s="208"/>
      <c r="E94" s="208"/>
      <c r="G94" s="4"/>
      <c r="H94" s="1"/>
    </row>
    <row r="95" spans="1:8" ht="19.5">
      <c r="A95" s="1"/>
      <c r="B95" s="2"/>
      <c r="C95" s="1"/>
      <c r="D95" s="208"/>
      <c r="E95" s="208"/>
      <c r="G95" s="4"/>
      <c r="H95" s="1"/>
    </row>
    <row r="96" spans="1:8" ht="19.5">
      <c r="A96" s="1"/>
      <c r="B96" s="2"/>
      <c r="C96" s="1"/>
      <c r="D96" s="208"/>
      <c r="E96" s="208"/>
      <c r="G96" s="4"/>
      <c r="H96" s="1"/>
    </row>
    <row r="97" spans="1:8" ht="19.5">
      <c r="A97" s="1"/>
      <c r="B97" s="2"/>
      <c r="C97" s="1"/>
      <c r="D97" s="208"/>
      <c r="E97" s="208"/>
      <c r="G97" s="4"/>
      <c r="H97" s="1"/>
    </row>
    <row r="98" spans="1:8" ht="19.5">
      <c r="A98" s="1"/>
      <c r="B98" s="2"/>
      <c r="C98" s="1"/>
      <c r="D98" s="208"/>
      <c r="E98" s="208"/>
      <c r="G98" s="4"/>
      <c r="H98" s="1"/>
    </row>
    <row r="99" spans="1:8" ht="19.5">
      <c r="A99" s="1"/>
      <c r="B99" s="2"/>
      <c r="C99" s="1"/>
      <c r="D99" s="208"/>
      <c r="E99" s="208"/>
      <c r="G99" s="4"/>
      <c r="H99" s="1"/>
    </row>
    <row r="100" spans="1:8" ht="19.5">
      <c r="A100" s="1"/>
      <c r="B100" s="2"/>
      <c r="C100" s="1"/>
      <c r="D100" s="208"/>
      <c r="E100" s="208"/>
      <c r="G100" s="4"/>
      <c r="H100" s="1"/>
    </row>
    <row r="101" spans="1:8" ht="19.5">
      <c r="A101" s="1"/>
      <c r="B101" s="2"/>
      <c r="C101" s="1"/>
      <c r="D101" s="208"/>
      <c r="E101" s="208"/>
      <c r="G101" s="4"/>
      <c r="H101" s="1"/>
    </row>
    <row r="102" spans="1:8" ht="19.5">
      <c r="A102" s="1"/>
      <c r="B102" s="2"/>
      <c r="C102" s="1"/>
      <c r="D102" s="208"/>
      <c r="E102" s="208"/>
      <c r="G102" s="4"/>
      <c r="H102" s="1"/>
    </row>
    <row r="103" spans="1:8" ht="19.5">
      <c r="A103" s="1"/>
      <c r="B103" s="2"/>
      <c r="C103" s="1"/>
      <c r="D103" s="208"/>
      <c r="E103" s="208"/>
      <c r="G103" s="4"/>
      <c r="H103" s="1"/>
    </row>
    <row r="104" spans="1:8" ht="19.5">
      <c r="A104" s="1"/>
      <c r="B104" s="2"/>
      <c r="C104" s="1"/>
      <c r="D104" s="208"/>
      <c r="E104" s="208"/>
      <c r="G104" s="4"/>
      <c r="H104" s="1"/>
    </row>
    <row r="105" spans="1:8" ht="19.5">
      <c r="A105" s="1"/>
      <c r="B105" s="2"/>
      <c r="C105" s="1"/>
      <c r="D105" s="208"/>
      <c r="E105" s="208"/>
      <c r="G105" s="4"/>
      <c r="H105" s="1"/>
    </row>
    <row r="106" spans="1:8" ht="19.5">
      <c r="A106" s="1"/>
      <c r="B106" s="2"/>
      <c r="C106" s="1"/>
      <c r="D106" s="208"/>
      <c r="E106" s="208"/>
      <c r="G106" s="4"/>
      <c r="H106" s="1"/>
    </row>
    <row r="107" spans="1:8" ht="19.5">
      <c r="A107" s="1"/>
      <c r="B107" s="2"/>
      <c r="C107" s="1"/>
      <c r="D107" s="208"/>
      <c r="E107" s="208"/>
      <c r="G107" s="4"/>
      <c r="H107" s="1"/>
    </row>
    <row r="108" spans="1:8" ht="19.5">
      <c r="A108" s="1"/>
      <c r="B108" s="2"/>
      <c r="C108" s="1"/>
      <c r="D108" s="208"/>
      <c r="E108" s="208"/>
      <c r="G108" s="4"/>
      <c r="H108" s="1"/>
    </row>
    <row r="109" spans="1:8" ht="19.5">
      <c r="A109" s="1"/>
      <c r="B109" s="2"/>
      <c r="C109" s="1"/>
      <c r="D109" s="208"/>
      <c r="E109" s="208"/>
      <c r="G109" s="4"/>
      <c r="H109" s="1"/>
    </row>
    <row r="110" spans="1:8" ht="19.5">
      <c r="A110" s="1"/>
      <c r="B110" s="2"/>
      <c r="C110" s="1"/>
      <c r="D110" s="208"/>
      <c r="E110" s="208"/>
      <c r="G110" s="4"/>
      <c r="H110" s="1"/>
    </row>
    <row r="111" spans="1:8" ht="19.5">
      <c r="A111" s="1"/>
      <c r="B111" s="2"/>
      <c r="C111" s="1"/>
      <c r="D111" s="208"/>
      <c r="E111" s="208"/>
      <c r="G111" s="4"/>
      <c r="H111" s="1"/>
    </row>
    <row r="112" spans="1:8" ht="19.5">
      <c r="A112" s="1"/>
      <c r="B112" s="2"/>
      <c r="C112" s="1"/>
      <c r="D112" s="208"/>
      <c r="E112" s="208"/>
      <c r="G112" s="4"/>
      <c r="H112" s="1"/>
    </row>
    <row r="113" spans="1:8" ht="19.5">
      <c r="A113" s="1"/>
      <c r="B113" s="2"/>
      <c r="C113" s="1"/>
      <c r="D113" s="208"/>
      <c r="E113" s="208"/>
      <c r="G113" s="4"/>
      <c r="H113" s="1"/>
    </row>
    <row r="114" spans="1:8" ht="19.5">
      <c r="A114" s="1"/>
      <c r="B114" s="2"/>
      <c r="C114" s="1"/>
      <c r="D114" s="208"/>
      <c r="E114" s="208"/>
      <c r="G114" s="4"/>
      <c r="H114" s="1"/>
    </row>
    <row r="115" spans="1:8" ht="19.5">
      <c r="A115" s="1"/>
      <c r="B115" s="2"/>
      <c r="C115" s="1"/>
      <c r="D115" s="208"/>
      <c r="E115" s="208"/>
      <c r="G115" s="4"/>
      <c r="H115" s="1"/>
    </row>
    <row r="116" spans="1:8" ht="19.5">
      <c r="A116" s="1"/>
      <c r="B116" s="2"/>
      <c r="C116" s="1"/>
      <c r="D116" s="208"/>
      <c r="E116" s="208"/>
      <c r="G116" s="4"/>
      <c r="H116" s="1"/>
    </row>
    <row r="117" spans="1:8" ht="19.5">
      <c r="A117" s="1"/>
      <c r="B117" s="2"/>
      <c r="C117" s="1"/>
      <c r="D117" s="208"/>
      <c r="E117" s="208"/>
      <c r="G117" s="4"/>
      <c r="H117" s="1"/>
    </row>
    <row r="118" spans="1:8" ht="19.5">
      <c r="A118" s="1"/>
      <c r="B118" s="2"/>
      <c r="C118" s="1"/>
      <c r="D118" s="208"/>
      <c r="E118" s="208"/>
      <c r="G118" s="4"/>
      <c r="H118" s="1"/>
    </row>
    <row r="119" spans="1:8" ht="19.5">
      <c r="A119" s="1"/>
      <c r="B119" s="2"/>
      <c r="C119" s="1"/>
      <c r="D119" s="208"/>
      <c r="E119" s="208"/>
      <c r="G119" s="4"/>
      <c r="H119" s="1"/>
    </row>
    <row r="120" spans="1:8" ht="19.5">
      <c r="A120" s="1"/>
      <c r="B120" s="2"/>
      <c r="C120" s="1"/>
      <c r="D120" s="208"/>
      <c r="E120" s="208"/>
      <c r="G120" s="4"/>
      <c r="H120" s="1"/>
    </row>
    <row r="121" spans="1:8" ht="19.5">
      <c r="A121" s="1"/>
      <c r="B121" s="2"/>
      <c r="C121" s="1"/>
      <c r="D121" s="208"/>
      <c r="E121" s="208"/>
      <c r="G121" s="4"/>
      <c r="H121" s="1"/>
    </row>
    <row r="122" spans="1:8" ht="19.5">
      <c r="A122" s="1"/>
      <c r="B122" s="2"/>
      <c r="C122" s="1"/>
      <c r="D122" s="208"/>
      <c r="E122" s="208"/>
      <c r="G122" s="4"/>
      <c r="H122" s="1"/>
    </row>
    <row r="123" spans="1:8" ht="19.5">
      <c r="A123" s="1"/>
      <c r="B123" s="2"/>
      <c r="C123" s="1"/>
      <c r="D123" s="208"/>
      <c r="E123" s="208"/>
      <c r="G123" s="4"/>
      <c r="H123" s="1"/>
    </row>
    <row r="124" spans="1:8" ht="19.5">
      <c r="A124" s="1"/>
      <c r="B124" s="2"/>
      <c r="C124" s="1"/>
      <c r="D124" s="208"/>
      <c r="E124" s="208"/>
      <c r="G124" s="4"/>
      <c r="H124" s="1"/>
    </row>
    <row r="125" spans="1:8" ht="19.5">
      <c r="A125" s="1"/>
      <c r="B125" s="2"/>
      <c r="C125" s="1"/>
      <c r="D125" s="208"/>
      <c r="E125" s="208"/>
      <c r="G125" s="4"/>
      <c r="H125" s="1"/>
    </row>
    <row r="126" spans="1:8" ht="19.5">
      <c r="A126" s="1"/>
      <c r="B126" s="2"/>
      <c r="C126" s="1"/>
      <c r="D126" s="208"/>
      <c r="E126" s="208"/>
      <c r="G126" s="4"/>
      <c r="H126" s="1"/>
    </row>
    <row r="127" spans="1:8" ht="19.5">
      <c r="A127" s="1"/>
      <c r="B127" s="2"/>
      <c r="C127" s="1"/>
      <c r="D127" s="208"/>
      <c r="E127" s="208"/>
      <c r="G127" s="4"/>
      <c r="H127" s="1"/>
    </row>
    <row r="128" spans="1:8" ht="19.5">
      <c r="A128" s="1"/>
      <c r="B128" s="2"/>
      <c r="C128" s="1"/>
      <c r="D128" s="208"/>
      <c r="E128" s="208"/>
      <c r="G128" s="4"/>
      <c r="H128" s="1"/>
    </row>
    <row r="129" spans="1:8" ht="19.5">
      <c r="A129" s="1"/>
      <c r="B129" s="2"/>
      <c r="C129" s="1"/>
      <c r="D129" s="208"/>
      <c r="E129" s="208"/>
      <c r="G129" s="4"/>
      <c r="H129" s="1"/>
    </row>
    <row r="130" spans="1:8" ht="19.5">
      <c r="A130" s="1"/>
      <c r="B130" s="2"/>
      <c r="C130" s="1"/>
      <c r="D130" s="208"/>
      <c r="E130" s="208"/>
      <c r="G130" s="4"/>
      <c r="H130" s="1"/>
    </row>
    <row r="131" spans="1:8" ht="19.5">
      <c r="A131" s="1"/>
      <c r="B131" s="2"/>
      <c r="C131" s="1"/>
      <c r="D131" s="208"/>
      <c r="E131" s="208"/>
      <c r="G131" s="4"/>
      <c r="H131" s="1"/>
    </row>
    <row r="132" spans="1:8" ht="19.5">
      <c r="A132" s="1"/>
      <c r="B132" s="2"/>
      <c r="C132" s="1"/>
      <c r="D132" s="208"/>
      <c r="E132" s="208"/>
      <c r="G132" s="4"/>
      <c r="H132" s="1"/>
    </row>
    <row r="133" spans="1:8" ht="19.5">
      <c r="A133" s="1"/>
      <c r="B133" s="2"/>
      <c r="C133" s="1"/>
      <c r="D133" s="208"/>
      <c r="E133" s="208"/>
      <c r="G133" s="4"/>
      <c r="H133" s="1"/>
    </row>
    <row r="134" spans="1:8" ht="19.5">
      <c r="A134" s="1"/>
      <c r="B134" s="2"/>
      <c r="C134" s="1"/>
      <c r="D134" s="208"/>
      <c r="E134" s="208"/>
      <c r="G134" s="4"/>
      <c r="H134" s="1"/>
    </row>
    <row r="135" spans="1:8" ht="19.5">
      <c r="A135" s="1"/>
      <c r="B135" s="2"/>
      <c r="C135" s="1"/>
      <c r="D135" s="208"/>
      <c r="E135" s="208"/>
      <c r="G135" s="4"/>
      <c r="H135" s="1"/>
    </row>
    <row r="136" spans="1:8" ht="19.5">
      <c r="A136" s="1"/>
      <c r="B136" s="2"/>
      <c r="C136" s="1"/>
      <c r="D136" s="208"/>
      <c r="E136" s="208"/>
      <c r="G136" s="4"/>
      <c r="H136" s="1"/>
    </row>
    <row r="137" spans="1:8" ht="19.5">
      <c r="A137" s="1"/>
      <c r="B137" s="2"/>
      <c r="C137" s="1"/>
      <c r="D137" s="208"/>
      <c r="E137" s="208"/>
      <c r="G137" s="4"/>
      <c r="H137" s="1"/>
    </row>
    <row r="138" spans="1:8" ht="19.5">
      <c r="A138" s="1"/>
      <c r="B138" s="2"/>
      <c r="C138" s="1"/>
      <c r="D138" s="208"/>
      <c r="E138" s="208"/>
      <c r="G138" s="4"/>
      <c r="H138" s="1"/>
    </row>
    <row r="139" spans="1:8" ht="19.5">
      <c r="A139" s="1"/>
      <c r="B139" s="2"/>
      <c r="C139" s="1"/>
      <c r="D139" s="208"/>
      <c r="E139" s="208"/>
      <c r="G139" s="4"/>
      <c r="H139" s="1"/>
    </row>
    <row r="140" spans="1:8" ht="19.5">
      <c r="A140" s="1"/>
      <c r="B140" s="2"/>
      <c r="C140" s="1"/>
      <c r="D140" s="208"/>
      <c r="E140" s="208"/>
      <c r="G140" s="4"/>
      <c r="H140" s="1"/>
    </row>
    <row r="141" spans="1:8" ht="19.5">
      <c r="A141" s="1"/>
      <c r="B141" s="2"/>
      <c r="C141" s="1"/>
      <c r="D141" s="208"/>
      <c r="E141" s="208"/>
      <c r="G141" s="4"/>
      <c r="H141" s="1"/>
    </row>
    <row r="142" spans="1:8" ht="19.5">
      <c r="A142" s="1"/>
      <c r="B142" s="2"/>
      <c r="C142" s="1"/>
      <c r="D142" s="208"/>
      <c r="E142" s="208"/>
      <c r="G142" s="4"/>
      <c r="H142" s="1"/>
    </row>
    <row r="143" spans="1:8" ht="19.5">
      <c r="A143" s="1"/>
      <c r="B143" s="2"/>
      <c r="C143" s="1"/>
      <c r="D143" s="208"/>
      <c r="E143" s="208"/>
      <c r="G143" s="4"/>
      <c r="H143" s="1"/>
    </row>
    <row r="144" spans="1:8" ht="19.5">
      <c r="A144" s="1"/>
      <c r="B144" s="2"/>
      <c r="C144" s="1"/>
      <c r="D144" s="208"/>
      <c r="E144" s="208"/>
      <c r="G144" s="4"/>
      <c r="H144" s="1"/>
    </row>
    <row r="145" spans="1:8" ht="19.5">
      <c r="A145" s="1"/>
      <c r="B145" s="2"/>
      <c r="C145" s="1"/>
      <c r="D145" s="208"/>
      <c r="E145" s="208"/>
      <c r="G145" s="4"/>
      <c r="H145" s="1"/>
    </row>
    <row r="146" spans="1:8" ht="19.5">
      <c r="A146" s="1"/>
      <c r="B146" s="2"/>
      <c r="C146" s="1"/>
      <c r="D146" s="208"/>
      <c r="E146" s="208"/>
      <c r="G146" s="4"/>
      <c r="H146" s="1"/>
    </row>
    <row r="147" spans="1:8" ht="19.5">
      <c r="A147" s="1"/>
      <c r="B147" s="2"/>
      <c r="C147" s="1"/>
      <c r="D147" s="208"/>
      <c r="E147" s="208"/>
      <c r="G147" s="4"/>
      <c r="H147" s="1"/>
    </row>
    <row r="148" spans="1:8" ht="19.5">
      <c r="A148" s="1"/>
      <c r="B148" s="2"/>
      <c r="C148" s="1"/>
      <c r="D148" s="208"/>
      <c r="E148" s="208"/>
      <c r="G148" s="4"/>
      <c r="H148" s="1"/>
    </row>
    <row r="149" spans="1:8" ht="19.5">
      <c r="A149" s="1"/>
      <c r="B149" s="2"/>
      <c r="C149" s="1"/>
      <c r="D149" s="208"/>
      <c r="E149" s="208"/>
      <c r="G149" s="4"/>
      <c r="H149" s="1"/>
    </row>
    <row r="150" spans="1:8" ht="19.5">
      <c r="A150" s="1"/>
      <c r="B150" s="2"/>
      <c r="C150" s="1"/>
      <c r="D150" s="208"/>
      <c r="E150" s="208"/>
      <c r="G150" s="4"/>
      <c r="H150" s="1"/>
    </row>
    <row r="151" spans="1:8" ht="19.5">
      <c r="A151" s="1"/>
      <c r="B151" s="2"/>
      <c r="C151" s="1"/>
      <c r="D151" s="208"/>
      <c r="E151" s="208"/>
      <c r="G151" s="4"/>
      <c r="H151" s="1"/>
    </row>
    <row r="152" spans="1:8" ht="19.5">
      <c r="A152" s="1"/>
      <c r="B152" s="2"/>
      <c r="C152" s="1"/>
      <c r="D152" s="208"/>
      <c r="E152" s="208"/>
      <c r="G152" s="4"/>
      <c r="H152" s="1"/>
    </row>
    <row r="153" spans="1:8" ht="19.5">
      <c r="A153" s="1"/>
      <c r="B153" s="2"/>
      <c r="C153" s="1"/>
      <c r="D153" s="208"/>
      <c r="E153" s="208"/>
      <c r="G153" s="4"/>
      <c r="H153" s="1"/>
    </row>
    <row r="154" spans="1:8" ht="19.5">
      <c r="A154" s="1"/>
      <c r="B154" s="2"/>
      <c r="C154" s="1"/>
      <c r="D154" s="208"/>
      <c r="E154" s="208"/>
      <c r="G154" s="4"/>
      <c r="H154" s="1"/>
    </row>
    <row r="155" spans="1:8" ht="19.5">
      <c r="A155" s="1"/>
      <c r="B155" s="2"/>
      <c r="C155" s="1"/>
      <c r="D155" s="208"/>
      <c r="E155" s="208"/>
      <c r="G155" s="4"/>
      <c r="H155" s="1"/>
    </row>
    <row r="156" spans="1:8" ht="19.5">
      <c r="A156" s="1"/>
      <c r="B156" s="2"/>
      <c r="C156" s="1"/>
      <c r="D156" s="208"/>
      <c r="E156" s="208"/>
      <c r="G156" s="4"/>
      <c r="H156" s="1"/>
    </row>
    <row r="157" spans="1:8" ht="19.5">
      <c r="A157" s="1"/>
      <c r="B157" s="2"/>
      <c r="C157" s="1"/>
      <c r="D157" s="208"/>
      <c r="E157" s="208"/>
      <c r="G157" s="4"/>
      <c r="H157" s="1"/>
    </row>
    <row r="158" spans="1:8" ht="19.5">
      <c r="A158" s="1"/>
      <c r="B158" s="2"/>
      <c r="C158" s="1"/>
      <c r="D158" s="208"/>
      <c r="E158" s="208"/>
      <c r="G158" s="4"/>
      <c r="H158" s="1"/>
    </row>
    <row r="159" spans="1:8" ht="19.5">
      <c r="A159" s="1"/>
      <c r="B159" s="2"/>
      <c r="C159" s="1"/>
      <c r="D159" s="208"/>
      <c r="E159" s="208"/>
      <c r="G159" s="4"/>
      <c r="H159" s="1"/>
    </row>
    <row r="160" spans="1:8" ht="19.5">
      <c r="A160" s="1"/>
      <c r="B160" s="2"/>
      <c r="C160" s="1"/>
      <c r="D160" s="208"/>
      <c r="E160" s="208"/>
      <c r="G160" s="4"/>
      <c r="H160" s="1"/>
    </row>
    <row r="161" spans="1:8" ht="19.5">
      <c r="A161" s="1"/>
      <c r="B161" s="2"/>
      <c r="C161" s="1"/>
      <c r="D161" s="208"/>
      <c r="E161" s="208"/>
      <c r="G161" s="4"/>
      <c r="H161" s="1"/>
    </row>
    <row r="162" spans="1:8" ht="19.5">
      <c r="A162" s="1"/>
      <c r="B162" s="2"/>
      <c r="C162" s="1"/>
      <c r="D162" s="208"/>
      <c r="E162" s="208"/>
      <c r="G162" s="4"/>
      <c r="H162" s="1"/>
    </row>
    <row r="163" spans="1:8" ht="19.5">
      <c r="A163" s="1"/>
      <c r="B163" s="2"/>
      <c r="C163" s="1"/>
      <c r="D163" s="208"/>
      <c r="E163" s="208"/>
      <c r="G163" s="4"/>
      <c r="H163" s="1"/>
    </row>
    <row r="164" spans="1:8" ht="19.5">
      <c r="A164" s="1"/>
      <c r="B164" s="2"/>
      <c r="C164" s="1"/>
      <c r="D164" s="208"/>
      <c r="E164" s="208"/>
      <c r="G164" s="4"/>
      <c r="H164" s="1"/>
    </row>
    <row r="165" spans="1:8" ht="19.5">
      <c r="A165" s="1"/>
      <c r="B165" s="2"/>
      <c r="C165" s="1"/>
      <c r="D165" s="208"/>
      <c r="E165" s="208"/>
      <c r="G165" s="4"/>
      <c r="H165" s="1"/>
    </row>
    <row r="166" spans="1:8" ht="19.5">
      <c r="A166" s="1"/>
      <c r="B166" s="2"/>
      <c r="C166" s="1"/>
      <c r="D166" s="208"/>
      <c r="E166" s="208"/>
      <c r="G166" s="4"/>
      <c r="H166" s="1"/>
    </row>
    <row r="167" spans="1:8" ht="19.5">
      <c r="A167" s="1"/>
      <c r="B167" s="2"/>
      <c r="C167" s="1"/>
      <c r="D167" s="208"/>
      <c r="E167" s="208"/>
      <c r="G167" s="4"/>
      <c r="H167" s="1"/>
    </row>
    <row r="168" spans="1:8" ht="19.5">
      <c r="A168" s="1"/>
      <c r="B168" s="2"/>
      <c r="C168" s="1"/>
      <c r="D168" s="208"/>
      <c r="E168" s="208"/>
      <c r="G168" s="4"/>
      <c r="H168" s="1"/>
    </row>
    <row r="169" spans="1:8" ht="19.5">
      <c r="A169" s="1"/>
      <c r="B169" s="2"/>
      <c r="C169" s="1"/>
      <c r="D169" s="208"/>
      <c r="E169" s="208"/>
      <c r="G169" s="4"/>
      <c r="H169" s="1"/>
    </row>
    <row r="170" spans="1:8" ht="19.5">
      <c r="A170" s="1"/>
      <c r="B170" s="2"/>
      <c r="C170" s="1"/>
      <c r="D170" s="208"/>
      <c r="E170" s="208"/>
      <c r="G170" s="4"/>
      <c r="H170" s="1"/>
    </row>
    <row r="171" spans="1:8" ht="19.5">
      <c r="A171" s="1"/>
      <c r="B171" s="2"/>
      <c r="C171" s="1"/>
      <c r="D171" s="208"/>
      <c r="E171" s="208"/>
      <c r="G171" s="4"/>
      <c r="H171" s="1"/>
    </row>
    <row r="172" spans="1:8" ht="19.5">
      <c r="A172" s="1"/>
      <c r="B172" s="2"/>
      <c r="C172" s="1"/>
      <c r="D172" s="208"/>
      <c r="E172" s="208"/>
      <c r="G172" s="4"/>
      <c r="H172" s="1"/>
    </row>
    <row r="173" spans="1:8" ht="19.5">
      <c r="A173" s="1"/>
      <c r="B173" s="2"/>
      <c r="C173" s="1"/>
      <c r="D173" s="208"/>
      <c r="E173" s="208"/>
      <c r="G173" s="4"/>
      <c r="H173" s="1"/>
    </row>
    <row r="174" spans="1:8" ht="19.5">
      <c r="A174" s="1"/>
      <c r="B174" s="2"/>
      <c r="C174" s="1"/>
      <c r="D174" s="208"/>
      <c r="E174" s="208"/>
      <c r="G174" s="4"/>
      <c r="H174" s="1"/>
    </row>
    <row r="175" spans="1:8" ht="19.5">
      <c r="A175" s="1"/>
      <c r="B175" s="2"/>
      <c r="C175" s="1"/>
      <c r="D175" s="208"/>
      <c r="E175" s="208"/>
      <c r="G175" s="4"/>
      <c r="H175" s="1"/>
    </row>
    <row r="176" spans="1:8" ht="19.5">
      <c r="A176" s="1"/>
      <c r="B176" s="2"/>
      <c r="C176" s="1"/>
      <c r="D176" s="208"/>
      <c r="E176" s="208"/>
      <c r="G176" s="4"/>
      <c r="H176" s="1"/>
    </row>
    <row r="177" spans="1:8" ht="19.5">
      <c r="A177" s="1"/>
      <c r="B177" s="2"/>
      <c r="C177" s="1"/>
      <c r="D177" s="208"/>
      <c r="E177" s="208"/>
      <c r="G177" s="4"/>
      <c r="H177" s="1"/>
    </row>
    <row r="178" spans="1:8" ht="19.5">
      <c r="A178" s="1"/>
      <c r="B178" s="2"/>
      <c r="C178" s="1"/>
      <c r="D178" s="208"/>
      <c r="E178" s="208"/>
      <c r="G178" s="4"/>
      <c r="H178" s="1"/>
    </row>
    <row r="179" spans="1:8" ht="19.5">
      <c r="A179" s="1"/>
      <c r="B179" s="2"/>
      <c r="C179" s="1"/>
      <c r="D179" s="208"/>
      <c r="E179" s="208"/>
      <c r="G179" s="4"/>
      <c r="H179" s="1"/>
    </row>
    <row r="180" spans="1:8" ht="19.5">
      <c r="A180" s="1"/>
      <c r="B180" s="2"/>
      <c r="C180" s="1"/>
      <c r="D180" s="208"/>
      <c r="E180" s="208"/>
      <c r="G180" s="4"/>
      <c r="H180" s="1"/>
    </row>
    <row r="181" spans="1:8" ht="19.5">
      <c r="A181" s="1"/>
      <c r="B181" s="2"/>
      <c r="C181" s="1"/>
      <c r="D181" s="208"/>
      <c r="E181" s="208"/>
      <c r="G181" s="4"/>
      <c r="H181" s="1"/>
    </row>
    <row r="182" spans="1:8" ht="19.5">
      <c r="A182" s="1"/>
      <c r="B182" s="2"/>
      <c r="C182" s="1"/>
      <c r="D182" s="208"/>
      <c r="E182" s="208"/>
      <c r="G182" s="4"/>
      <c r="H182" s="1"/>
    </row>
    <row r="183" spans="1:8" ht="19.5">
      <c r="A183" s="1"/>
      <c r="B183" s="2"/>
      <c r="C183" s="1"/>
      <c r="D183" s="208"/>
      <c r="E183" s="208"/>
      <c r="G183" s="4"/>
      <c r="H183" s="1"/>
    </row>
    <row r="184" spans="1:8" ht="19.5">
      <c r="A184" s="1"/>
      <c r="B184" s="2"/>
      <c r="C184" s="1"/>
      <c r="D184" s="208"/>
      <c r="E184" s="208"/>
      <c r="G184" s="4"/>
      <c r="H184" s="1"/>
    </row>
    <row r="185" spans="1:8" ht="19.5">
      <c r="A185" s="1"/>
      <c r="B185" s="2"/>
      <c r="C185" s="1"/>
      <c r="D185" s="208"/>
      <c r="E185" s="208"/>
      <c r="G185" s="4"/>
      <c r="H185" s="1"/>
    </row>
    <row r="186" spans="1:8" ht="19.5">
      <c r="A186" s="1"/>
      <c r="B186" s="2"/>
      <c r="C186" s="1"/>
      <c r="D186" s="208"/>
      <c r="E186" s="208"/>
      <c r="G186" s="4"/>
      <c r="H186" s="1"/>
    </row>
    <row r="187" spans="1:8" ht="19.5">
      <c r="A187" s="1"/>
      <c r="B187" s="2"/>
      <c r="C187" s="1"/>
      <c r="D187" s="208"/>
      <c r="E187" s="208"/>
      <c r="G187" s="4"/>
      <c r="H187" s="1"/>
    </row>
    <row r="188" spans="1:8" ht="19.5">
      <c r="A188" s="1"/>
      <c r="B188" s="2"/>
      <c r="C188" s="1"/>
      <c r="D188" s="208"/>
      <c r="E188" s="208"/>
      <c r="G188" s="4"/>
      <c r="H188" s="1"/>
    </row>
    <row r="189" spans="1:8" ht="19.5">
      <c r="A189" s="1"/>
      <c r="B189" s="2"/>
      <c r="C189" s="1"/>
      <c r="D189" s="208"/>
      <c r="E189" s="208"/>
      <c r="G189" s="4"/>
      <c r="H189" s="1"/>
    </row>
    <row r="190" spans="1:8" ht="19.5">
      <c r="A190" s="1"/>
      <c r="B190" s="2"/>
      <c r="C190" s="1"/>
      <c r="D190" s="208"/>
      <c r="E190" s="208"/>
      <c r="G190" s="4"/>
      <c r="H190" s="1"/>
    </row>
    <row r="191" spans="1:8" ht="19.5">
      <c r="A191" s="1"/>
      <c r="B191" s="2"/>
      <c r="C191" s="1"/>
      <c r="D191" s="208"/>
      <c r="E191" s="208"/>
      <c r="G191" s="4"/>
      <c r="H191" s="1"/>
    </row>
    <row r="192" spans="1:8" ht="19.5">
      <c r="A192" s="1"/>
      <c r="B192" s="2"/>
      <c r="C192" s="1"/>
      <c r="D192" s="208"/>
      <c r="E192" s="208"/>
      <c r="G192" s="4"/>
      <c r="H192" s="1"/>
    </row>
    <row r="193" spans="1:8" ht="19.5">
      <c r="A193" s="1"/>
      <c r="B193" s="2"/>
      <c r="C193" s="1"/>
      <c r="D193" s="208"/>
      <c r="E193" s="208"/>
      <c r="G193" s="4"/>
      <c r="H193" s="1"/>
    </row>
    <row r="194" spans="1:8" ht="19.5">
      <c r="A194" s="1"/>
      <c r="B194" s="2"/>
      <c r="C194" s="1"/>
      <c r="D194" s="208"/>
      <c r="E194" s="208"/>
      <c r="G194" s="4"/>
      <c r="H194" s="1"/>
    </row>
    <row r="195" spans="1:8" ht="19.5">
      <c r="A195" s="1"/>
      <c r="B195" s="2"/>
      <c r="C195" s="1"/>
      <c r="D195" s="208"/>
      <c r="E195" s="208"/>
      <c r="G195" s="4"/>
      <c r="H195" s="1"/>
    </row>
    <row r="196" spans="1:8" ht="19.5">
      <c r="A196" s="1"/>
      <c r="B196" s="2"/>
      <c r="C196" s="1"/>
      <c r="D196" s="208"/>
      <c r="E196" s="208"/>
      <c r="G196" s="4"/>
      <c r="H196" s="1"/>
    </row>
    <row r="197" spans="1:8" ht="19.5">
      <c r="A197" s="1"/>
      <c r="B197" s="2"/>
      <c r="C197" s="1"/>
      <c r="D197" s="208"/>
      <c r="E197" s="208"/>
      <c r="G197" s="4"/>
      <c r="H197" s="1"/>
    </row>
    <row r="198" spans="1:8" ht="19.5">
      <c r="A198" s="1"/>
      <c r="B198" s="2"/>
      <c r="C198" s="1"/>
      <c r="D198" s="208"/>
      <c r="E198" s="208"/>
      <c r="G198" s="4"/>
      <c r="H198" s="1"/>
    </row>
    <row r="199" spans="1:8" ht="19.5">
      <c r="A199" s="1"/>
      <c r="B199" s="2"/>
      <c r="C199" s="1"/>
      <c r="D199" s="208"/>
      <c r="E199" s="208"/>
      <c r="G199" s="4"/>
      <c r="H199" s="1"/>
    </row>
    <row r="200" spans="1:8" ht="19.5">
      <c r="A200" s="1"/>
      <c r="B200" s="2"/>
      <c r="C200" s="1"/>
      <c r="D200" s="208"/>
      <c r="E200" s="208"/>
      <c r="G200" s="4"/>
      <c r="H200" s="1"/>
    </row>
    <row r="201" spans="1:8" ht="19.5">
      <c r="A201" s="1"/>
      <c r="B201" s="2"/>
      <c r="C201" s="1"/>
      <c r="D201" s="208"/>
      <c r="E201" s="208"/>
      <c r="G201" s="4"/>
      <c r="H201" s="1"/>
    </row>
    <row r="202" spans="1:8" ht="19.5">
      <c r="A202" s="1"/>
      <c r="B202" s="2"/>
      <c r="C202" s="1"/>
      <c r="D202" s="208"/>
      <c r="E202" s="208"/>
      <c r="G202" s="4"/>
      <c r="H202" s="1"/>
    </row>
    <row r="203" spans="1:8" ht="19.5">
      <c r="A203" s="1"/>
      <c r="B203" s="2"/>
      <c r="C203" s="1"/>
      <c r="D203" s="208"/>
      <c r="E203" s="208"/>
      <c r="G203" s="4"/>
      <c r="H203" s="1"/>
    </row>
    <row r="204" spans="1:8" ht="19.5">
      <c r="A204" s="1"/>
      <c r="B204" s="2"/>
      <c r="C204" s="1"/>
      <c r="D204" s="208"/>
      <c r="E204" s="208"/>
      <c r="G204" s="4"/>
      <c r="H204" s="1"/>
    </row>
    <row r="205" spans="1:8" ht="19.5">
      <c r="A205" s="1"/>
      <c r="B205" s="2"/>
      <c r="C205" s="1"/>
      <c r="D205" s="208"/>
      <c r="E205" s="208"/>
      <c r="G205" s="4"/>
      <c r="H205" s="1"/>
    </row>
    <row r="206" spans="1:8" ht="19.5">
      <c r="A206" s="1"/>
      <c r="B206" s="2"/>
      <c r="C206" s="1"/>
      <c r="D206" s="208"/>
      <c r="E206" s="208"/>
      <c r="G206" s="4"/>
      <c r="H206" s="1"/>
    </row>
    <row r="207" spans="1:8" ht="19.5">
      <c r="A207" s="1"/>
      <c r="B207" s="2"/>
      <c r="C207" s="1"/>
      <c r="D207" s="208"/>
      <c r="E207" s="208"/>
      <c r="G207" s="4"/>
      <c r="H207" s="1"/>
    </row>
    <row r="208" spans="1:8" ht="19.5">
      <c r="A208" s="1"/>
      <c r="B208" s="2"/>
      <c r="C208" s="1"/>
      <c r="D208" s="208"/>
      <c r="E208" s="208"/>
      <c r="G208" s="4"/>
      <c r="H208" s="1"/>
    </row>
    <row r="209" spans="1:8" ht="19.5">
      <c r="A209" s="1"/>
      <c r="B209" s="2"/>
      <c r="C209" s="1"/>
      <c r="D209" s="208"/>
      <c r="E209" s="208"/>
      <c r="G209" s="4"/>
      <c r="H209" s="1"/>
    </row>
    <row r="210" spans="1:8" ht="19.5">
      <c r="A210" s="1"/>
      <c r="B210" s="2"/>
      <c r="C210" s="1"/>
      <c r="D210" s="208"/>
      <c r="E210" s="208"/>
      <c r="G210" s="4"/>
      <c r="H210" s="1"/>
    </row>
    <row r="211" spans="1:8" ht="19.5">
      <c r="A211" s="1"/>
      <c r="B211" s="2"/>
      <c r="C211" s="1"/>
      <c r="D211" s="208"/>
      <c r="E211" s="208"/>
      <c r="G211" s="4"/>
      <c r="H211" s="1"/>
    </row>
    <row r="212" spans="1:8" ht="19.5">
      <c r="A212" s="1"/>
      <c r="B212" s="2"/>
      <c r="C212" s="1"/>
      <c r="D212" s="208"/>
      <c r="E212" s="208"/>
      <c r="G212" s="4"/>
      <c r="H212" s="1"/>
    </row>
    <row r="213" spans="1:8" ht="19.5">
      <c r="A213" s="1"/>
      <c r="B213" s="2"/>
      <c r="C213" s="1"/>
      <c r="D213" s="208"/>
      <c r="E213" s="208"/>
      <c r="G213" s="4"/>
      <c r="H213" s="1"/>
    </row>
    <row r="214" spans="1:8" ht="19.5">
      <c r="A214" s="1"/>
      <c r="B214" s="2"/>
      <c r="C214" s="1"/>
      <c r="D214" s="208"/>
      <c r="E214" s="208"/>
      <c r="G214" s="4"/>
      <c r="H214" s="1"/>
    </row>
    <row r="215" spans="1:8" ht="19.5">
      <c r="A215" s="1"/>
      <c r="B215" s="2"/>
      <c r="C215" s="1"/>
      <c r="D215" s="208"/>
      <c r="E215" s="208"/>
      <c r="G215" s="4"/>
      <c r="H215" s="1"/>
    </row>
    <row r="216" spans="1:8" ht="19.5">
      <c r="A216" s="1"/>
      <c r="B216" s="2"/>
      <c r="C216" s="1"/>
      <c r="D216" s="208"/>
      <c r="E216" s="208"/>
      <c r="G216" s="4"/>
      <c r="H216" s="1"/>
    </row>
    <row r="217" spans="1:8" ht="19.5">
      <c r="A217" s="1"/>
      <c r="B217" s="2"/>
      <c r="C217" s="1"/>
      <c r="D217" s="208"/>
      <c r="E217" s="208"/>
      <c r="G217" s="4"/>
      <c r="H217" s="1"/>
    </row>
    <row r="218" spans="1:8" ht="19.5">
      <c r="A218" s="1"/>
      <c r="B218" s="2"/>
      <c r="C218" s="1"/>
      <c r="D218" s="208"/>
      <c r="E218" s="208"/>
      <c r="G218" s="4"/>
      <c r="H218" s="1"/>
    </row>
    <row r="219" spans="1:8" ht="19.5">
      <c r="A219" s="1"/>
      <c r="B219" s="2"/>
      <c r="C219" s="1"/>
      <c r="D219" s="208"/>
      <c r="E219" s="208"/>
      <c r="G219" s="4"/>
      <c r="H219" s="1"/>
    </row>
    <row r="220" spans="1:8" ht="19.5">
      <c r="A220" s="1"/>
      <c r="B220" s="2"/>
      <c r="C220" s="1"/>
      <c r="D220" s="208"/>
      <c r="E220" s="208"/>
      <c r="G220" s="4"/>
      <c r="H220" s="1"/>
    </row>
    <row r="221" spans="1:8" ht="19.5">
      <c r="A221" s="1"/>
      <c r="B221" s="2"/>
      <c r="C221" s="1"/>
      <c r="D221" s="208"/>
      <c r="E221" s="208"/>
      <c r="G221" s="4"/>
      <c r="H221" s="1"/>
    </row>
    <row r="222" spans="1:8" ht="19.5">
      <c r="A222" s="1"/>
      <c r="B222" s="2"/>
      <c r="C222" s="1"/>
      <c r="D222" s="208"/>
      <c r="E222" s="208"/>
      <c r="G222" s="4"/>
      <c r="H222" s="1"/>
    </row>
    <row r="223" spans="1:8" ht="19.5">
      <c r="A223" s="1"/>
      <c r="B223" s="2"/>
      <c r="C223" s="1"/>
      <c r="D223" s="208"/>
      <c r="E223" s="208"/>
      <c r="G223" s="4"/>
      <c r="H223" s="1"/>
    </row>
    <row r="224" spans="1:8" ht="19.5">
      <c r="A224" s="1"/>
      <c r="B224" s="2"/>
      <c r="C224" s="1"/>
      <c r="D224" s="208"/>
      <c r="E224" s="208"/>
      <c r="G224" s="4"/>
      <c r="H224" s="1"/>
    </row>
    <row r="225" spans="1:8" ht="19.5">
      <c r="A225" s="1"/>
      <c r="B225" s="2"/>
      <c r="C225" s="1"/>
      <c r="D225" s="208"/>
      <c r="E225" s="208"/>
      <c r="G225" s="4"/>
      <c r="H225" s="1"/>
    </row>
    <row r="226" spans="1:8" ht="19.5">
      <c r="A226" s="1"/>
      <c r="B226" s="2"/>
      <c r="C226" s="1"/>
      <c r="D226" s="208"/>
      <c r="E226" s="208"/>
      <c r="G226" s="4"/>
      <c r="H226" s="1"/>
    </row>
    <row r="227" spans="1:8" ht="19.5">
      <c r="A227" s="1"/>
      <c r="B227" s="2"/>
      <c r="C227" s="1"/>
      <c r="D227" s="208"/>
      <c r="E227" s="208"/>
      <c r="G227" s="4"/>
      <c r="H227" s="1"/>
    </row>
    <row r="228" spans="1:8" ht="19.5">
      <c r="A228" s="1"/>
      <c r="B228" s="2"/>
      <c r="C228" s="1"/>
      <c r="D228" s="208"/>
      <c r="E228" s="208"/>
      <c r="G228" s="4"/>
      <c r="H228" s="1"/>
    </row>
    <row r="229" spans="1:8" ht="19.5">
      <c r="A229" s="1"/>
      <c r="B229" s="2"/>
      <c r="C229" s="1"/>
      <c r="D229" s="208"/>
      <c r="E229" s="208"/>
      <c r="G229" s="4"/>
      <c r="H229" s="1"/>
    </row>
    <row r="230" spans="1:8" ht="19.5">
      <c r="A230" s="1"/>
      <c r="B230" s="2"/>
      <c r="C230" s="1"/>
      <c r="D230" s="208"/>
      <c r="E230" s="208"/>
      <c r="G230" s="4"/>
      <c r="H230" s="1"/>
    </row>
    <row r="231" spans="1:8" ht="19.5">
      <c r="A231" s="1"/>
      <c r="B231" s="2"/>
      <c r="C231" s="1"/>
      <c r="D231" s="208"/>
      <c r="E231" s="208"/>
      <c r="G231" s="4"/>
      <c r="H231" s="1"/>
    </row>
    <row r="232" spans="1:8" ht="19.5">
      <c r="A232" s="1"/>
      <c r="B232" s="2"/>
      <c r="C232" s="1"/>
      <c r="D232" s="208"/>
      <c r="E232" s="208"/>
      <c r="G232" s="4"/>
      <c r="H232" s="1"/>
    </row>
    <row r="233" spans="1:8" ht="19.5">
      <c r="A233" s="1"/>
      <c r="B233" s="2"/>
      <c r="C233" s="1"/>
      <c r="D233" s="208"/>
      <c r="E233" s="208"/>
      <c r="G233" s="4"/>
      <c r="H233" s="1"/>
    </row>
    <row r="234" spans="1:8" ht="19.5">
      <c r="A234" s="1"/>
      <c r="B234" s="2"/>
      <c r="C234" s="1"/>
      <c r="D234" s="208"/>
      <c r="E234" s="208"/>
      <c r="G234" s="4"/>
      <c r="H234" s="1"/>
    </row>
    <row r="235" spans="1:8" ht="19.5">
      <c r="A235" s="1"/>
      <c r="B235" s="2"/>
      <c r="C235" s="1"/>
      <c r="D235" s="208"/>
      <c r="E235" s="208"/>
      <c r="G235" s="4"/>
      <c r="H235" s="1"/>
    </row>
    <row r="236" spans="1:8" ht="19.5">
      <c r="A236" s="1"/>
      <c r="B236" s="2"/>
      <c r="C236" s="1"/>
      <c r="D236" s="208"/>
      <c r="E236" s="208"/>
      <c r="G236" s="4"/>
      <c r="H236" s="1"/>
    </row>
    <row r="237" spans="1:8" ht="19.5">
      <c r="A237" s="1"/>
      <c r="B237" s="2"/>
      <c r="C237" s="1"/>
      <c r="D237" s="208"/>
      <c r="E237" s="208"/>
      <c r="G237" s="4"/>
      <c r="H237" s="1"/>
    </row>
    <row r="238" spans="1:8" ht="19.5">
      <c r="A238" s="1"/>
      <c r="B238" s="2"/>
      <c r="C238" s="1"/>
      <c r="D238" s="208"/>
      <c r="E238" s="208"/>
      <c r="G238" s="4"/>
      <c r="H238" s="1"/>
    </row>
    <row r="239" spans="1:8" ht="19.5">
      <c r="A239" s="1"/>
      <c r="B239" s="2"/>
      <c r="C239" s="1"/>
      <c r="D239" s="208"/>
      <c r="E239" s="208"/>
      <c r="G239" s="4"/>
      <c r="H239" s="1"/>
    </row>
    <row r="240" spans="1:8" ht="19.5">
      <c r="A240" s="1"/>
      <c r="B240" s="2"/>
      <c r="C240" s="1"/>
      <c r="D240" s="208"/>
      <c r="E240" s="208"/>
      <c r="G240" s="4"/>
      <c r="H240" s="1"/>
    </row>
    <row r="241" spans="1:8" ht="19.5">
      <c r="A241" s="1"/>
      <c r="B241" s="2"/>
      <c r="C241" s="1"/>
      <c r="D241" s="208"/>
      <c r="E241" s="208"/>
      <c r="G241" s="4"/>
      <c r="H241" s="1"/>
    </row>
    <row r="242" spans="1:8" ht="19.5">
      <c r="A242" s="1"/>
      <c r="B242" s="2"/>
      <c r="C242" s="1"/>
      <c r="D242" s="208"/>
      <c r="E242" s="208"/>
      <c r="G242" s="4"/>
      <c r="H242" s="1"/>
    </row>
    <row r="243" spans="1:8" ht="19.5">
      <c r="A243" s="1"/>
      <c r="B243" s="2"/>
      <c r="C243" s="1"/>
      <c r="D243" s="208"/>
      <c r="E243" s="208"/>
      <c r="G243" s="4"/>
      <c r="H243" s="1"/>
    </row>
    <row r="244" spans="1:8" ht="19.5">
      <c r="A244" s="1"/>
      <c r="B244" s="2"/>
      <c r="C244" s="1"/>
      <c r="D244" s="208"/>
      <c r="E244" s="208"/>
      <c r="G244" s="4"/>
      <c r="H244" s="1"/>
    </row>
    <row r="245" spans="1:8" ht="19.5">
      <c r="A245" s="1"/>
      <c r="B245" s="2"/>
      <c r="C245" s="1"/>
      <c r="D245" s="208"/>
      <c r="E245" s="208"/>
      <c r="G245" s="4"/>
      <c r="H245" s="1"/>
    </row>
    <row r="246" spans="1:8" ht="19.5">
      <c r="A246" s="1"/>
      <c r="B246" s="2"/>
      <c r="C246" s="1"/>
      <c r="D246" s="208"/>
      <c r="E246" s="208"/>
      <c r="G246" s="4"/>
      <c r="H246" s="1"/>
    </row>
    <row r="247" spans="1:8" ht="19.5">
      <c r="A247" s="1"/>
      <c r="B247" s="2"/>
      <c r="C247" s="1"/>
      <c r="D247" s="208"/>
      <c r="E247" s="208"/>
      <c r="G247" s="4"/>
      <c r="H247" s="1"/>
    </row>
    <row r="248" spans="1:8" ht="19.5">
      <c r="A248" s="1"/>
      <c r="B248" s="2"/>
      <c r="C248" s="1"/>
      <c r="D248" s="208"/>
      <c r="E248" s="208"/>
      <c r="G248" s="4"/>
      <c r="H248" s="1"/>
    </row>
    <row r="249" spans="1:8" ht="19.5">
      <c r="A249" s="1"/>
      <c r="B249" s="2"/>
      <c r="C249" s="1"/>
      <c r="D249" s="208"/>
      <c r="E249" s="208"/>
      <c r="G249" s="4"/>
      <c r="H249" s="1"/>
    </row>
    <row r="250" spans="1:8" ht="19.5">
      <c r="A250" s="1"/>
      <c r="B250" s="2"/>
      <c r="C250" s="1"/>
      <c r="D250" s="208"/>
      <c r="E250" s="208"/>
      <c r="G250" s="4"/>
      <c r="H250" s="1"/>
    </row>
    <row r="251" spans="1:8" ht="19.5">
      <c r="A251" s="1"/>
      <c r="B251" s="2"/>
      <c r="C251" s="1"/>
      <c r="D251" s="208"/>
      <c r="E251" s="208"/>
      <c r="G251" s="4"/>
      <c r="H251" s="1"/>
    </row>
    <row r="252" spans="1:8" ht="19.5">
      <c r="A252" s="1"/>
      <c r="B252" s="2"/>
      <c r="C252" s="1"/>
      <c r="D252" s="208"/>
      <c r="E252" s="208"/>
      <c r="G252" s="4"/>
      <c r="H252" s="1"/>
    </row>
    <row r="253" spans="1:8" ht="19.5">
      <c r="A253" s="1"/>
      <c r="B253" s="2"/>
      <c r="C253" s="1"/>
      <c r="D253" s="208"/>
      <c r="E253" s="208"/>
      <c r="G253" s="4"/>
      <c r="H253" s="1"/>
    </row>
    <row r="254" spans="1:8" ht="19.5">
      <c r="A254" s="1"/>
      <c r="B254" s="2"/>
      <c r="C254" s="1"/>
      <c r="D254" s="208"/>
      <c r="E254" s="208"/>
      <c r="G254" s="4"/>
      <c r="H254" s="1"/>
    </row>
    <row r="255" spans="1:8" ht="19.5">
      <c r="A255" s="1"/>
      <c r="B255" s="2"/>
      <c r="C255" s="1"/>
      <c r="D255" s="208"/>
      <c r="E255" s="208"/>
      <c r="G255" s="4"/>
      <c r="H255" s="1"/>
    </row>
    <row r="256" spans="1:8" ht="19.5">
      <c r="A256" s="1"/>
      <c r="B256" s="2"/>
      <c r="C256" s="1"/>
      <c r="D256" s="208"/>
      <c r="E256" s="208"/>
      <c r="G256" s="4"/>
      <c r="H256" s="1"/>
    </row>
    <row r="257" spans="1:8" ht="19.5">
      <c r="A257" s="1"/>
      <c r="B257" s="2"/>
      <c r="C257" s="1"/>
      <c r="D257" s="208"/>
      <c r="E257" s="208"/>
      <c r="G257" s="4"/>
      <c r="H257" s="1"/>
    </row>
    <row r="258" spans="1:8" ht="19.5">
      <c r="A258" s="1"/>
      <c r="B258" s="2"/>
      <c r="C258" s="1"/>
      <c r="D258" s="208"/>
      <c r="E258" s="208"/>
      <c r="G258" s="4"/>
      <c r="H258" s="1"/>
    </row>
    <row r="259" spans="1:8" ht="19.5">
      <c r="A259" s="1"/>
      <c r="B259" s="2"/>
      <c r="C259" s="1"/>
      <c r="D259" s="208"/>
      <c r="E259" s="208"/>
      <c r="G259" s="4"/>
      <c r="H259" s="1"/>
    </row>
    <row r="260" spans="1:8" ht="19.5">
      <c r="A260" s="1"/>
      <c r="B260" s="2"/>
      <c r="C260" s="1"/>
      <c r="D260" s="208"/>
      <c r="E260" s="208"/>
      <c r="G260" s="4"/>
      <c r="H260" s="1"/>
    </row>
    <row r="261" spans="1:8" ht="19.5">
      <c r="A261" s="1"/>
      <c r="B261" s="2"/>
      <c r="C261" s="1"/>
      <c r="D261" s="208"/>
      <c r="E261" s="208"/>
      <c r="G261" s="4"/>
      <c r="H261" s="1"/>
    </row>
    <row r="262" spans="1:8" ht="19.5">
      <c r="A262" s="1"/>
      <c r="B262" s="2"/>
      <c r="C262" s="1"/>
      <c r="D262" s="208"/>
      <c r="E262" s="208"/>
      <c r="G262" s="4"/>
      <c r="H262" s="1"/>
    </row>
    <row r="263" spans="1:8" ht="19.5">
      <c r="A263" s="1"/>
      <c r="B263" s="2"/>
      <c r="C263" s="1"/>
      <c r="D263" s="208"/>
      <c r="E263" s="208"/>
      <c r="G263" s="4"/>
      <c r="H263" s="1"/>
    </row>
    <row r="264" spans="1:8" ht="19.5">
      <c r="A264" s="1"/>
      <c r="B264" s="2"/>
      <c r="C264" s="1"/>
      <c r="D264" s="208"/>
      <c r="E264" s="208"/>
      <c r="G264" s="4"/>
      <c r="H264" s="1"/>
    </row>
    <row r="265" spans="1:8" ht="19.5">
      <c r="A265" s="1"/>
      <c r="B265" s="2"/>
      <c r="C265" s="1"/>
      <c r="D265" s="208"/>
      <c r="E265" s="208"/>
      <c r="G265" s="4"/>
      <c r="H265" s="1"/>
    </row>
    <row r="266" spans="1:8" ht="19.5">
      <c r="A266" s="1"/>
      <c r="B266" s="2"/>
      <c r="C266" s="1"/>
      <c r="D266" s="208"/>
      <c r="E266" s="208"/>
      <c r="G266" s="4"/>
      <c r="H266" s="1"/>
    </row>
    <row r="267" spans="1:8" ht="19.5">
      <c r="A267" s="1"/>
      <c r="B267" s="2"/>
      <c r="C267" s="1"/>
      <c r="D267" s="208"/>
      <c r="E267" s="208"/>
      <c r="G267" s="4"/>
      <c r="H267" s="1"/>
    </row>
    <row r="268" spans="1:8" ht="19.5">
      <c r="A268" s="1"/>
      <c r="B268" s="2"/>
      <c r="C268" s="1"/>
      <c r="D268" s="208"/>
      <c r="E268" s="208"/>
      <c r="G268" s="4"/>
      <c r="H268" s="1"/>
    </row>
    <row r="269" spans="1:8" ht="19.5">
      <c r="A269" s="1"/>
      <c r="B269" s="2"/>
      <c r="C269" s="1"/>
      <c r="D269" s="208"/>
      <c r="E269" s="208"/>
      <c r="G269" s="4"/>
      <c r="H269" s="1"/>
    </row>
    <row r="270" spans="1:8" ht="19.5">
      <c r="A270" s="1"/>
      <c r="B270" s="2"/>
      <c r="C270" s="1"/>
      <c r="D270" s="208"/>
      <c r="E270" s="208"/>
      <c r="G270" s="4"/>
      <c r="H270" s="1"/>
    </row>
    <row r="271" spans="1:8" ht="19.5">
      <c r="A271" s="1"/>
      <c r="B271" s="2"/>
      <c r="C271" s="1"/>
      <c r="D271" s="208"/>
      <c r="E271" s="208"/>
      <c r="G271" s="4"/>
      <c r="H271" s="1"/>
    </row>
    <row r="272" spans="1:8" ht="19.5">
      <c r="A272" s="1"/>
      <c r="B272" s="2"/>
      <c r="C272" s="1"/>
      <c r="D272" s="208"/>
      <c r="E272" s="208"/>
      <c r="G272" s="4"/>
      <c r="H272" s="1"/>
    </row>
    <row r="273" spans="1:8" ht="19.5">
      <c r="A273" s="1"/>
      <c r="B273" s="2"/>
      <c r="C273" s="1"/>
      <c r="D273" s="208"/>
      <c r="E273" s="208"/>
      <c r="G273" s="4"/>
      <c r="H273" s="1"/>
    </row>
    <row r="274" spans="1:8" ht="19.5">
      <c r="A274" s="1"/>
      <c r="B274" s="2"/>
      <c r="C274" s="1"/>
      <c r="D274" s="208"/>
      <c r="E274" s="208"/>
      <c r="G274" s="4"/>
      <c r="H274" s="1"/>
    </row>
    <row r="275" spans="1:8" ht="19.5">
      <c r="A275" s="1"/>
      <c r="B275" s="2"/>
      <c r="C275" s="1"/>
      <c r="D275" s="208"/>
      <c r="E275" s="208"/>
      <c r="G275" s="4"/>
      <c r="H275" s="1"/>
    </row>
    <row r="276" spans="1:8" ht="19.5">
      <c r="A276" s="1"/>
      <c r="B276" s="2"/>
      <c r="C276" s="1"/>
      <c r="D276" s="208"/>
      <c r="E276" s="208"/>
      <c r="G276" s="4"/>
      <c r="H276" s="1"/>
    </row>
    <row r="277" spans="1:8" ht="19.5">
      <c r="A277" s="1"/>
      <c r="B277" s="2"/>
      <c r="C277" s="1"/>
      <c r="D277" s="208"/>
      <c r="E277" s="208"/>
      <c r="G277" s="4"/>
      <c r="H277" s="1"/>
    </row>
    <row r="278" spans="1:8" ht="19.5">
      <c r="A278" s="1"/>
      <c r="B278" s="2"/>
      <c r="C278" s="1"/>
      <c r="D278" s="208"/>
      <c r="E278" s="208"/>
      <c r="G278" s="4"/>
      <c r="H278" s="1"/>
    </row>
    <row r="279" spans="1:8" ht="19.5">
      <c r="A279" s="1"/>
      <c r="B279" s="2"/>
      <c r="C279" s="1"/>
      <c r="D279" s="208"/>
      <c r="E279" s="208"/>
      <c r="G279" s="4"/>
      <c r="H279" s="1"/>
    </row>
    <row r="280" spans="1:8" ht="19.5">
      <c r="A280" s="1"/>
      <c r="B280" s="2"/>
      <c r="C280" s="1"/>
      <c r="D280" s="208"/>
      <c r="E280" s="208"/>
      <c r="G280" s="4"/>
      <c r="H280" s="1"/>
    </row>
    <row r="281" spans="1:8" ht="19.5">
      <c r="A281" s="1"/>
      <c r="B281" s="2"/>
      <c r="C281" s="1"/>
      <c r="D281" s="208"/>
      <c r="E281" s="208"/>
      <c r="G281" s="4"/>
      <c r="H281" s="1"/>
    </row>
    <row r="282" spans="1:8" ht="19.5">
      <c r="A282" s="1"/>
      <c r="B282" s="2"/>
      <c r="C282" s="1"/>
      <c r="D282" s="208"/>
      <c r="E282" s="208"/>
      <c r="G282" s="4"/>
      <c r="H282" s="1"/>
    </row>
    <row r="283" spans="1:8" ht="19.5">
      <c r="A283" s="1"/>
      <c r="B283" s="2"/>
      <c r="C283" s="1"/>
      <c r="D283" s="208"/>
      <c r="E283" s="208"/>
      <c r="G283" s="4"/>
      <c r="H283" s="1"/>
    </row>
    <row r="284" spans="1:8" ht="19.5">
      <c r="A284" s="1"/>
      <c r="B284" s="2"/>
      <c r="C284" s="1"/>
      <c r="D284" s="208"/>
      <c r="E284" s="208"/>
      <c r="G284" s="4"/>
      <c r="H284" s="1"/>
    </row>
    <row r="285" spans="1:8" ht="19.5">
      <c r="A285" s="1"/>
      <c r="B285" s="2"/>
      <c r="C285" s="1"/>
      <c r="D285" s="208"/>
      <c r="E285" s="208"/>
      <c r="G285" s="4"/>
      <c r="H285" s="1"/>
    </row>
    <row r="286" spans="1:8" ht="19.5">
      <c r="A286" s="1"/>
      <c r="B286" s="2"/>
      <c r="C286" s="1"/>
      <c r="D286" s="208"/>
      <c r="E286" s="208"/>
      <c r="G286" s="4"/>
      <c r="H286" s="1"/>
    </row>
    <row r="287" spans="1:8" ht="19.5">
      <c r="A287" s="1"/>
      <c r="B287" s="2"/>
      <c r="C287" s="1"/>
      <c r="D287" s="208"/>
      <c r="E287" s="208"/>
      <c r="G287" s="4"/>
      <c r="H287" s="1"/>
    </row>
    <row r="288" spans="1:8" ht="19.5">
      <c r="A288" s="1"/>
      <c r="B288" s="2"/>
      <c r="C288" s="1"/>
      <c r="D288" s="208"/>
      <c r="E288" s="208"/>
      <c r="G288" s="4"/>
      <c r="H288" s="1"/>
    </row>
    <row r="289" spans="1:8" ht="19.5">
      <c r="A289" s="1"/>
      <c r="B289" s="2"/>
      <c r="C289" s="1"/>
      <c r="D289" s="208"/>
      <c r="E289" s="208"/>
      <c r="G289" s="4"/>
      <c r="H289" s="1"/>
    </row>
    <row r="290" spans="1:8" ht="19.5">
      <c r="A290" s="1"/>
      <c r="B290" s="2"/>
      <c r="C290" s="1"/>
      <c r="D290" s="208"/>
      <c r="E290" s="208"/>
      <c r="G290" s="4"/>
      <c r="H290" s="1"/>
    </row>
    <row r="291" spans="1:8" ht="19.5">
      <c r="A291" s="1"/>
      <c r="B291" s="2"/>
      <c r="C291" s="1"/>
      <c r="D291" s="208"/>
      <c r="E291" s="208"/>
      <c r="G291" s="4"/>
      <c r="H291" s="1"/>
    </row>
    <row r="292" spans="1:8" ht="19.5">
      <c r="A292" s="1"/>
      <c r="B292" s="2"/>
      <c r="C292" s="1"/>
      <c r="D292" s="208"/>
      <c r="E292" s="208"/>
      <c r="G292" s="4"/>
      <c r="H292" s="1"/>
    </row>
    <row r="293" spans="1:8" ht="19.5">
      <c r="A293" s="1"/>
      <c r="B293" s="2"/>
      <c r="C293" s="1"/>
      <c r="D293" s="208"/>
      <c r="E293" s="208"/>
      <c r="G293" s="4"/>
      <c r="H293" s="1"/>
    </row>
    <row r="294" spans="1:8" ht="19.5">
      <c r="A294" s="1"/>
      <c r="B294" s="2"/>
      <c r="C294" s="1"/>
      <c r="D294" s="208"/>
      <c r="E294" s="208"/>
      <c r="G294" s="4"/>
      <c r="H294" s="1"/>
    </row>
    <row r="295" spans="1:8" ht="19.5">
      <c r="A295" s="1"/>
      <c r="B295" s="2"/>
      <c r="C295" s="1"/>
      <c r="D295" s="208"/>
      <c r="E295" s="208"/>
      <c r="G295" s="4"/>
      <c r="H295" s="1"/>
    </row>
    <row r="296" spans="1:8" ht="19.5">
      <c r="A296" s="1"/>
      <c r="B296" s="2"/>
      <c r="C296" s="1"/>
      <c r="D296" s="208"/>
      <c r="E296" s="208"/>
      <c r="G296" s="4"/>
      <c r="H296" s="1"/>
    </row>
    <row r="297" spans="1:8" ht="19.5">
      <c r="A297" s="1"/>
      <c r="B297" s="2"/>
      <c r="C297" s="1"/>
      <c r="D297" s="208"/>
      <c r="E297" s="208"/>
      <c r="G297" s="4"/>
      <c r="H297" s="1"/>
    </row>
    <row r="298" spans="1:8" ht="19.5">
      <c r="A298" s="1"/>
      <c r="B298" s="2"/>
      <c r="C298" s="1"/>
      <c r="D298" s="208"/>
      <c r="E298" s="208"/>
      <c r="G298" s="4"/>
      <c r="H298" s="1"/>
    </row>
    <row r="299" spans="1:8" ht="19.5">
      <c r="A299" s="1"/>
      <c r="B299" s="2"/>
      <c r="C299" s="1"/>
      <c r="D299" s="208"/>
      <c r="E299" s="208"/>
      <c r="G299" s="4"/>
      <c r="H299" s="1"/>
    </row>
    <row r="300" spans="1:8" ht="19.5">
      <c r="A300" s="1"/>
      <c r="B300" s="2"/>
      <c r="C300" s="1"/>
      <c r="D300" s="208"/>
      <c r="E300" s="208"/>
      <c r="G300" s="4"/>
      <c r="H300" s="1"/>
    </row>
    <row r="301" spans="1:8" ht="19.5">
      <c r="A301" s="1"/>
      <c r="B301" s="2"/>
      <c r="C301" s="1"/>
      <c r="D301" s="208"/>
      <c r="E301" s="208"/>
      <c r="G301" s="4"/>
      <c r="H301" s="1"/>
    </row>
    <row r="302" spans="1:8" ht="19.5">
      <c r="A302" s="1"/>
      <c r="B302" s="2"/>
      <c r="C302" s="1"/>
      <c r="D302" s="208"/>
      <c r="E302" s="208"/>
      <c r="G302" s="4"/>
      <c r="H302" s="1"/>
    </row>
    <row r="303" spans="1:8" ht="19.5">
      <c r="A303" s="1"/>
      <c r="B303" s="2"/>
      <c r="C303" s="1"/>
      <c r="D303" s="208"/>
      <c r="E303" s="208"/>
      <c r="G303" s="4"/>
      <c r="H303" s="1"/>
    </row>
    <row r="304" spans="1:8" ht="19.5">
      <c r="A304" s="1"/>
      <c r="B304" s="2"/>
      <c r="C304" s="1"/>
      <c r="D304" s="208"/>
      <c r="E304" s="208"/>
      <c r="G304" s="4"/>
      <c r="H304" s="1"/>
    </row>
    <row r="305" spans="1:8" ht="19.5">
      <c r="A305" s="1"/>
      <c r="B305" s="2"/>
      <c r="C305" s="1"/>
      <c r="D305" s="208"/>
      <c r="E305" s="208"/>
      <c r="G305" s="4"/>
      <c r="H305" s="1"/>
    </row>
    <row r="306" spans="1:8" ht="19.5">
      <c r="A306" s="1"/>
      <c r="B306" s="2"/>
      <c r="C306" s="1"/>
      <c r="D306" s="208"/>
      <c r="E306" s="208"/>
      <c r="G306" s="4"/>
      <c r="H306" s="1"/>
    </row>
    <row r="307" spans="1:8" ht="19.5">
      <c r="A307" s="1"/>
      <c r="B307" s="2"/>
      <c r="C307" s="1"/>
      <c r="D307" s="208"/>
      <c r="E307" s="208"/>
      <c r="G307" s="4"/>
      <c r="H307" s="1"/>
    </row>
    <row r="308" spans="1:8" ht="19.5">
      <c r="A308" s="1"/>
      <c r="B308" s="2"/>
      <c r="C308" s="1"/>
      <c r="D308" s="208"/>
      <c r="E308" s="208"/>
      <c r="G308" s="4"/>
      <c r="H308" s="1"/>
    </row>
    <row r="309" spans="1:8" ht="19.5">
      <c r="A309" s="1"/>
      <c r="B309" s="2"/>
      <c r="C309" s="1"/>
      <c r="D309" s="208"/>
      <c r="E309" s="208"/>
      <c r="G309" s="4"/>
      <c r="H309" s="1"/>
    </row>
    <row r="310" spans="1:8" ht="19.5">
      <c r="A310" s="1"/>
      <c r="B310" s="2"/>
      <c r="C310" s="1"/>
      <c r="D310" s="208"/>
      <c r="E310" s="208"/>
      <c r="G310" s="4"/>
      <c r="H310" s="1"/>
    </row>
    <row r="311" spans="1:8" ht="19.5">
      <c r="A311" s="1"/>
      <c r="B311" s="2"/>
      <c r="C311" s="1"/>
      <c r="D311" s="208"/>
      <c r="E311" s="208"/>
      <c r="G311" s="4"/>
      <c r="H311" s="1"/>
    </row>
    <row r="312" spans="1:8" ht="19.5">
      <c r="A312" s="1"/>
      <c r="B312" s="2"/>
      <c r="C312" s="1"/>
      <c r="D312" s="208"/>
      <c r="E312" s="208"/>
      <c r="G312" s="4"/>
      <c r="H312" s="1"/>
    </row>
    <row r="313" spans="1:8" ht="19.5">
      <c r="A313" s="1"/>
      <c r="B313" s="2"/>
      <c r="C313" s="1"/>
      <c r="D313" s="208"/>
      <c r="E313" s="208"/>
      <c r="G313" s="4"/>
      <c r="H313" s="1"/>
    </row>
    <row r="314" spans="1:8" ht="19.5">
      <c r="A314" s="1"/>
      <c r="B314" s="2"/>
      <c r="C314" s="1"/>
      <c r="D314" s="208"/>
      <c r="E314" s="208"/>
      <c r="G314" s="4"/>
      <c r="H314" s="1"/>
    </row>
    <row r="315" spans="1:8" ht="19.5">
      <c r="A315" s="1"/>
      <c r="B315" s="2"/>
      <c r="C315" s="1"/>
      <c r="D315" s="208"/>
      <c r="E315" s="208"/>
      <c r="G315" s="4"/>
      <c r="H315" s="1"/>
    </row>
    <row r="316" spans="1:8" ht="19.5">
      <c r="A316" s="1"/>
      <c r="B316" s="2"/>
      <c r="C316" s="1"/>
      <c r="D316" s="208"/>
      <c r="E316" s="208"/>
      <c r="G316" s="4"/>
      <c r="H316" s="1"/>
    </row>
    <row r="317" spans="1:8" ht="19.5">
      <c r="A317" s="1"/>
      <c r="B317" s="2"/>
      <c r="C317" s="1"/>
      <c r="D317" s="208"/>
      <c r="E317" s="208"/>
      <c r="G317" s="4"/>
      <c r="H317" s="1"/>
    </row>
    <row r="318" spans="1:8" ht="19.5">
      <c r="A318" s="1"/>
      <c r="B318" s="2"/>
      <c r="C318" s="1"/>
      <c r="D318" s="208"/>
      <c r="E318" s="208"/>
      <c r="G318" s="4"/>
      <c r="H318" s="1"/>
    </row>
    <row r="319" spans="1:8" ht="19.5">
      <c r="A319" s="1"/>
      <c r="B319" s="2"/>
      <c r="C319" s="1"/>
      <c r="D319" s="208"/>
      <c r="E319" s="208"/>
      <c r="G319" s="4"/>
      <c r="H319" s="1"/>
    </row>
    <row r="320" spans="1:8" ht="19.5">
      <c r="A320" s="1"/>
      <c r="B320" s="2"/>
      <c r="C320" s="1"/>
      <c r="D320" s="208"/>
      <c r="E320" s="208"/>
      <c r="G320" s="4"/>
      <c r="H320" s="1"/>
    </row>
    <row r="321" spans="1:8" ht="19.5">
      <c r="A321" s="1"/>
      <c r="B321" s="2"/>
      <c r="C321" s="1"/>
      <c r="D321" s="208"/>
      <c r="E321" s="208"/>
      <c r="G321" s="4"/>
      <c r="H321" s="1"/>
    </row>
    <row r="322" spans="1:8" ht="19.5">
      <c r="A322" s="1"/>
      <c r="B322" s="2"/>
      <c r="C322" s="1"/>
      <c r="D322" s="208"/>
      <c r="E322" s="208"/>
      <c r="G322" s="4"/>
      <c r="H322" s="1"/>
    </row>
    <row r="323" spans="1:8" ht="19.5">
      <c r="A323" s="1"/>
      <c r="B323" s="2"/>
      <c r="C323" s="1"/>
      <c r="D323" s="208"/>
      <c r="E323" s="208"/>
      <c r="G323" s="4"/>
      <c r="H323" s="1"/>
    </row>
    <row r="324" spans="1:8" ht="19.5">
      <c r="A324" s="1"/>
      <c r="B324" s="2"/>
      <c r="C324" s="1"/>
      <c r="D324" s="208"/>
      <c r="E324" s="208"/>
      <c r="G324" s="4"/>
      <c r="H324" s="1"/>
    </row>
    <row r="325" spans="1:8" ht="19.5">
      <c r="A325" s="1"/>
      <c r="B325" s="2"/>
      <c r="C325" s="1"/>
      <c r="D325" s="208"/>
      <c r="E325" s="208"/>
      <c r="G325" s="4"/>
      <c r="H325" s="1"/>
    </row>
    <row r="326" spans="1:8" ht="19.5">
      <c r="A326" s="1"/>
      <c r="B326" s="2"/>
      <c r="C326" s="1"/>
      <c r="D326" s="208"/>
      <c r="E326" s="208"/>
      <c r="G326" s="4"/>
      <c r="H326" s="1"/>
    </row>
    <row r="327" spans="1:8" ht="19.5">
      <c r="A327" s="1"/>
      <c r="B327" s="2"/>
      <c r="C327" s="1"/>
      <c r="D327" s="208"/>
      <c r="E327" s="208"/>
      <c r="G327" s="4"/>
      <c r="H327" s="1"/>
    </row>
    <row r="328" spans="1:8" ht="19.5">
      <c r="A328" s="1"/>
      <c r="B328" s="2"/>
      <c r="C328" s="1"/>
      <c r="D328" s="208"/>
      <c r="E328" s="208"/>
      <c r="G328" s="4"/>
      <c r="H328" s="1"/>
    </row>
    <row r="329" spans="1:8" ht="19.5">
      <c r="A329" s="1"/>
      <c r="B329" s="2"/>
      <c r="C329" s="1"/>
      <c r="D329" s="208"/>
      <c r="E329" s="208"/>
      <c r="G329" s="4"/>
      <c r="H329" s="1"/>
    </row>
    <row r="330" spans="1:8" ht="19.5">
      <c r="A330" s="1"/>
      <c r="B330" s="2"/>
      <c r="C330" s="1"/>
      <c r="D330" s="208"/>
      <c r="E330" s="208"/>
      <c r="G330" s="4"/>
      <c r="H330" s="1"/>
    </row>
    <row r="331" spans="1:8" ht="19.5">
      <c r="A331" s="1"/>
      <c r="B331" s="2"/>
      <c r="C331" s="1"/>
      <c r="D331" s="208"/>
      <c r="E331" s="208"/>
      <c r="G331" s="4"/>
      <c r="H331" s="1"/>
    </row>
    <row r="332" spans="1:8" ht="19.5">
      <c r="A332" s="1"/>
      <c r="B332" s="2"/>
      <c r="C332" s="1"/>
      <c r="D332" s="208"/>
      <c r="E332" s="208"/>
      <c r="G332" s="4"/>
      <c r="H332" s="1"/>
    </row>
    <row r="333" spans="1:8" ht="19.5">
      <c r="A333" s="1"/>
      <c r="B333" s="2"/>
      <c r="C333" s="1"/>
      <c r="D333" s="208"/>
      <c r="E333" s="208"/>
      <c r="G333" s="4"/>
      <c r="H333" s="1"/>
    </row>
    <row r="334" spans="1:8" ht="19.5">
      <c r="A334" s="1"/>
      <c r="B334" s="2"/>
      <c r="C334" s="1"/>
      <c r="D334" s="208"/>
      <c r="E334" s="208"/>
      <c r="G334" s="4"/>
      <c r="H334" s="1"/>
    </row>
    <row r="335" spans="1:8" ht="19.5">
      <c r="A335" s="1"/>
      <c r="B335" s="2"/>
      <c r="C335" s="1"/>
      <c r="D335" s="208"/>
      <c r="E335" s="208"/>
      <c r="G335" s="4"/>
      <c r="H335" s="1"/>
    </row>
    <row r="336" spans="1:8" ht="19.5">
      <c r="A336" s="1"/>
      <c r="B336" s="2"/>
      <c r="C336" s="1"/>
      <c r="D336" s="208"/>
      <c r="E336" s="208"/>
      <c r="G336" s="4"/>
      <c r="H336" s="1"/>
    </row>
    <row r="337" spans="1:8" ht="19.5">
      <c r="A337" s="1"/>
      <c r="B337" s="2"/>
      <c r="C337" s="1"/>
      <c r="D337" s="208"/>
      <c r="E337" s="208"/>
      <c r="G337" s="4"/>
      <c r="H337" s="1"/>
    </row>
    <row r="338" spans="1:8" ht="19.5">
      <c r="A338" s="1"/>
      <c r="B338" s="2"/>
      <c r="C338" s="1"/>
      <c r="D338" s="208"/>
      <c r="E338" s="208"/>
      <c r="G338" s="4"/>
      <c r="H338" s="1"/>
    </row>
    <row r="339" spans="1:8" ht="19.5">
      <c r="A339" s="1"/>
      <c r="B339" s="2"/>
      <c r="C339" s="1"/>
      <c r="D339" s="208"/>
      <c r="E339" s="208"/>
      <c r="G339" s="4"/>
      <c r="H339" s="1"/>
    </row>
    <row r="340" spans="1:8" ht="19.5">
      <c r="A340" s="1"/>
      <c r="B340" s="2"/>
      <c r="C340" s="1"/>
      <c r="D340" s="208"/>
      <c r="E340" s="208"/>
      <c r="G340" s="4"/>
      <c r="H340" s="1"/>
    </row>
    <row r="341" spans="1:8" ht="19.5">
      <c r="A341" s="1"/>
      <c r="B341" s="2"/>
      <c r="C341" s="1"/>
      <c r="D341" s="208"/>
      <c r="E341" s="208"/>
      <c r="G341" s="4"/>
      <c r="H341" s="1"/>
    </row>
    <row r="342" spans="1:8" ht="19.5">
      <c r="A342" s="1"/>
      <c r="B342" s="2"/>
      <c r="C342" s="1"/>
      <c r="D342" s="208"/>
      <c r="E342" s="208"/>
      <c r="G342" s="4"/>
      <c r="H342" s="1"/>
    </row>
    <row r="343" spans="1:8" ht="19.5">
      <c r="A343" s="1"/>
      <c r="B343" s="2"/>
      <c r="C343" s="1"/>
      <c r="D343" s="208"/>
      <c r="E343" s="208"/>
      <c r="G343" s="4"/>
      <c r="H343" s="1"/>
    </row>
    <row r="344" spans="1:8" ht="19.5">
      <c r="A344" s="1"/>
      <c r="B344" s="2"/>
      <c r="C344" s="1"/>
      <c r="D344" s="208"/>
      <c r="E344" s="208"/>
      <c r="G344" s="4"/>
      <c r="H344" s="1"/>
    </row>
    <row r="345" spans="1:8" ht="19.5">
      <c r="A345" s="1"/>
      <c r="B345" s="2"/>
      <c r="C345" s="1"/>
      <c r="D345" s="208"/>
      <c r="E345" s="208"/>
      <c r="G345" s="4"/>
      <c r="H345" s="1"/>
    </row>
    <row r="346" spans="1:8" ht="19.5">
      <c r="A346" s="1"/>
      <c r="B346" s="2"/>
      <c r="C346" s="1"/>
      <c r="D346" s="208"/>
      <c r="E346" s="208"/>
      <c r="G346" s="4"/>
      <c r="H346" s="1"/>
    </row>
    <row r="347" spans="1:8" ht="19.5">
      <c r="A347" s="1"/>
      <c r="B347" s="2"/>
      <c r="C347" s="1"/>
      <c r="D347" s="208"/>
      <c r="E347" s="208"/>
      <c r="G347" s="4"/>
      <c r="H347" s="1"/>
    </row>
    <row r="348" spans="1:8" ht="19.5">
      <c r="A348" s="1"/>
      <c r="B348" s="2"/>
      <c r="C348" s="1"/>
      <c r="D348" s="208"/>
      <c r="E348" s="208"/>
      <c r="G348" s="4"/>
      <c r="H348" s="1"/>
    </row>
    <row r="349" spans="1:8" ht="19.5">
      <c r="A349" s="1"/>
      <c r="B349" s="2"/>
      <c r="C349" s="1"/>
      <c r="D349" s="208"/>
      <c r="E349" s="208"/>
      <c r="G349" s="4"/>
      <c r="H349" s="1"/>
    </row>
    <row r="350" spans="1:8" ht="19.5">
      <c r="A350" s="1"/>
      <c r="B350" s="2"/>
      <c r="C350" s="1"/>
      <c r="D350" s="208"/>
      <c r="E350" s="208"/>
      <c r="G350" s="4"/>
      <c r="H350" s="1"/>
    </row>
    <row r="351" spans="1:8" ht="19.5">
      <c r="A351" s="1"/>
      <c r="B351" s="2"/>
      <c r="C351" s="1"/>
      <c r="D351" s="208"/>
      <c r="E351" s="208"/>
      <c r="G351" s="4"/>
      <c r="H351" s="1"/>
    </row>
    <row r="352" spans="1:8" ht="19.5">
      <c r="A352" s="1"/>
      <c r="B352" s="2"/>
      <c r="C352" s="1"/>
      <c r="D352" s="208"/>
      <c r="E352" s="208"/>
      <c r="G352" s="4"/>
      <c r="H352" s="1"/>
    </row>
    <row r="353" spans="1:8" ht="19.5">
      <c r="A353" s="1"/>
      <c r="B353" s="2"/>
      <c r="C353" s="1"/>
      <c r="D353" s="208"/>
      <c r="E353" s="208"/>
      <c r="G353" s="4"/>
      <c r="H353" s="1"/>
    </row>
    <row r="354" spans="1:8" ht="19.5">
      <c r="A354" s="1"/>
      <c r="B354" s="2"/>
      <c r="C354" s="1"/>
      <c r="D354" s="208"/>
      <c r="E354" s="208"/>
      <c r="G354" s="4"/>
      <c r="H354" s="1"/>
    </row>
    <row r="355" spans="1:8" ht="19.5">
      <c r="A355" s="1"/>
      <c r="B355" s="2"/>
      <c r="C355" s="1"/>
      <c r="D355" s="208"/>
      <c r="E355" s="208"/>
      <c r="G355" s="4"/>
      <c r="H355" s="1"/>
    </row>
    <row r="356" spans="1:8" ht="19.5">
      <c r="A356" s="1"/>
      <c r="B356" s="2"/>
      <c r="C356" s="1"/>
      <c r="D356" s="208"/>
      <c r="E356" s="208"/>
      <c r="G356" s="4"/>
      <c r="H356" s="1"/>
    </row>
    <row r="357" spans="1:8" ht="19.5">
      <c r="A357" s="1"/>
      <c r="B357" s="2"/>
      <c r="C357" s="1"/>
      <c r="D357" s="208"/>
      <c r="E357" s="208"/>
      <c r="G357" s="4"/>
      <c r="H357" s="1"/>
    </row>
    <row r="358" spans="1:8" ht="19.5">
      <c r="A358" s="1"/>
      <c r="B358" s="2"/>
      <c r="C358" s="1"/>
      <c r="D358" s="208"/>
      <c r="E358" s="208"/>
      <c r="G358" s="4"/>
      <c r="H358" s="1"/>
    </row>
    <row r="359" spans="1:8" ht="19.5">
      <c r="A359" s="1"/>
      <c r="B359" s="2"/>
      <c r="C359" s="1"/>
      <c r="D359" s="208"/>
      <c r="E359" s="208"/>
      <c r="G359" s="4"/>
      <c r="H359" s="1"/>
    </row>
    <row r="360" spans="1:8" ht="19.5">
      <c r="A360" s="1"/>
      <c r="B360" s="2"/>
      <c r="C360" s="1"/>
      <c r="D360" s="208"/>
      <c r="E360" s="208"/>
      <c r="G360" s="4"/>
      <c r="H360" s="1"/>
    </row>
    <row r="361" spans="1:8" ht="19.5">
      <c r="A361" s="1"/>
      <c r="B361" s="2"/>
      <c r="C361" s="1"/>
      <c r="D361" s="208"/>
      <c r="E361" s="208"/>
      <c r="G361" s="4"/>
      <c r="H361" s="1"/>
    </row>
    <row r="362" spans="1:8" ht="19.5">
      <c r="A362" s="1"/>
      <c r="B362" s="2"/>
      <c r="C362" s="1"/>
      <c r="D362" s="208"/>
      <c r="E362" s="208"/>
      <c r="G362" s="4"/>
      <c r="H362" s="1"/>
    </row>
    <row r="363" spans="1:8" ht="19.5">
      <c r="A363" s="1"/>
      <c r="B363" s="2"/>
      <c r="C363" s="1"/>
      <c r="D363" s="208"/>
      <c r="E363" s="208"/>
      <c r="G363" s="4"/>
      <c r="H363" s="1"/>
    </row>
    <row r="364" spans="1:8" ht="19.5">
      <c r="A364" s="1"/>
      <c r="B364" s="2"/>
      <c r="C364" s="1"/>
      <c r="D364" s="208"/>
      <c r="E364" s="208"/>
      <c r="G364" s="4"/>
      <c r="H364" s="1"/>
    </row>
    <row r="365" spans="1:8" ht="19.5">
      <c r="A365" s="1"/>
      <c r="B365" s="2"/>
      <c r="C365" s="1"/>
      <c r="D365" s="208"/>
      <c r="E365" s="208"/>
      <c r="G365" s="4"/>
      <c r="H365" s="1"/>
    </row>
    <row r="366" spans="1:8" ht="19.5">
      <c r="A366" s="1"/>
      <c r="B366" s="2"/>
      <c r="C366" s="1"/>
      <c r="D366" s="208"/>
      <c r="E366" s="208"/>
      <c r="G366" s="4"/>
      <c r="H366" s="1"/>
    </row>
    <row r="367" spans="1:8" ht="19.5">
      <c r="A367" s="1"/>
      <c r="B367" s="2"/>
      <c r="C367" s="1"/>
      <c r="D367" s="208"/>
      <c r="E367" s="208"/>
      <c r="G367" s="4"/>
      <c r="H367" s="1"/>
    </row>
    <row r="368" spans="1:8" ht="19.5">
      <c r="A368" s="1"/>
      <c r="B368" s="2"/>
      <c r="C368" s="1"/>
      <c r="D368" s="208"/>
      <c r="E368" s="208"/>
      <c r="G368" s="4"/>
      <c r="H368" s="1"/>
    </row>
    <row r="369" spans="1:8" ht="19.5">
      <c r="A369" s="1"/>
      <c r="B369" s="2"/>
      <c r="C369" s="1"/>
      <c r="D369" s="208"/>
      <c r="E369" s="208"/>
      <c r="G369" s="4"/>
      <c r="H369" s="1"/>
    </row>
    <row r="370" spans="1:8" ht="19.5">
      <c r="A370" s="1"/>
      <c r="B370" s="2"/>
      <c r="C370" s="1"/>
      <c r="D370" s="208"/>
      <c r="E370" s="208"/>
      <c r="G370" s="4"/>
      <c r="H370" s="1"/>
    </row>
    <row r="371" spans="1:8" ht="19.5">
      <c r="A371" s="1"/>
      <c r="B371" s="2"/>
      <c r="C371" s="1"/>
      <c r="D371" s="208"/>
      <c r="E371" s="208"/>
      <c r="G371" s="4"/>
      <c r="H371" s="1"/>
    </row>
    <row r="372" spans="1:8" ht="19.5">
      <c r="A372" s="1"/>
      <c r="B372" s="2"/>
      <c r="C372" s="1"/>
      <c r="D372" s="208"/>
      <c r="E372" s="208"/>
      <c r="G372" s="4"/>
      <c r="H372" s="1"/>
    </row>
    <row r="373" spans="1:8" ht="19.5">
      <c r="A373" s="1"/>
      <c r="B373" s="2"/>
      <c r="C373" s="1"/>
      <c r="D373" s="208"/>
      <c r="E373" s="208"/>
      <c r="G373" s="4"/>
      <c r="H373" s="1"/>
    </row>
    <row r="374" spans="1:8" ht="19.5">
      <c r="A374" s="1"/>
      <c r="B374" s="2"/>
      <c r="C374" s="1"/>
      <c r="D374" s="208"/>
      <c r="E374" s="208"/>
      <c r="G374" s="4"/>
      <c r="H374" s="1"/>
    </row>
    <row r="375" spans="1:8" ht="19.5">
      <c r="A375" s="1"/>
      <c r="B375" s="2"/>
      <c r="C375" s="1"/>
      <c r="D375" s="208"/>
      <c r="E375" s="208"/>
      <c r="G375" s="4"/>
      <c r="H375" s="1"/>
    </row>
    <row r="376" spans="1:8" ht="19.5">
      <c r="A376" s="1"/>
      <c r="B376" s="2"/>
      <c r="C376" s="1"/>
      <c r="D376" s="208"/>
      <c r="E376" s="208"/>
      <c r="G376" s="4"/>
      <c r="H376" s="1"/>
    </row>
    <row r="377" spans="1:8" ht="19.5">
      <c r="A377" s="1"/>
      <c r="B377" s="2"/>
      <c r="C377" s="1"/>
      <c r="D377" s="208"/>
      <c r="E377" s="208"/>
      <c r="G377" s="4"/>
      <c r="H377" s="1"/>
    </row>
    <row r="378" spans="1:8" ht="19.5">
      <c r="A378" s="1"/>
      <c r="B378" s="2"/>
      <c r="C378" s="1"/>
      <c r="D378" s="208"/>
      <c r="E378" s="208"/>
      <c r="G378" s="4"/>
      <c r="H378" s="1"/>
    </row>
    <row r="379" spans="1:8" ht="19.5">
      <c r="A379" s="1"/>
      <c r="B379" s="2"/>
      <c r="C379" s="1"/>
      <c r="D379" s="208"/>
      <c r="E379" s="208"/>
      <c r="G379" s="4"/>
      <c r="H379" s="1"/>
    </row>
    <row r="380" spans="1:8" ht="19.5">
      <c r="A380" s="1"/>
      <c r="B380" s="2"/>
      <c r="C380" s="1"/>
      <c r="D380" s="208"/>
      <c r="E380" s="208"/>
      <c r="G380" s="4"/>
      <c r="H380" s="1"/>
    </row>
    <row r="381" spans="1:8" ht="19.5">
      <c r="A381" s="1"/>
      <c r="B381" s="2"/>
      <c r="C381" s="1"/>
      <c r="D381" s="208"/>
      <c r="E381" s="208"/>
      <c r="G381" s="4"/>
      <c r="H381" s="1"/>
    </row>
    <row r="382" spans="1:8" ht="19.5">
      <c r="A382" s="1"/>
      <c r="B382" s="2"/>
      <c r="C382" s="1"/>
      <c r="D382" s="208"/>
      <c r="E382" s="208"/>
      <c r="G382" s="4"/>
      <c r="H382" s="1"/>
    </row>
    <row r="383" spans="1:8" ht="19.5">
      <c r="A383" s="1"/>
      <c r="B383" s="2"/>
      <c r="C383" s="1"/>
      <c r="D383" s="208"/>
      <c r="E383" s="208"/>
      <c r="G383" s="4"/>
      <c r="H383" s="1"/>
    </row>
    <row r="384" spans="1:8" ht="19.5">
      <c r="A384" s="1"/>
      <c r="B384" s="2"/>
      <c r="C384" s="1"/>
      <c r="D384" s="208"/>
      <c r="E384" s="208"/>
      <c r="G384" s="4"/>
      <c r="H384" s="1"/>
    </row>
    <row r="385" spans="1:8" ht="19.5">
      <c r="A385" s="1"/>
      <c r="B385" s="2"/>
      <c r="C385" s="1"/>
      <c r="D385" s="208"/>
      <c r="E385" s="208"/>
      <c r="G385" s="4"/>
      <c r="H385" s="1"/>
    </row>
    <row r="386" spans="1:8" ht="19.5">
      <c r="A386" s="1"/>
      <c r="B386" s="2"/>
      <c r="C386" s="1"/>
      <c r="D386" s="208"/>
      <c r="E386" s="208"/>
      <c r="G386" s="4"/>
      <c r="H386" s="1"/>
    </row>
    <row r="387" spans="1:8" ht="19.5">
      <c r="A387" s="1"/>
      <c r="B387" s="2"/>
      <c r="C387" s="1"/>
      <c r="D387" s="208"/>
      <c r="E387" s="208"/>
      <c r="G387" s="4"/>
      <c r="H387" s="1"/>
    </row>
    <row r="388" spans="1:8" ht="19.5">
      <c r="A388" s="1"/>
      <c r="B388" s="2"/>
      <c r="C388" s="1"/>
      <c r="D388" s="208"/>
      <c r="E388" s="208"/>
      <c r="G388" s="4"/>
      <c r="H388" s="1"/>
    </row>
    <row r="389" spans="1:8" ht="19.5">
      <c r="A389" s="1"/>
      <c r="B389" s="2"/>
      <c r="C389" s="1"/>
      <c r="D389" s="208"/>
      <c r="E389" s="208"/>
      <c r="G389" s="4"/>
      <c r="H389" s="1"/>
    </row>
    <row r="390" spans="1:8" ht="19.5">
      <c r="A390" s="1"/>
      <c r="B390" s="2"/>
      <c r="C390" s="1"/>
      <c r="D390" s="208"/>
      <c r="E390" s="208"/>
      <c r="G390" s="4"/>
      <c r="H390" s="1"/>
    </row>
    <row r="391" spans="1:8" ht="19.5">
      <c r="A391" s="1"/>
      <c r="B391" s="2"/>
      <c r="C391" s="1"/>
      <c r="D391" s="208"/>
      <c r="E391" s="208"/>
      <c r="G391" s="4"/>
      <c r="H391" s="1"/>
    </row>
    <row r="392" spans="1:8" ht="19.5">
      <c r="A392" s="1"/>
      <c r="B392" s="2"/>
      <c r="C392" s="1"/>
      <c r="D392" s="208"/>
      <c r="E392" s="208"/>
      <c r="G392" s="4"/>
      <c r="H392" s="1"/>
    </row>
    <row r="393" spans="1:8" ht="19.5">
      <c r="A393" s="1"/>
      <c r="B393" s="2"/>
      <c r="C393" s="1"/>
      <c r="D393" s="208"/>
      <c r="E393" s="208"/>
      <c r="G393" s="4"/>
      <c r="H393" s="1"/>
    </row>
    <row r="394" spans="1:8" ht="19.5">
      <c r="A394" s="1"/>
      <c r="B394" s="2"/>
      <c r="C394" s="1"/>
      <c r="D394" s="208"/>
      <c r="E394" s="208"/>
      <c r="G394" s="4"/>
      <c r="H394" s="1"/>
    </row>
    <row r="395" spans="1:8" ht="19.5">
      <c r="A395" s="1"/>
      <c r="B395" s="2"/>
      <c r="C395" s="1"/>
      <c r="D395" s="208"/>
      <c r="E395" s="208"/>
      <c r="G395" s="4"/>
      <c r="H395" s="1"/>
    </row>
    <row r="396" spans="1:8" ht="19.5">
      <c r="A396" s="1"/>
      <c r="B396" s="2"/>
      <c r="C396" s="1"/>
      <c r="D396" s="208"/>
      <c r="E396" s="208"/>
      <c r="G396" s="4"/>
      <c r="H396" s="1"/>
    </row>
    <row r="397" spans="1:8" ht="19.5">
      <c r="A397" s="1"/>
      <c r="B397" s="2"/>
      <c r="C397" s="1"/>
      <c r="D397" s="208"/>
      <c r="E397" s="208"/>
      <c r="G397" s="4"/>
      <c r="H397" s="1"/>
    </row>
    <row r="398" spans="1:8" ht="19.5">
      <c r="A398" s="1"/>
      <c r="B398" s="2"/>
      <c r="C398" s="1"/>
      <c r="D398" s="208"/>
      <c r="E398" s="208"/>
      <c r="G398" s="4"/>
      <c r="H398" s="1"/>
    </row>
    <row r="399" spans="1:8" ht="19.5">
      <c r="A399" s="1"/>
      <c r="B399" s="2"/>
      <c r="C399" s="1"/>
      <c r="D399" s="208"/>
      <c r="E399" s="208"/>
      <c r="G399" s="4"/>
      <c r="H399" s="1"/>
    </row>
    <row r="400" spans="1:8" ht="19.5">
      <c r="A400" s="1"/>
      <c r="B400" s="2"/>
      <c r="C400" s="1"/>
      <c r="D400" s="208"/>
      <c r="E400" s="208"/>
      <c r="G400" s="4"/>
      <c r="H400" s="1"/>
    </row>
    <row r="401" spans="1:8" ht="19.5">
      <c r="A401" s="1"/>
      <c r="B401" s="2"/>
      <c r="C401" s="1"/>
      <c r="D401" s="208"/>
      <c r="E401" s="208"/>
      <c r="G401" s="4"/>
      <c r="H401" s="1"/>
    </row>
    <row r="402" spans="1:8" ht="19.5">
      <c r="A402" s="1"/>
      <c r="B402" s="2"/>
      <c r="C402" s="1"/>
      <c r="D402" s="208"/>
      <c r="E402" s="208"/>
      <c r="G402" s="4"/>
      <c r="H402" s="1"/>
    </row>
    <row r="403" spans="1:8" ht="19.5">
      <c r="A403" s="1"/>
      <c r="B403" s="2"/>
      <c r="C403" s="1"/>
      <c r="D403" s="208"/>
      <c r="E403" s="208"/>
      <c r="G403" s="4"/>
      <c r="H403" s="1"/>
    </row>
    <row r="404" spans="1:8" ht="19.5">
      <c r="A404" s="1"/>
      <c r="B404" s="2"/>
      <c r="C404" s="1"/>
      <c r="D404" s="208"/>
      <c r="E404" s="208"/>
      <c r="G404" s="4"/>
      <c r="H404" s="1"/>
    </row>
    <row r="405" spans="1:8" ht="19.5">
      <c r="A405" s="1"/>
      <c r="B405" s="2"/>
      <c r="C405" s="1"/>
      <c r="D405" s="208"/>
      <c r="E405" s="208"/>
      <c r="G405" s="4"/>
      <c r="H405" s="1"/>
    </row>
    <row r="406" spans="1:8" ht="19.5">
      <c r="A406" s="1"/>
      <c r="B406" s="2"/>
      <c r="C406" s="1"/>
      <c r="D406" s="208"/>
      <c r="E406" s="208"/>
      <c r="G406" s="4"/>
      <c r="H406" s="1"/>
    </row>
    <row r="407" spans="1:8" ht="19.5">
      <c r="A407" s="1"/>
      <c r="B407" s="2"/>
      <c r="C407" s="1"/>
      <c r="D407" s="208"/>
      <c r="E407" s="208"/>
      <c r="G407" s="4"/>
      <c r="H407" s="1"/>
    </row>
    <row r="408" spans="1:8" ht="19.5">
      <c r="A408" s="1"/>
      <c r="B408" s="2"/>
      <c r="C408" s="1"/>
      <c r="D408" s="208"/>
      <c r="E408" s="208"/>
      <c r="G408" s="4"/>
      <c r="H408" s="1"/>
    </row>
    <row r="409" spans="1:8" ht="19.5">
      <c r="A409" s="1"/>
      <c r="B409" s="2"/>
      <c r="C409" s="1"/>
      <c r="D409" s="208"/>
      <c r="E409" s="208"/>
      <c r="G409" s="4"/>
      <c r="H409" s="1"/>
    </row>
    <row r="410" spans="1:8" ht="19.5">
      <c r="A410" s="1"/>
      <c r="B410" s="2"/>
      <c r="C410" s="1"/>
      <c r="D410" s="208"/>
      <c r="E410" s="208"/>
      <c r="G410" s="4"/>
      <c r="H410" s="1"/>
    </row>
    <row r="411" spans="1:8" ht="19.5">
      <c r="A411" s="1"/>
      <c r="B411" s="2"/>
      <c r="C411" s="1"/>
      <c r="D411" s="208"/>
      <c r="E411" s="208"/>
      <c r="G411" s="4"/>
      <c r="H411" s="1"/>
    </row>
    <row r="412" spans="1:8" ht="19.5">
      <c r="A412" s="1"/>
      <c r="B412" s="2"/>
      <c r="C412" s="1"/>
      <c r="D412" s="208"/>
      <c r="E412" s="208"/>
      <c r="G412" s="4"/>
      <c r="H412" s="1"/>
    </row>
    <row r="413" spans="1:8" ht="19.5">
      <c r="A413" s="1"/>
      <c r="B413" s="2"/>
      <c r="C413" s="1"/>
      <c r="D413" s="208"/>
      <c r="E413" s="208"/>
      <c r="G413" s="4"/>
      <c r="H413" s="1"/>
    </row>
    <row r="414" spans="1:8" ht="19.5">
      <c r="A414" s="1"/>
      <c r="B414" s="2"/>
      <c r="C414" s="1"/>
      <c r="D414" s="208"/>
      <c r="E414" s="208"/>
      <c r="G414" s="4"/>
      <c r="H414" s="1"/>
    </row>
    <row r="415" spans="1:8" ht="19.5">
      <c r="A415" s="1"/>
      <c r="B415" s="2"/>
      <c r="C415" s="1"/>
      <c r="D415" s="208"/>
      <c r="E415" s="208"/>
      <c r="G415" s="4"/>
      <c r="H415" s="1"/>
    </row>
    <row r="416" spans="1:8" ht="19.5">
      <c r="A416" s="1"/>
      <c r="B416" s="2"/>
      <c r="C416" s="1"/>
      <c r="D416" s="208"/>
      <c r="E416" s="208"/>
      <c r="G416" s="4"/>
      <c r="H416" s="1"/>
    </row>
    <row r="417" spans="1:8" ht="19.5">
      <c r="A417" s="1"/>
      <c r="B417" s="2"/>
      <c r="C417" s="1"/>
      <c r="D417" s="208"/>
      <c r="E417" s="208"/>
      <c r="G417" s="4"/>
      <c r="H417" s="1"/>
    </row>
    <row r="418" spans="1:8" ht="19.5">
      <c r="A418" s="1"/>
      <c r="B418" s="2"/>
      <c r="C418" s="1"/>
      <c r="D418" s="208"/>
      <c r="E418" s="208"/>
      <c r="G418" s="4"/>
      <c r="H418" s="1"/>
    </row>
    <row r="419" spans="1:8" ht="19.5">
      <c r="A419" s="1"/>
      <c r="B419" s="2"/>
      <c r="C419" s="1"/>
      <c r="D419" s="208"/>
      <c r="E419" s="208"/>
      <c r="G419" s="4"/>
      <c r="H419" s="1"/>
    </row>
    <row r="420" spans="1:8" ht="19.5">
      <c r="A420" s="1"/>
      <c r="B420" s="2"/>
      <c r="C420" s="1"/>
      <c r="D420" s="208"/>
      <c r="E420" s="208"/>
      <c r="G420" s="4"/>
      <c r="H420" s="1"/>
    </row>
    <row r="421" spans="1:8" ht="19.5">
      <c r="A421" s="1"/>
      <c r="B421" s="2"/>
      <c r="C421" s="1"/>
      <c r="D421" s="208"/>
      <c r="E421" s="208"/>
      <c r="G421" s="4"/>
      <c r="H421" s="1"/>
    </row>
    <row r="422" spans="1:8" ht="19.5">
      <c r="A422" s="1"/>
      <c r="B422" s="2"/>
      <c r="C422" s="1"/>
      <c r="D422" s="208"/>
      <c r="E422" s="208"/>
      <c r="G422" s="4"/>
      <c r="H422" s="1"/>
    </row>
    <row r="423" spans="1:8" ht="19.5">
      <c r="A423" s="1"/>
      <c r="B423" s="2"/>
      <c r="C423" s="1"/>
      <c r="D423" s="208"/>
      <c r="E423" s="208"/>
      <c r="G423" s="4"/>
      <c r="H423" s="1"/>
    </row>
    <row r="424" spans="1:8" ht="19.5">
      <c r="A424" s="1"/>
      <c r="B424" s="2"/>
      <c r="C424" s="1"/>
      <c r="D424" s="208"/>
      <c r="E424" s="208"/>
      <c r="G424" s="4"/>
      <c r="H424" s="1"/>
    </row>
    <row r="425" spans="1:8" ht="19.5">
      <c r="A425" s="1"/>
      <c r="B425" s="2"/>
      <c r="C425" s="1"/>
      <c r="D425" s="208"/>
      <c r="E425" s="208"/>
      <c r="G425" s="4"/>
      <c r="H425" s="1"/>
    </row>
    <row r="426" spans="1:8" ht="19.5">
      <c r="A426" s="1"/>
      <c r="B426" s="2"/>
      <c r="C426" s="1"/>
      <c r="D426" s="208"/>
      <c r="E426" s="208"/>
      <c r="G426" s="4"/>
      <c r="H426" s="1"/>
    </row>
    <row r="427" spans="1:8" ht="19.5">
      <c r="A427" s="1"/>
      <c r="B427" s="2"/>
      <c r="C427" s="1"/>
      <c r="D427" s="208"/>
      <c r="E427" s="208"/>
      <c r="G427" s="4"/>
      <c r="H427" s="1"/>
    </row>
    <row r="428" spans="1:8" ht="19.5">
      <c r="A428" s="1"/>
      <c r="B428" s="2"/>
      <c r="C428" s="1"/>
      <c r="D428" s="208"/>
      <c r="E428" s="208"/>
      <c r="G428" s="4"/>
      <c r="H428" s="1"/>
    </row>
    <row r="429" spans="1:8" ht="19.5">
      <c r="A429" s="1"/>
      <c r="B429" s="2"/>
      <c r="C429" s="1"/>
      <c r="D429" s="208"/>
      <c r="E429" s="208"/>
      <c r="G429" s="4"/>
      <c r="H429" s="1"/>
    </row>
    <row r="430" spans="1:8" ht="19.5">
      <c r="A430" s="1"/>
      <c r="B430" s="2"/>
      <c r="C430" s="1"/>
      <c r="D430" s="208"/>
      <c r="E430" s="208"/>
      <c r="G430" s="4"/>
      <c r="H430" s="1"/>
    </row>
    <row r="431" spans="1:8" ht="19.5">
      <c r="A431" s="1"/>
      <c r="B431" s="2"/>
      <c r="C431" s="1"/>
      <c r="D431" s="208"/>
      <c r="E431" s="208"/>
      <c r="G431" s="4"/>
      <c r="H431" s="1"/>
    </row>
    <row r="432" spans="1:8" ht="19.5">
      <c r="A432" s="1"/>
      <c r="B432" s="2"/>
      <c r="C432" s="1"/>
      <c r="D432" s="208"/>
      <c r="E432" s="208"/>
      <c r="G432" s="4"/>
      <c r="H432" s="1"/>
    </row>
    <row r="433" spans="1:8" ht="19.5">
      <c r="A433" s="1"/>
      <c r="B433" s="2"/>
      <c r="C433" s="1"/>
      <c r="D433" s="208"/>
      <c r="E433" s="208"/>
      <c r="G433" s="4"/>
      <c r="H433" s="1"/>
    </row>
    <row r="434" spans="1:8" ht="19.5">
      <c r="A434" s="1"/>
      <c r="B434" s="2"/>
      <c r="C434" s="1"/>
      <c r="D434" s="208"/>
      <c r="E434" s="208"/>
      <c r="G434" s="4"/>
      <c r="H434" s="1"/>
    </row>
    <row r="435" spans="1:8" ht="19.5">
      <c r="A435" s="1"/>
      <c r="B435" s="2"/>
      <c r="C435" s="1"/>
      <c r="D435" s="208"/>
      <c r="E435" s="208"/>
      <c r="G435" s="4"/>
      <c r="H435" s="1"/>
    </row>
    <row r="436" spans="1:8" ht="19.5">
      <c r="A436" s="1"/>
      <c r="B436" s="2"/>
      <c r="C436" s="1"/>
      <c r="D436" s="208"/>
      <c r="E436" s="208"/>
      <c r="G436" s="4"/>
      <c r="H436" s="1"/>
    </row>
    <row r="437" spans="1:8" ht="19.5">
      <c r="A437" s="1"/>
      <c r="B437" s="2"/>
      <c r="C437" s="1"/>
      <c r="D437" s="208"/>
      <c r="E437" s="208"/>
      <c r="G437" s="4"/>
      <c r="H437" s="1"/>
    </row>
    <row r="438" spans="1:8" ht="19.5">
      <c r="A438" s="1"/>
      <c r="B438" s="2"/>
      <c r="C438" s="1"/>
      <c r="D438" s="208"/>
      <c r="E438" s="208"/>
      <c r="G438" s="4"/>
      <c r="H438" s="1"/>
    </row>
    <row r="439" spans="1:8" ht="19.5">
      <c r="A439" s="1"/>
      <c r="B439" s="2"/>
      <c r="C439" s="1"/>
      <c r="D439" s="208"/>
      <c r="E439" s="208"/>
      <c r="G439" s="4"/>
      <c r="H439" s="1"/>
    </row>
    <row r="440" spans="1:8" ht="19.5">
      <c r="A440" s="1"/>
      <c r="B440" s="2"/>
      <c r="C440" s="1"/>
      <c r="D440" s="208"/>
      <c r="E440" s="208"/>
      <c r="G440" s="4"/>
      <c r="H440" s="1"/>
    </row>
    <row r="441" spans="1:8" ht="19.5">
      <c r="A441" s="1"/>
      <c r="B441" s="2"/>
      <c r="C441" s="1"/>
      <c r="D441" s="208"/>
      <c r="E441" s="208"/>
      <c r="G441" s="4"/>
      <c r="H441" s="1"/>
    </row>
    <row r="442" spans="1:8" ht="19.5">
      <c r="A442" s="1"/>
      <c r="B442" s="2"/>
      <c r="C442" s="1"/>
      <c r="D442" s="208"/>
      <c r="E442" s="208"/>
      <c r="G442" s="4"/>
      <c r="H442" s="1"/>
    </row>
    <row r="443" spans="1:8" ht="19.5">
      <c r="A443" s="1"/>
      <c r="B443" s="2"/>
      <c r="C443" s="1"/>
      <c r="D443" s="208"/>
      <c r="E443" s="208"/>
      <c r="G443" s="4"/>
      <c r="H443" s="1"/>
    </row>
    <row r="444" spans="1:8" ht="19.5">
      <c r="A444" s="1"/>
      <c r="B444" s="2"/>
      <c r="C444" s="1"/>
      <c r="D444" s="208"/>
      <c r="E444" s="208"/>
      <c r="G444" s="4"/>
      <c r="H444" s="1"/>
    </row>
    <row r="445" spans="1:8" ht="19.5">
      <c r="A445" s="1"/>
      <c r="B445" s="2"/>
      <c r="C445" s="1"/>
      <c r="D445" s="208"/>
      <c r="E445" s="208"/>
      <c r="G445" s="4"/>
      <c r="H445" s="1"/>
    </row>
    <row r="446" spans="1:8" ht="19.5">
      <c r="A446" s="1"/>
      <c r="B446" s="2"/>
      <c r="C446" s="1"/>
      <c r="D446" s="208"/>
      <c r="E446" s="208"/>
      <c r="G446" s="4"/>
      <c r="H446" s="1"/>
    </row>
    <row r="447" spans="1:8" ht="19.5">
      <c r="A447" s="1"/>
      <c r="B447" s="2"/>
      <c r="C447" s="1"/>
      <c r="D447" s="208"/>
      <c r="E447" s="208"/>
      <c r="G447" s="4"/>
      <c r="H447" s="1"/>
    </row>
    <row r="448" spans="1:8" ht="19.5">
      <c r="A448" s="1"/>
      <c r="B448" s="2"/>
      <c r="C448" s="1"/>
      <c r="D448" s="208"/>
      <c r="E448" s="208"/>
      <c r="G448" s="4"/>
      <c r="H448" s="1"/>
    </row>
    <row r="449" spans="1:8" ht="19.5">
      <c r="A449" s="1"/>
      <c r="B449" s="2"/>
      <c r="C449" s="1"/>
      <c r="D449" s="208"/>
      <c r="E449" s="208"/>
      <c r="G449" s="4"/>
      <c r="H449" s="1"/>
    </row>
    <row r="450" spans="1:8" ht="19.5">
      <c r="A450" s="1"/>
      <c r="B450" s="2"/>
      <c r="C450" s="1"/>
      <c r="D450" s="208"/>
      <c r="E450" s="208"/>
      <c r="G450" s="4"/>
      <c r="H450" s="1"/>
    </row>
    <row r="451" spans="1:8" ht="19.5">
      <c r="A451" s="1"/>
      <c r="B451" s="2"/>
      <c r="C451" s="1"/>
      <c r="D451" s="208"/>
      <c r="E451" s="208"/>
      <c r="G451" s="4"/>
      <c r="H451" s="1"/>
    </row>
    <row r="452" spans="1:8" ht="19.5">
      <c r="A452" s="1"/>
      <c r="B452" s="2"/>
      <c r="C452" s="1"/>
      <c r="D452" s="208"/>
      <c r="E452" s="208"/>
      <c r="G452" s="4"/>
      <c r="H452" s="1"/>
    </row>
    <row r="453" spans="1:8" ht="19.5">
      <c r="A453" s="1"/>
      <c r="B453" s="2"/>
      <c r="C453" s="1"/>
      <c r="D453" s="208"/>
      <c r="E453" s="208"/>
      <c r="G453" s="4"/>
      <c r="H453" s="1"/>
    </row>
    <row r="454" spans="1:8" ht="19.5">
      <c r="A454" s="1"/>
      <c r="B454" s="2"/>
      <c r="C454" s="1"/>
      <c r="D454" s="208"/>
      <c r="E454" s="208"/>
      <c r="G454" s="4"/>
      <c r="H454" s="1"/>
    </row>
    <row r="455" spans="1:8" ht="19.5">
      <c r="A455" s="1"/>
      <c r="B455" s="2"/>
      <c r="C455" s="1"/>
      <c r="D455" s="208"/>
      <c r="E455" s="208"/>
      <c r="G455" s="4"/>
      <c r="H455" s="1"/>
    </row>
    <row r="456" spans="1:8" ht="19.5">
      <c r="A456" s="1"/>
      <c r="B456" s="2"/>
      <c r="C456" s="1"/>
      <c r="D456" s="208"/>
      <c r="E456" s="208"/>
      <c r="G456" s="4"/>
      <c r="H456" s="1"/>
    </row>
    <row r="457" spans="1:8" ht="19.5">
      <c r="A457" s="1"/>
      <c r="B457" s="2"/>
      <c r="C457" s="1"/>
      <c r="D457" s="208"/>
      <c r="E457" s="208"/>
      <c r="G457" s="4"/>
      <c r="H457" s="1"/>
    </row>
    <row r="458" spans="1:8" ht="19.5">
      <c r="A458" s="1"/>
      <c r="B458" s="2"/>
      <c r="C458" s="1"/>
      <c r="D458" s="208"/>
      <c r="E458" s="208"/>
      <c r="G458" s="4"/>
      <c r="H458" s="1"/>
    </row>
    <row r="459" spans="1:8" ht="19.5">
      <c r="A459" s="1"/>
      <c r="B459" s="2"/>
      <c r="C459" s="1"/>
      <c r="D459" s="208"/>
      <c r="E459" s="208"/>
      <c r="G459" s="4"/>
      <c r="H459" s="1"/>
    </row>
    <row r="460" spans="1:8" ht="19.5">
      <c r="A460" s="1"/>
      <c r="B460" s="2"/>
      <c r="C460" s="1"/>
      <c r="D460" s="208"/>
      <c r="E460" s="208"/>
      <c r="G460" s="4"/>
      <c r="H460" s="1"/>
    </row>
    <row r="461" spans="1:8" ht="19.5">
      <c r="A461" s="1"/>
      <c r="B461" s="2"/>
      <c r="C461" s="1"/>
      <c r="D461" s="208"/>
      <c r="E461" s="208"/>
      <c r="G461" s="4"/>
      <c r="H461" s="1"/>
    </row>
    <row r="462" spans="1:8" ht="19.5">
      <c r="A462" s="1"/>
      <c r="B462" s="2"/>
      <c r="C462" s="1"/>
      <c r="D462" s="208"/>
      <c r="E462" s="208"/>
      <c r="G462" s="4"/>
      <c r="H462" s="1"/>
    </row>
    <row r="463" spans="1:8" ht="19.5">
      <c r="A463" s="1"/>
      <c r="B463" s="2"/>
      <c r="C463" s="1"/>
      <c r="D463" s="208"/>
      <c r="E463" s="208"/>
      <c r="G463" s="4"/>
      <c r="H463" s="1"/>
    </row>
    <row r="464" spans="1:8" ht="19.5">
      <c r="A464" s="1"/>
      <c r="B464" s="2"/>
      <c r="C464" s="1"/>
      <c r="D464" s="208"/>
      <c r="E464" s="208"/>
      <c r="G464" s="4"/>
      <c r="H464" s="1"/>
    </row>
    <row r="465" spans="1:8" ht="19.5">
      <c r="A465" s="1"/>
      <c r="B465" s="2"/>
      <c r="C465" s="1"/>
      <c r="D465" s="208"/>
      <c r="E465" s="208"/>
      <c r="G465" s="4"/>
      <c r="H465" s="1"/>
    </row>
    <row r="466" spans="1:8" ht="19.5">
      <c r="A466" s="1"/>
      <c r="B466" s="2"/>
      <c r="C466" s="1"/>
      <c r="D466" s="208"/>
      <c r="E466" s="208"/>
      <c r="G466" s="4"/>
      <c r="H466" s="1"/>
    </row>
    <row r="467" spans="1:8" ht="19.5">
      <c r="A467" s="1"/>
      <c r="B467" s="2"/>
      <c r="C467" s="1"/>
      <c r="D467" s="208"/>
      <c r="E467" s="208"/>
      <c r="G467" s="4"/>
      <c r="H467" s="1"/>
    </row>
    <row r="468" spans="1:8" ht="19.5">
      <c r="A468" s="1"/>
      <c r="B468" s="2"/>
      <c r="C468" s="1"/>
      <c r="D468" s="208"/>
      <c r="E468" s="208"/>
      <c r="G468" s="4"/>
      <c r="H468" s="1"/>
    </row>
    <row r="469" spans="1:8" ht="19.5">
      <c r="A469" s="1"/>
      <c r="B469" s="2"/>
      <c r="C469" s="1"/>
      <c r="D469" s="208"/>
      <c r="E469" s="208"/>
      <c r="G469" s="4"/>
      <c r="H469" s="1"/>
    </row>
    <row r="470" spans="1:8" ht="19.5">
      <c r="A470" s="1"/>
      <c r="B470" s="2"/>
      <c r="C470" s="1"/>
      <c r="D470" s="208"/>
      <c r="E470" s="208"/>
      <c r="G470" s="4"/>
      <c r="H470" s="1"/>
    </row>
    <row r="471" spans="1:8" ht="19.5">
      <c r="A471" s="1"/>
      <c r="B471" s="2"/>
      <c r="C471" s="1"/>
      <c r="D471" s="208"/>
      <c r="E471" s="208"/>
      <c r="G471" s="4"/>
      <c r="H471" s="1"/>
    </row>
    <row r="472" spans="1:8" ht="19.5">
      <c r="A472" s="1"/>
      <c r="B472" s="2"/>
      <c r="C472" s="1"/>
      <c r="D472" s="208"/>
      <c r="E472" s="208"/>
      <c r="G472" s="4"/>
      <c r="H472" s="1"/>
    </row>
    <row r="473" spans="1:8" ht="19.5">
      <c r="A473" s="1"/>
      <c r="B473" s="2"/>
      <c r="C473" s="1"/>
      <c r="D473" s="208"/>
      <c r="E473" s="208"/>
      <c r="G473" s="4"/>
      <c r="H473" s="1"/>
    </row>
    <row r="474" spans="1:8" ht="19.5">
      <c r="A474" s="1"/>
      <c r="B474" s="2"/>
      <c r="C474" s="1"/>
      <c r="D474" s="208"/>
      <c r="E474" s="208"/>
      <c r="G474" s="4"/>
      <c r="H474" s="1"/>
    </row>
    <row r="475" spans="1:8" ht="19.5">
      <c r="A475" s="1"/>
      <c r="B475" s="2"/>
      <c r="C475" s="1"/>
      <c r="D475" s="208"/>
      <c r="E475" s="208"/>
      <c r="G475" s="4"/>
      <c r="H475" s="1"/>
    </row>
    <row r="476" spans="1:8" ht="19.5">
      <c r="A476" s="1"/>
      <c r="B476" s="2"/>
      <c r="C476" s="1"/>
      <c r="D476" s="208"/>
      <c r="E476" s="208"/>
      <c r="G476" s="4"/>
      <c r="H476" s="1"/>
    </row>
    <row r="477" spans="1:8" ht="19.5">
      <c r="A477" s="1"/>
      <c r="B477" s="2"/>
      <c r="C477" s="1"/>
      <c r="D477" s="208"/>
      <c r="E477" s="208"/>
      <c r="G477" s="4"/>
      <c r="H477" s="1"/>
    </row>
    <row r="478" spans="1:8" ht="19.5">
      <c r="A478" s="1"/>
      <c r="B478" s="2"/>
      <c r="C478" s="1"/>
      <c r="D478" s="208"/>
      <c r="E478" s="208"/>
      <c r="G478" s="4"/>
      <c r="H478" s="1"/>
    </row>
    <row r="479" spans="1:8" ht="19.5">
      <c r="A479" s="1"/>
      <c r="B479" s="2"/>
      <c r="C479" s="1"/>
      <c r="D479" s="208"/>
      <c r="E479" s="208"/>
      <c r="G479" s="4"/>
      <c r="H479" s="1"/>
    </row>
    <row r="480" spans="1:8" ht="19.5">
      <c r="A480" s="1"/>
      <c r="B480" s="2"/>
      <c r="C480" s="1"/>
      <c r="D480" s="208"/>
      <c r="E480" s="208"/>
      <c r="G480" s="4"/>
      <c r="H480" s="1"/>
    </row>
    <row r="481" spans="1:8" ht="19.5">
      <c r="A481" s="1"/>
      <c r="B481" s="2"/>
      <c r="C481" s="1"/>
      <c r="D481" s="208"/>
      <c r="E481" s="208"/>
      <c r="G481" s="4"/>
      <c r="H481" s="1"/>
    </row>
    <row r="482" spans="1:8" ht="19.5">
      <c r="A482" s="1"/>
      <c r="B482" s="2"/>
      <c r="C482" s="1"/>
      <c r="D482" s="208"/>
      <c r="E482" s="208"/>
      <c r="G482" s="4"/>
      <c r="H482" s="1"/>
    </row>
    <row r="483" spans="1:8" ht="19.5">
      <c r="A483" s="1"/>
      <c r="B483" s="2"/>
      <c r="C483" s="1"/>
      <c r="D483" s="208"/>
      <c r="E483" s="208"/>
      <c r="G483" s="4"/>
      <c r="H483" s="1"/>
    </row>
    <row r="484" spans="1:8" ht="19.5">
      <c r="A484" s="1"/>
      <c r="B484" s="2"/>
      <c r="C484" s="1"/>
      <c r="D484" s="208"/>
      <c r="E484" s="208"/>
      <c r="G484" s="4"/>
      <c r="H484" s="1"/>
    </row>
    <row r="485" spans="1:8" ht="19.5">
      <c r="A485" s="1"/>
      <c r="B485" s="2"/>
      <c r="C485" s="1"/>
      <c r="D485" s="208"/>
      <c r="E485" s="208"/>
      <c r="G485" s="4"/>
      <c r="H485" s="1"/>
    </row>
    <row r="486" spans="1:8" ht="19.5">
      <c r="A486" s="1"/>
      <c r="B486" s="2"/>
      <c r="C486" s="1"/>
      <c r="D486" s="208"/>
      <c r="E486" s="208"/>
      <c r="G486" s="4"/>
      <c r="H486" s="1"/>
    </row>
    <row r="487" spans="1:8" ht="19.5">
      <c r="A487" s="1"/>
      <c r="B487" s="2"/>
      <c r="C487" s="1"/>
      <c r="D487" s="208"/>
      <c r="E487" s="208"/>
      <c r="G487" s="4"/>
      <c r="H487" s="1"/>
    </row>
    <row r="488" spans="1:8" ht="19.5">
      <c r="A488" s="1"/>
      <c r="B488" s="2"/>
      <c r="C488" s="1"/>
      <c r="D488" s="208"/>
      <c r="E488" s="208"/>
      <c r="G488" s="4"/>
      <c r="H488" s="1"/>
    </row>
    <row r="489" spans="1:8" ht="19.5">
      <c r="A489" s="1"/>
      <c r="B489" s="2"/>
      <c r="C489" s="1"/>
      <c r="D489" s="208"/>
      <c r="E489" s="208"/>
      <c r="G489" s="4"/>
      <c r="H489" s="1"/>
    </row>
    <row r="490" spans="1:8" ht="19.5">
      <c r="A490" s="1"/>
      <c r="B490" s="2"/>
      <c r="C490" s="1"/>
      <c r="D490" s="208"/>
      <c r="E490" s="208"/>
      <c r="G490" s="4"/>
      <c r="H490" s="1"/>
    </row>
    <row r="491" spans="1:8" ht="19.5">
      <c r="A491" s="1"/>
      <c r="B491" s="2"/>
      <c r="C491" s="1"/>
      <c r="D491" s="208"/>
      <c r="E491" s="208"/>
      <c r="G491" s="4"/>
      <c r="H491" s="1"/>
    </row>
    <row r="492" spans="1:8" ht="19.5">
      <c r="A492" s="1"/>
      <c r="B492" s="2"/>
      <c r="C492" s="1"/>
      <c r="D492" s="208"/>
      <c r="E492" s="208"/>
      <c r="G492" s="4"/>
      <c r="H492" s="1"/>
    </row>
    <row r="493" spans="1:8" ht="19.5">
      <c r="A493" s="1"/>
      <c r="B493" s="2"/>
      <c r="C493" s="1"/>
      <c r="D493" s="208"/>
      <c r="E493" s="208"/>
      <c r="G493" s="4"/>
      <c r="H493" s="1"/>
    </row>
    <row r="494" spans="1:8" ht="19.5">
      <c r="A494" s="1"/>
      <c r="B494" s="2"/>
      <c r="C494" s="1"/>
      <c r="D494" s="208"/>
      <c r="E494" s="208"/>
      <c r="G494" s="4"/>
      <c r="H494" s="1"/>
    </row>
    <row r="495" spans="1:8" ht="19.5">
      <c r="A495" s="1"/>
      <c r="B495" s="2"/>
      <c r="C495" s="1"/>
      <c r="D495" s="208"/>
      <c r="E495" s="208"/>
      <c r="G495" s="4"/>
      <c r="H495" s="1"/>
    </row>
    <row r="496" spans="1:8" ht="19.5">
      <c r="A496" s="1"/>
      <c r="B496" s="2"/>
      <c r="C496" s="1"/>
      <c r="D496" s="208"/>
      <c r="E496" s="208"/>
      <c r="G496" s="4"/>
      <c r="H496" s="1"/>
    </row>
    <row r="497" spans="1:8" ht="19.5">
      <c r="A497" s="1"/>
      <c r="B497" s="2"/>
      <c r="C497" s="1"/>
      <c r="D497" s="208"/>
      <c r="E497" s="208"/>
      <c r="G497" s="4"/>
      <c r="H497" s="1"/>
    </row>
    <row r="498" spans="1:8" ht="19.5">
      <c r="A498" s="1"/>
      <c r="B498" s="2"/>
      <c r="C498" s="1"/>
      <c r="D498" s="208"/>
      <c r="E498" s="208"/>
      <c r="G498" s="4"/>
      <c r="H498" s="1"/>
    </row>
    <row r="499" spans="1:8" ht="19.5">
      <c r="A499" s="1"/>
      <c r="B499" s="2"/>
      <c r="C499" s="1"/>
      <c r="D499" s="208"/>
      <c r="E499" s="208"/>
      <c r="G499" s="4"/>
      <c r="H499" s="1"/>
    </row>
    <row r="500" spans="1:8" ht="19.5">
      <c r="A500" s="1"/>
      <c r="B500" s="2"/>
      <c r="C500" s="1"/>
      <c r="D500" s="208"/>
      <c r="E500" s="208"/>
      <c r="G500" s="4"/>
      <c r="H500" s="1"/>
    </row>
    <row r="501" spans="1:8" ht="19.5">
      <c r="A501" s="1"/>
      <c r="B501" s="2"/>
      <c r="C501" s="1"/>
      <c r="D501" s="208"/>
      <c r="E501" s="208"/>
      <c r="G501" s="4"/>
      <c r="H501" s="1"/>
    </row>
    <row r="502" spans="1:8" ht="19.5">
      <c r="A502" s="1"/>
      <c r="B502" s="2"/>
      <c r="C502" s="1"/>
      <c r="D502" s="208"/>
      <c r="E502" s="208"/>
      <c r="G502" s="4"/>
      <c r="H502" s="1"/>
    </row>
    <row r="503" spans="1:8" ht="19.5">
      <c r="A503" s="1"/>
      <c r="B503" s="2"/>
      <c r="C503" s="1"/>
      <c r="D503" s="208"/>
      <c r="E503" s="208"/>
      <c r="G503" s="4"/>
      <c r="H503" s="1"/>
    </row>
    <row r="504" spans="1:8" ht="19.5">
      <c r="A504" s="1"/>
      <c r="B504" s="2"/>
      <c r="C504" s="1"/>
      <c r="D504" s="208"/>
      <c r="E504" s="208"/>
      <c r="G504" s="4"/>
      <c r="H504" s="1"/>
    </row>
    <row r="505" spans="1:8" ht="19.5">
      <c r="A505" s="1"/>
      <c r="B505" s="2"/>
      <c r="C505" s="1"/>
      <c r="D505" s="208"/>
      <c r="E505" s="208"/>
      <c r="G505" s="4"/>
      <c r="H505" s="1"/>
    </row>
    <row r="506" spans="1:8" ht="19.5">
      <c r="A506" s="1"/>
      <c r="B506" s="2"/>
      <c r="C506" s="1"/>
      <c r="D506" s="208"/>
      <c r="E506" s="208"/>
      <c r="G506" s="4"/>
      <c r="H506" s="1"/>
    </row>
    <row r="507" spans="1:8" ht="19.5">
      <c r="A507" s="1"/>
      <c r="B507" s="2"/>
      <c r="C507" s="1"/>
      <c r="D507" s="208"/>
      <c r="E507" s="208"/>
      <c r="G507" s="4"/>
      <c r="H507" s="1"/>
    </row>
    <row r="508" spans="1:8" ht="19.5">
      <c r="A508" s="1"/>
      <c r="B508" s="2"/>
      <c r="C508" s="1"/>
      <c r="D508" s="208"/>
      <c r="E508" s="208"/>
      <c r="G508" s="4"/>
      <c r="H508" s="1"/>
    </row>
    <row r="509" spans="1:8" ht="19.5">
      <c r="A509" s="1"/>
      <c r="B509" s="2"/>
      <c r="C509" s="1"/>
      <c r="D509" s="208"/>
      <c r="E509" s="208"/>
      <c r="G509" s="4"/>
      <c r="H509" s="1"/>
    </row>
    <row r="510" spans="1:8" ht="19.5">
      <c r="A510" s="1"/>
      <c r="B510" s="2"/>
      <c r="C510" s="1"/>
      <c r="D510" s="208"/>
      <c r="E510" s="208"/>
      <c r="G510" s="4"/>
      <c r="H510" s="1"/>
    </row>
    <row r="511" spans="1:8" ht="19.5">
      <c r="A511" s="1"/>
      <c r="B511" s="2"/>
      <c r="C511" s="1"/>
      <c r="D511" s="208"/>
      <c r="E511" s="208"/>
      <c r="G511" s="4"/>
      <c r="H511" s="1"/>
    </row>
    <row r="512" spans="1:8" ht="19.5">
      <c r="A512" s="1"/>
      <c r="B512" s="2"/>
      <c r="C512" s="1"/>
      <c r="D512" s="208"/>
      <c r="E512" s="208"/>
      <c r="G512" s="4"/>
      <c r="H512" s="1"/>
    </row>
    <row r="513" spans="1:8" ht="19.5">
      <c r="A513" s="1"/>
      <c r="B513" s="2"/>
      <c r="C513" s="1"/>
      <c r="D513" s="208"/>
      <c r="E513" s="208"/>
      <c r="G513" s="4"/>
      <c r="H513" s="1"/>
    </row>
    <row r="514" spans="1:8" ht="19.5">
      <c r="A514" s="1"/>
      <c r="B514" s="2"/>
      <c r="C514" s="1"/>
      <c r="D514" s="208"/>
      <c r="E514" s="208"/>
      <c r="G514" s="4"/>
      <c r="H514" s="1"/>
    </row>
    <row r="515" spans="1:8" ht="19.5">
      <c r="A515" s="1"/>
      <c r="B515" s="2"/>
      <c r="C515" s="1"/>
      <c r="D515" s="208"/>
      <c r="E515" s="208"/>
      <c r="G515" s="4"/>
      <c r="H515" s="1"/>
    </row>
    <row r="516" spans="1:8" ht="19.5">
      <c r="A516" s="1"/>
      <c r="B516" s="2"/>
      <c r="C516" s="1"/>
      <c r="D516" s="208"/>
      <c r="E516" s="208"/>
      <c r="G516" s="4"/>
      <c r="H516" s="1"/>
    </row>
    <row r="517" spans="1:8" ht="19.5">
      <c r="A517" s="1"/>
      <c r="B517" s="2"/>
      <c r="C517" s="1"/>
      <c r="D517" s="208"/>
      <c r="E517" s="208"/>
      <c r="G517" s="4"/>
      <c r="H517" s="1"/>
    </row>
    <row r="518" spans="1:8" ht="19.5">
      <c r="A518" s="1"/>
      <c r="B518" s="2"/>
      <c r="C518" s="1"/>
      <c r="D518" s="208"/>
      <c r="E518" s="208"/>
      <c r="G518" s="4"/>
      <c r="H518" s="1"/>
    </row>
    <row r="519" spans="1:8" ht="19.5">
      <c r="A519" s="1"/>
      <c r="B519" s="2"/>
      <c r="C519" s="1"/>
      <c r="D519" s="208"/>
      <c r="E519" s="208"/>
      <c r="G519" s="4"/>
      <c r="H519" s="1"/>
    </row>
    <row r="520" spans="1:8" ht="19.5">
      <c r="A520" s="1"/>
      <c r="B520" s="2"/>
      <c r="C520" s="1"/>
      <c r="D520" s="208"/>
      <c r="E520" s="208"/>
      <c r="G520" s="4"/>
      <c r="H520" s="1"/>
    </row>
    <row r="521" spans="1:8" ht="19.5">
      <c r="A521" s="1"/>
      <c r="B521" s="2"/>
      <c r="C521" s="1"/>
      <c r="D521" s="208"/>
      <c r="E521" s="208"/>
      <c r="G521" s="4"/>
      <c r="H521" s="1"/>
    </row>
    <row r="522" spans="1:8" ht="19.5">
      <c r="A522" s="1"/>
      <c r="B522" s="2"/>
      <c r="C522" s="1"/>
      <c r="D522" s="208"/>
      <c r="E522" s="208"/>
      <c r="G522" s="4"/>
      <c r="H522" s="1"/>
    </row>
    <row r="523" spans="1:8" ht="19.5">
      <c r="A523" s="1"/>
      <c r="B523" s="2"/>
      <c r="C523" s="1"/>
      <c r="D523" s="208"/>
      <c r="E523" s="208"/>
      <c r="G523" s="4"/>
      <c r="H523" s="1"/>
    </row>
    <row r="524" spans="1:8" ht="19.5">
      <c r="A524" s="1"/>
      <c r="B524" s="2"/>
      <c r="C524" s="1"/>
      <c r="D524" s="208"/>
      <c r="E524" s="208"/>
      <c r="G524" s="4"/>
      <c r="H524" s="1"/>
    </row>
    <row r="525" spans="1:8" ht="19.5">
      <c r="A525" s="1"/>
      <c r="B525" s="2"/>
      <c r="C525" s="1"/>
      <c r="D525" s="208"/>
      <c r="E525" s="208"/>
      <c r="G525" s="4"/>
      <c r="H525" s="1"/>
    </row>
    <row r="526" spans="1:8" ht="19.5">
      <c r="A526" s="1"/>
      <c r="B526" s="2"/>
      <c r="C526" s="1"/>
      <c r="D526" s="208"/>
      <c r="E526" s="208"/>
      <c r="G526" s="4"/>
      <c r="H526" s="1"/>
    </row>
    <row r="527" spans="1:8" ht="19.5">
      <c r="A527" s="1"/>
      <c r="B527" s="2"/>
      <c r="C527" s="1"/>
      <c r="D527" s="208"/>
      <c r="E527" s="208"/>
      <c r="G527" s="4"/>
      <c r="H527" s="1"/>
    </row>
    <row r="528" spans="1:8" ht="19.5">
      <c r="A528" s="1"/>
      <c r="B528" s="2"/>
      <c r="C528" s="1"/>
      <c r="D528" s="208"/>
      <c r="E528" s="208"/>
      <c r="G528" s="4"/>
      <c r="H528" s="1"/>
    </row>
    <row r="529" spans="1:8" ht="19.5">
      <c r="A529" s="1"/>
      <c r="B529" s="2"/>
      <c r="C529" s="1"/>
      <c r="D529" s="208"/>
      <c r="E529" s="208"/>
      <c r="G529" s="4"/>
      <c r="H529" s="1"/>
    </row>
    <row r="530" spans="1:8" ht="19.5">
      <c r="A530" s="1"/>
      <c r="B530" s="2"/>
      <c r="C530" s="1"/>
      <c r="D530" s="208"/>
      <c r="E530" s="208"/>
      <c r="G530" s="4"/>
      <c r="H530" s="1"/>
    </row>
    <row r="531" spans="1:8" ht="19.5">
      <c r="A531" s="1"/>
      <c r="B531" s="2"/>
      <c r="C531" s="1"/>
      <c r="D531" s="208"/>
      <c r="E531" s="208"/>
      <c r="G531" s="4"/>
      <c r="H531" s="1"/>
    </row>
    <row r="532" spans="1:8" ht="19.5">
      <c r="A532" s="1"/>
      <c r="B532" s="2"/>
      <c r="C532" s="1"/>
      <c r="D532" s="208"/>
      <c r="E532" s="208"/>
      <c r="G532" s="4"/>
      <c r="H532" s="1"/>
    </row>
    <row r="533" spans="1:8" ht="19.5">
      <c r="A533" s="1"/>
      <c r="B533" s="2"/>
      <c r="C533" s="1"/>
      <c r="D533" s="208"/>
      <c r="E533" s="208"/>
      <c r="G533" s="4"/>
      <c r="H533" s="1"/>
    </row>
    <row r="534" spans="1:8" ht="19.5">
      <c r="A534" s="1"/>
      <c r="B534" s="2"/>
      <c r="C534" s="1"/>
      <c r="D534" s="208"/>
      <c r="E534" s="208"/>
      <c r="G534" s="4"/>
      <c r="H534" s="1"/>
    </row>
    <row r="535" spans="1:8" ht="19.5">
      <c r="A535" s="1"/>
      <c r="B535" s="2"/>
      <c r="C535" s="1"/>
      <c r="D535" s="208"/>
      <c r="E535" s="208"/>
      <c r="G535" s="4"/>
      <c r="H535" s="1"/>
    </row>
    <row r="536" spans="1:8" ht="19.5">
      <c r="A536" s="1"/>
      <c r="B536" s="2"/>
      <c r="C536" s="1"/>
      <c r="D536" s="208"/>
      <c r="E536" s="208"/>
      <c r="G536" s="4"/>
      <c r="H536" s="1"/>
    </row>
    <row r="537" spans="1:8" ht="19.5">
      <c r="A537" s="1"/>
      <c r="B537" s="2"/>
      <c r="C537" s="1"/>
      <c r="D537" s="208"/>
      <c r="E537" s="208"/>
      <c r="G537" s="4"/>
      <c r="H537" s="1"/>
    </row>
    <row r="538" spans="1:8" ht="19.5">
      <c r="A538" s="1"/>
      <c r="B538" s="2"/>
      <c r="C538" s="1"/>
      <c r="D538" s="208"/>
      <c r="E538" s="208"/>
      <c r="G538" s="4"/>
      <c r="H538" s="1"/>
    </row>
    <row r="539" spans="1:8" ht="19.5">
      <c r="A539" s="1"/>
      <c r="B539" s="2"/>
      <c r="C539" s="1"/>
      <c r="D539" s="208"/>
      <c r="E539" s="208"/>
      <c r="G539" s="4"/>
      <c r="H539" s="1"/>
    </row>
    <row r="540" spans="1:8" ht="19.5">
      <c r="A540" s="1"/>
      <c r="B540" s="2"/>
      <c r="C540" s="1"/>
      <c r="D540" s="208"/>
      <c r="E540" s="208"/>
      <c r="G540" s="4"/>
      <c r="H540" s="1"/>
    </row>
    <row r="541" spans="1:8" ht="19.5">
      <c r="A541" s="1"/>
      <c r="B541" s="2"/>
      <c r="C541" s="1"/>
      <c r="D541" s="208"/>
      <c r="E541" s="208"/>
      <c r="G541" s="4"/>
      <c r="H541" s="1"/>
    </row>
    <row r="542" spans="1:8" ht="19.5">
      <c r="A542" s="1"/>
      <c r="B542" s="2"/>
      <c r="C542" s="1"/>
      <c r="D542" s="208"/>
      <c r="E542" s="208"/>
      <c r="G542" s="4"/>
      <c r="H542" s="1"/>
    </row>
    <row r="543" spans="1:8" ht="19.5">
      <c r="A543" s="1"/>
      <c r="B543" s="2"/>
      <c r="C543" s="1"/>
      <c r="D543" s="208"/>
      <c r="E543" s="208"/>
      <c r="G543" s="4"/>
      <c r="H543" s="1"/>
    </row>
    <row r="544" spans="1:8" ht="19.5">
      <c r="A544" s="1"/>
      <c r="B544" s="2"/>
      <c r="C544" s="1"/>
      <c r="D544" s="208"/>
      <c r="E544" s="208"/>
      <c r="G544" s="4"/>
      <c r="H544" s="1"/>
    </row>
    <row r="545" spans="1:8" ht="19.5">
      <c r="A545" s="1"/>
      <c r="B545" s="2"/>
      <c r="C545" s="1"/>
      <c r="D545" s="208"/>
      <c r="E545" s="208"/>
      <c r="G545" s="4"/>
      <c r="H545" s="1"/>
    </row>
    <row r="546" spans="1:8" ht="19.5">
      <c r="A546" s="1"/>
      <c r="B546" s="2"/>
      <c r="C546" s="1"/>
      <c r="D546" s="208"/>
      <c r="E546" s="208"/>
      <c r="G546" s="4"/>
      <c r="H546" s="1"/>
    </row>
    <row r="547" spans="1:8" ht="19.5">
      <c r="A547" s="1"/>
      <c r="B547" s="2"/>
      <c r="C547" s="1"/>
      <c r="D547" s="208"/>
      <c r="E547" s="208"/>
      <c r="G547" s="4"/>
      <c r="H547" s="1"/>
    </row>
    <row r="548" spans="1:8" ht="19.5">
      <c r="A548" s="1"/>
      <c r="B548" s="2"/>
      <c r="C548" s="1"/>
      <c r="D548" s="208"/>
      <c r="E548" s="208"/>
      <c r="G548" s="4"/>
      <c r="H548" s="1"/>
    </row>
    <row r="549" spans="1:8" ht="19.5">
      <c r="A549" s="1"/>
      <c r="B549" s="2"/>
      <c r="C549" s="1"/>
      <c r="D549" s="208"/>
      <c r="E549" s="208"/>
      <c r="G549" s="4"/>
      <c r="H549" s="1"/>
    </row>
    <row r="550" spans="1:8" ht="19.5">
      <c r="A550" s="1"/>
      <c r="B550" s="2"/>
      <c r="C550" s="1"/>
      <c r="D550" s="208"/>
      <c r="E550" s="208"/>
      <c r="G550" s="4"/>
      <c r="H550" s="1"/>
    </row>
    <row r="551" spans="1:8" ht="19.5">
      <c r="A551" s="1"/>
      <c r="B551" s="2"/>
      <c r="C551" s="1"/>
      <c r="D551" s="208"/>
      <c r="E551" s="208"/>
      <c r="G551" s="4"/>
      <c r="H551" s="1"/>
    </row>
    <row r="552" spans="1:8" ht="19.5">
      <c r="A552" s="1"/>
      <c r="B552" s="2"/>
      <c r="C552" s="1"/>
      <c r="D552" s="208"/>
      <c r="E552" s="208"/>
      <c r="G552" s="4"/>
      <c r="H552" s="1"/>
    </row>
    <row r="553" spans="1:8" ht="19.5">
      <c r="A553" s="1"/>
      <c r="B553" s="2"/>
      <c r="C553" s="1"/>
      <c r="D553" s="208"/>
      <c r="E553" s="208"/>
      <c r="G553" s="4"/>
      <c r="H553" s="1"/>
    </row>
    <row r="554" spans="1:8" ht="19.5">
      <c r="A554" s="1"/>
      <c r="B554" s="2"/>
      <c r="C554" s="1"/>
      <c r="D554" s="208"/>
      <c r="E554" s="208"/>
      <c r="G554" s="4"/>
      <c r="H554" s="1"/>
    </row>
    <row r="555" spans="1:8" ht="19.5">
      <c r="A555" s="1"/>
      <c r="B555" s="2"/>
      <c r="C555" s="1"/>
      <c r="D555" s="208"/>
      <c r="E555" s="208"/>
      <c r="G555" s="4"/>
      <c r="H555" s="1"/>
    </row>
    <row r="556" spans="1:8" ht="19.5">
      <c r="A556" s="1"/>
      <c r="B556" s="2"/>
      <c r="C556" s="1"/>
      <c r="D556" s="208"/>
      <c r="E556" s="208"/>
      <c r="G556" s="4"/>
      <c r="H556" s="1"/>
    </row>
    <row r="557" spans="1:8" ht="19.5">
      <c r="A557" s="1"/>
      <c r="B557" s="2"/>
      <c r="C557" s="1"/>
      <c r="D557" s="208"/>
      <c r="E557" s="208"/>
      <c r="G557" s="4"/>
      <c r="H557" s="1"/>
    </row>
    <row r="558" spans="1:8" ht="19.5">
      <c r="A558" s="1"/>
      <c r="B558" s="2"/>
      <c r="C558" s="1"/>
      <c r="D558" s="208"/>
      <c r="E558" s="208"/>
      <c r="G558" s="4"/>
      <c r="H558" s="1"/>
    </row>
    <row r="559" spans="1:8" ht="19.5">
      <c r="A559" s="1"/>
      <c r="B559" s="2"/>
      <c r="C559" s="1"/>
      <c r="D559" s="208"/>
      <c r="E559" s="208"/>
      <c r="G559" s="4"/>
      <c r="H559" s="1"/>
    </row>
    <row r="560" spans="1:8" ht="19.5">
      <c r="A560" s="1"/>
      <c r="B560" s="2"/>
      <c r="C560" s="1"/>
      <c r="D560" s="208"/>
      <c r="E560" s="208"/>
      <c r="G560" s="4"/>
      <c r="H560" s="1"/>
    </row>
    <row r="561" spans="1:8" ht="19.5">
      <c r="A561" s="1"/>
      <c r="B561" s="2"/>
      <c r="C561" s="1"/>
      <c r="D561" s="208"/>
      <c r="E561" s="208"/>
      <c r="G561" s="4"/>
      <c r="H561" s="1"/>
    </row>
    <row r="562" spans="1:8" ht="19.5">
      <c r="A562" s="1"/>
      <c r="B562" s="2"/>
      <c r="C562" s="1"/>
      <c r="D562" s="208"/>
      <c r="E562" s="208"/>
      <c r="G562" s="4"/>
      <c r="H562" s="1"/>
    </row>
    <row r="563" spans="1:8" ht="19.5">
      <c r="A563" s="1"/>
      <c r="B563" s="2"/>
      <c r="C563" s="1"/>
      <c r="D563" s="208"/>
      <c r="E563" s="208"/>
      <c r="G563" s="4"/>
      <c r="H563" s="1"/>
    </row>
    <row r="564" spans="1:8" ht="19.5">
      <c r="A564" s="1"/>
      <c r="B564" s="2"/>
      <c r="C564" s="1"/>
      <c r="D564" s="208"/>
      <c r="E564" s="208"/>
      <c r="G564" s="4"/>
      <c r="H564" s="1"/>
    </row>
    <row r="565" spans="1:8" ht="19.5">
      <c r="A565" s="1"/>
      <c r="B565" s="2"/>
      <c r="C565" s="1"/>
      <c r="D565" s="208"/>
      <c r="E565" s="208"/>
      <c r="G565" s="4"/>
      <c r="H565" s="1"/>
    </row>
    <row r="566" spans="1:8" ht="19.5">
      <c r="A566" s="1"/>
      <c r="B566" s="2"/>
      <c r="C566" s="1"/>
      <c r="D566" s="208"/>
      <c r="E566" s="208"/>
      <c r="G566" s="4"/>
      <c r="H566" s="1"/>
    </row>
    <row r="567" spans="1:8" ht="19.5">
      <c r="A567" s="1"/>
      <c r="B567" s="2"/>
      <c r="C567" s="1"/>
      <c r="D567" s="208"/>
      <c r="E567" s="208"/>
      <c r="G567" s="4"/>
      <c r="H567" s="1"/>
    </row>
    <row r="568" spans="1:8" ht="19.5">
      <c r="A568" s="1"/>
      <c r="B568" s="2"/>
      <c r="C568" s="1"/>
      <c r="D568" s="208"/>
      <c r="E568" s="208"/>
      <c r="G568" s="4"/>
      <c r="H568" s="1"/>
    </row>
    <row r="569" spans="1:8" ht="19.5">
      <c r="A569" s="1"/>
      <c r="B569" s="2"/>
      <c r="C569" s="1"/>
      <c r="D569" s="208"/>
      <c r="E569" s="208"/>
      <c r="G569" s="4"/>
      <c r="H569" s="1"/>
    </row>
    <row r="570" spans="1:8" ht="19.5">
      <c r="A570" s="1"/>
      <c r="B570" s="2"/>
      <c r="C570" s="1"/>
      <c r="D570" s="208"/>
      <c r="E570" s="208"/>
      <c r="G570" s="4"/>
      <c r="H570" s="1"/>
    </row>
    <row r="571" spans="1:8" ht="19.5">
      <c r="A571" s="1"/>
      <c r="B571" s="2"/>
      <c r="C571" s="1"/>
      <c r="D571" s="208"/>
      <c r="E571" s="208"/>
      <c r="G571" s="4"/>
      <c r="H571" s="1"/>
    </row>
    <row r="572" spans="1:8" ht="19.5">
      <c r="A572" s="1"/>
      <c r="B572" s="2"/>
      <c r="C572" s="1"/>
      <c r="D572" s="208"/>
      <c r="E572" s="208"/>
      <c r="G572" s="4"/>
      <c r="H572" s="1"/>
    </row>
    <row r="573" spans="1:8" ht="19.5">
      <c r="A573" s="1"/>
      <c r="B573" s="2"/>
      <c r="C573" s="1"/>
      <c r="D573" s="208"/>
      <c r="E573" s="208"/>
      <c r="G573" s="4"/>
      <c r="H573" s="1"/>
    </row>
    <row r="574" spans="1:8" ht="19.5">
      <c r="A574" s="1"/>
      <c r="B574" s="2"/>
      <c r="C574" s="1"/>
      <c r="D574" s="208"/>
      <c r="E574" s="208"/>
      <c r="G574" s="4"/>
      <c r="H574" s="1"/>
    </row>
    <row r="575" spans="1:8" ht="19.5">
      <c r="A575" s="1"/>
      <c r="B575" s="2"/>
      <c r="C575" s="1"/>
      <c r="D575" s="208"/>
      <c r="E575" s="208"/>
      <c r="G575" s="4"/>
      <c r="H575" s="1"/>
    </row>
    <row r="576" spans="1:8" ht="19.5">
      <c r="A576" s="1"/>
      <c r="B576" s="2"/>
      <c r="C576" s="1"/>
      <c r="D576" s="208"/>
      <c r="E576" s="208"/>
      <c r="G576" s="4"/>
      <c r="H576" s="1"/>
    </row>
    <row r="577" spans="1:8" ht="19.5">
      <c r="A577" s="1"/>
      <c r="B577" s="2"/>
      <c r="C577" s="1"/>
      <c r="D577" s="208"/>
      <c r="E577" s="208"/>
      <c r="G577" s="4"/>
      <c r="H577" s="1"/>
    </row>
    <row r="578" spans="1:8" ht="19.5">
      <c r="A578" s="1"/>
      <c r="B578" s="2"/>
      <c r="C578" s="1"/>
      <c r="D578" s="208"/>
      <c r="E578" s="208"/>
      <c r="G578" s="4"/>
      <c r="H578" s="1"/>
    </row>
    <row r="579" spans="1:8" ht="19.5">
      <c r="A579" s="1"/>
      <c r="B579" s="2"/>
      <c r="C579" s="1"/>
      <c r="D579" s="208"/>
      <c r="E579" s="208"/>
      <c r="G579" s="4"/>
      <c r="H579" s="1"/>
    </row>
    <row r="580" spans="1:8" ht="19.5">
      <c r="A580" s="1"/>
      <c r="B580" s="2"/>
      <c r="C580" s="1"/>
      <c r="D580" s="208"/>
      <c r="E580" s="208"/>
      <c r="G580" s="4"/>
      <c r="H580" s="1"/>
    </row>
    <row r="581" spans="1:8" ht="19.5">
      <c r="A581" s="1"/>
      <c r="B581" s="2"/>
      <c r="C581" s="1"/>
      <c r="D581" s="208"/>
      <c r="E581" s="208"/>
      <c r="G581" s="4"/>
      <c r="H581" s="1"/>
    </row>
    <row r="582" spans="1:8" ht="19.5">
      <c r="A582" s="1"/>
      <c r="B582" s="2"/>
      <c r="C582" s="1"/>
      <c r="D582" s="208"/>
      <c r="E582" s="208"/>
      <c r="G582" s="4"/>
      <c r="H582" s="1"/>
    </row>
    <row r="583" spans="1:8" ht="19.5">
      <c r="A583" s="1"/>
      <c r="B583" s="2"/>
      <c r="C583" s="1"/>
      <c r="D583" s="208"/>
      <c r="E583" s="208"/>
      <c r="G583" s="4"/>
      <c r="H583" s="1"/>
    </row>
    <row r="584" spans="1:8" ht="19.5">
      <c r="A584" s="1"/>
      <c r="B584" s="2"/>
      <c r="C584" s="1"/>
      <c r="D584" s="208"/>
      <c r="E584" s="208"/>
      <c r="G584" s="4"/>
      <c r="H584" s="1"/>
    </row>
    <row r="585" spans="1:8" ht="19.5">
      <c r="A585" s="1"/>
      <c r="B585" s="2"/>
      <c r="C585" s="1"/>
      <c r="D585" s="208"/>
      <c r="E585" s="208"/>
      <c r="G585" s="4"/>
      <c r="H585" s="1"/>
    </row>
    <row r="586" spans="1:8" ht="19.5">
      <c r="A586" s="1"/>
      <c r="B586" s="2"/>
      <c r="C586" s="1"/>
      <c r="D586" s="208"/>
      <c r="E586" s="208"/>
      <c r="G586" s="4"/>
      <c r="H586" s="1"/>
    </row>
    <row r="587" spans="1:8" ht="19.5">
      <c r="A587" s="1"/>
      <c r="B587" s="2"/>
      <c r="C587" s="1"/>
      <c r="D587" s="208"/>
      <c r="E587" s="208"/>
      <c r="G587" s="4"/>
      <c r="H587" s="1"/>
    </row>
    <row r="588" spans="1:8" ht="19.5">
      <c r="A588" s="1"/>
      <c r="B588" s="2"/>
      <c r="C588" s="1"/>
      <c r="D588" s="208"/>
      <c r="E588" s="208"/>
      <c r="G588" s="4"/>
      <c r="H588" s="1"/>
    </row>
    <row r="589" spans="1:8" ht="19.5">
      <c r="A589" s="1"/>
      <c r="B589" s="2"/>
      <c r="C589" s="1"/>
      <c r="D589" s="208"/>
      <c r="E589" s="208"/>
      <c r="G589" s="4"/>
      <c r="H589" s="1"/>
    </row>
    <row r="590" spans="1:8" ht="19.5">
      <c r="A590" s="1"/>
      <c r="B590" s="2"/>
      <c r="C590" s="1"/>
      <c r="D590" s="208"/>
      <c r="E590" s="208"/>
      <c r="G590" s="4"/>
      <c r="H590" s="1"/>
    </row>
    <row r="591" spans="1:8" ht="19.5">
      <c r="A591" s="1"/>
      <c r="B591" s="2"/>
      <c r="C591" s="1"/>
      <c r="D591" s="208"/>
      <c r="E591" s="208"/>
      <c r="G591" s="4"/>
      <c r="H591" s="1"/>
    </row>
    <row r="592" spans="1:8" ht="19.5">
      <c r="A592" s="1"/>
      <c r="B592" s="2"/>
      <c r="C592" s="1"/>
      <c r="D592" s="208"/>
      <c r="E592" s="208"/>
      <c r="G592" s="4"/>
      <c r="H592" s="1"/>
    </row>
    <row r="593" spans="1:8" ht="19.5">
      <c r="A593" s="1"/>
      <c r="B593" s="2"/>
      <c r="C593" s="1"/>
      <c r="D593" s="208"/>
      <c r="E593" s="208"/>
      <c r="G593" s="4"/>
      <c r="H593" s="1"/>
    </row>
    <row r="594" spans="1:8" ht="19.5">
      <c r="A594" s="1"/>
      <c r="B594" s="2"/>
      <c r="C594" s="1"/>
      <c r="D594" s="208"/>
      <c r="E594" s="208"/>
      <c r="G594" s="4"/>
      <c r="H594" s="1"/>
    </row>
    <row r="595" spans="1:8" ht="19.5">
      <c r="A595" s="1"/>
      <c r="B595" s="2"/>
      <c r="C595" s="1"/>
      <c r="D595" s="208"/>
      <c r="E595" s="208"/>
      <c r="G595" s="4"/>
      <c r="H595" s="1"/>
    </row>
    <row r="596" spans="1:8" ht="19.5">
      <c r="A596" s="1"/>
      <c r="B596" s="2"/>
      <c r="C596" s="1"/>
      <c r="D596" s="208"/>
      <c r="E596" s="208"/>
      <c r="G596" s="4"/>
      <c r="H596" s="1"/>
    </row>
    <row r="597" spans="1:8" ht="19.5">
      <c r="A597" s="1"/>
      <c r="B597" s="2"/>
      <c r="C597" s="1"/>
      <c r="D597" s="208"/>
      <c r="E597" s="208"/>
      <c r="G597" s="4"/>
      <c r="H597" s="1"/>
    </row>
    <row r="598" spans="1:8" ht="19.5">
      <c r="A598" s="1"/>
      <c r="B598" s="2"/>
      <c r="C598" s="1"/>
      <c r="D598" s="208"/>
      <c r="E598" s="208"/>
      <c r="G598" s="4"/>
      <c r="H598" s="1"/>
    </row>
    <row r="599" spans="1:8" ht="19.5">
      <c r="A599" s="1"/>
      <c r="B599" s="2"/>
      <c r="C599" s="1"/>
      <c r="D599" s="208"/>
      <c r="E599" s="208"/>
      <c r="G599" s="4"/>
      <c r="H599" s="1"/>
    </row>
    <row r="600" spans="1:8" ht="19.5">
      <c r="A600" s="1"/>
      <c r="B600" s="2"/>
      <c r="C600" s="1"/>
      <c r="D600" s="208"/>
      <c r="E600" s="208"/>
      <c r="G600" s="4"/>
      <c r="H600" s="1"/>
    </row>
    <row r="601" spans="1:8" ht="19.5">
      <c r="A601" s="1"/>
      <c r="B601" s="2"/>
      <c r="C601" s="1"/>
      <c r="D601" s="208"/>
      <c r="E601" s="208"/>
      <c r="G601" s="4"/>
      <c r="H601" s="1"/>
    </row>
    <row r="602" spans="1:8" ht="19.5">
      <c r="A602" s="1"/>
      <c r="B602" s="2"/>
      <c r="C602" s="1"/>
      <c r="D602" s="208"/>
      <c r="E602" s="208"/>
      <c r="G602" s="4"/>
      <c r="H602" s="1"/>
    </row>
    <row r="603" spans="1:8" ht="19.5">
      <c r="A603" s="1"/>
      <c r="B603" s="2"/>
      <c r="C603" s="1"/>
      <c r="D603" s="208"/>
      <c r="E603" s="208"/>
      <c r="G603" s="4"/>
      <c r="H603" s="1"/>
    </row>
    <row r="604" spans="1:8" ht="19.5">
      <c r="A604" s="1"/>
      <c r="B604" s="2"/>
      <c r="C604" s="1"/>
      <c r="D604" s="208"/>
      <c r="E604" s="208"/>
      <c r="G604" s="4"/>
      <c r="H604" s="1"/>
    </row>
    <row r="605" spans="1:8" ht="19.5">
      <c r="A605" s="1"/>
      <c r="B605" s="2"/>
      <c r="C605" s="1"/>
      <c r="D605" s="208"/>
      <c r="E605" s="208"/>
      <c r="G605" s="4"/>
      <c r="H605" s="1"/>
    </row>
    <row r="606" spans="1:8" ht="19.5">
      <c r="A606" s="1"/>
      <c r="B606" s="2"/>
      <c r="C606" s="1"/>
      <c r="D606" s="208"/>
      <c r="E606" s="208"/>
      <c r="G606" s="4"/>
      <c r="H606" s="1"/>
    </row>
    <row r="607" spans="1:8" ht="19.5">
      <c r="A607" s="1"/>
      <c r="B607" s="2"/>
      <c r="C607" s="1"/>
      <c r="D607" s="208"/>
      <c r="E607" s="208"/>
      <c r="G607" s="4"/>
      <c r="H607" s="1"/>
    </row>
    <row r="608" spans="1:8" ht="19.5">
      <c r="A608" s="1"/>
      <c r="B608" s="2"/>
      <c r="C608" s="1"/>
      <c r="D608" s="208"/>
      <c r="E608" s="208"/>
      <c r="G608" s="4"/>
      <c r="H608" s="1"/>
    </row>
    <row r="609" spans="1:8" ht="19.5">
      <c r="A609" s="1"/>
      <c r="B609" s="2"/>
      <c r="C609" s="1"/>
      <c r="D609" s="208"/>
      <c r="E609" s="208"/>
      <c r="G609" s="4"/>
      <c r="H609" s="1"/>
    </row>
    <row r="610" spans="1:8" ht="19.5">
      <c r="A610" s="1"/>
      <c r="B610" s="2"/>
      <c r="C610" s="1"/>
      <c r="D610" s="208"/>
      <c r="E610" s="208"/>
      <c r="G610" s="4"/>
      <c r="H610" s="1"/>
    </row>
    <row r="611" spans="1:8" ht="19.5">
      <c r="A611" s="1"/>
      <c r="B611" s="2"/>
      <c r="C611" s="1"/>
      <c r="D611" s="208"/>
      <c r="E611" s="208"/>
      <c r="G611" s="4"/>
      <c r="H611" s="1"/>
    </row>
    <row r="612" spans="1:8" ht="19.5">
      <c r="A612" s="1"/>
      <c r="B612" s="2"/>
      <c r="C612" s="1"/>
      <c r="D612" s="208"/>
      <c r="E612" s="208"/>
      <c r="G612" s="4"/>
      <c r="H612" s="1"/>
    </row>
    <row r="613" spans="1:8" ht="19.5">
      <c r="A613" s="1"/>
      <c r="B613" s="2"/>
      <c r="C613" s="1"/>
      <c r="D613" s="208"/>
      <c r="E613" s="208"/>
      <c r="G613" s="4"/>
      <c r="H613" s="1"/>
    </row>
    <row r="614" spans="1:8" ht="19.5">
      <c r="A614" s="1"/>
      <c r="B614" s="2"/>
      <c r="C614" s="1"/>
      <c r="D614" s="208"/>
      <c r="E614" s="208"/>
      <c r="G614" s="4"/>
      <c r="H614" s="1"/>
    </row>
    <row r="615" spans="1:8" ht="19.5">
      <c r="A615" s="1"/>
      <c r="B615" s="2"/>
      <c r="C615" s="1"/>
      <c r="D615" s="208"/>
      <c r="E615" s="208"/>
      <c r="G615" s="4"/>
      <c r="H615" s="1"/>
    </row>
    <row r="616" spans="1:8" ht="19.5">
      <c r="A616" s="1"/>
      <c r="B616" s="2"/>
      <c r="C616" s="1"/>
      <c r="D616" s="208"/>
      <c r="E616" s="208"/>
      <c r="G616" s="4"/>
      <c r="H616" s="1"/>
    </row>
    <row r="617" spans="1:8" ht="19.5">
      <c r="A617" s="1"/>
      <c r="B617" s="2"/>
      <c r="C617" s="1"/>
      <c r="D617" s="208"/>
      <c r="E617" s="208"/>
      <c r="G617" s="4"/>
      <c r="H617" s="1"/>
    </row>
    <row r="618" spans="1:8" ht="19.5">
      <c r="A618" s="1"/>
      <c r="B618" s="2"/>
      <c r="C618" s="1"/>
      <c r="D618" s="208"/>
      <c r="E618" s="208"/>
      <c r="G618" s="4"/>
      <c r="H618" s="1"/>
    </row>
    <row r="619" spans="1:8" ht="19.5">
      <c r="A619" s="1"/>
      <c r="B619" s="2"/>
      <c r="C619" s="1"/>
      <c r="D619" s="208"/>
      <c r="E619" s="208"/>
      <c r="G619" s="4"/>
      <c r="H619" s="1"/>
    </row>
    <row r="620" spans="1:8" ht="19.5">
      <c r="A620" s="1"/>
      <c r="B620" s="2"/>
      <c r="C620" s="1"/>
      <c r="D620" s="208"/>
      <c r="E620" s="208"/>
      <c r="G620" s="4"/>
      <c r="H620" s="1"/>
    </row>
    <row r="621" spans="1:8" ht="19.5">
      <c r="A621" s="1"/>
      <c r="B621" s="2"/>
      <c r="C621" s="1"/>
      <c r="D621" s="208"/>
      <c r="E621" s="208"/>
      <c r="G621" s="4"/>
      <c r="H621" s="1"/>
    </row>
    <row r="622" spans="1:8" ht="19.5">
      <c r="A622" s="1"/>
      <c r="B622" s="2"/>
      <c r="C622" s="1"/>
      <c r="D622" s="208"/>
      <c r="E622" s="208"/>
      <c r="G622" s="4"/>
      <c r="H622" s="1"/>
    </row>
    <row r="623" spans="1:8" ht="19.5">
      <c r="A623" s="1"/>
      <c r="B623" s="2"/>
      <c r="C623" s="1"/>
      <c r="D623" s="208"/>
      <c r="E623" s="208"/>
      <c r="G623" s="4"/>
      <c r="H623" s="1"/>
    </row>
    <row r="624" spans="1:8" ht="19.5">
      <c r="A624" s="1"/>
      <c r="B624" s="2"/>
      <c r="C624" s="1"/>
      <c r="D624" s="208"/>
      <c r="E624" s="208"/>
      <c r="G624" s="4"/>
      <c r="H624" s="1"/>
    </row>
    <row r="625" spans="1:8" ht="19.5">
      <c r="A625" s="1"/>
      <c r="B625" s="2"/>
      <c r="C625" s="1"/>
      <c r="D625" s="208"/>
      <c r="E625" s="208"/>
      <c r="G625" s="4"/>
      <c r="H625" s="1"/>
    </row>
    <row r="626" spans="1:8" ht="19.5">
      <c r="A626" s="1"/>
      <c r="B626" s="2"/>
      <c r="C626" s="1"/>
      <c r="D626" s="208"/>
      <c r="E626" s="208"/>
      <c r="G626" s="4"/>
      <c r="H626" s="1"/>
    </row>
    <row r="627" spans="1:8" ht="19.5">
      <c r="A627" s="1"/>
      <c r="B627" s="2"/>
      <c r="C627" s="1"/>
      <c r="D627" s="208"/>
      <c r="E627" s="208"/>
      <c r="G627" s="4"/>
      <c r="H627" s="1"/>
    </row>
    <row r="628" spans="1:8" ht="19.5">
      <c r="A628" s="1"/>
      <c r="B628" s="2"/>
      <c r="C628" s="1"/>
      <c r="D628" s="208"/>
      <c r="E628" s="208"/>
      <c r="G628" s="4"/>
      <c r="H628" s="1"/>
    </row>
    <row r="629" spans="1:8" ht="19.5">
      <c r="A629" s="1"/>
      <c r="B629" s="2"/>
      <c r="C629" s="1"/>
      <c r="D629" s="208"/>
      <c r="E629" s="208"/>
      <c r="G629" s="4"/>
      <c r="H629" s="1"/>
    </row>
    <row r="630" spans="1:8" ht="19.5">
      <c r="A630" s="1"/>
      <c r="B630" s="2"/>
      <c r="C630" s="1"/>
      <c r="D630" s="208"/>
      <c r="E630" s="208"/>
      <c r="G630" s="4"/>
      <c r="H630" s="1"/>
    </row>
    <row r="631" spans="1:8" ht="19.5">
      <c r="A631" s="1"/>
      <c r="B631" s="2"/>
      <c r="C631" s="1"/>
      <c r="D631" s="208"/>
      <c r="E631" s="208"/>
      <c r="G631" s="4"/>
      <c r="H631" s="1"/>
    </row>
    <row r="632" spans="1:8" ht="19.5">
      <c r="A632" s="1"/>
      <c r="B632" s="2"/>
      <c r="C632" s="1"/>
      <c r="D632" s="208"/>
      <c r="E632" s="208"/>
      <c r="G632" s="4"/>
      <c r="H632" s="1"/>
    </row>
    <row r="633" spans="1:8" ht="19.5">
      <c r="A633" s="1"/>
      <c r="B633" s="2"/>
      <c r="C633" s="1"/>
      <c r="D633" s="208"/>
      <c r="E633" s="208"/>
      <c r="G633" s="4"/>
      <c r="H633" s="1"/>
    </row>
    <row r="634" spans="1:8" ht="19.5">
      <c r="A634" s="1"/>
      <c r="B634" s="2"/>
      <c r="C634" s="1"/>
      <c r="D634" s="208"/>
      <c r="E634" s="208"/>
      <c r="G634" s="4"/>
      <c r="H634" s="1"/>
    </row>
    <row r="635" spans="1:8" ht="19.5">
      <c r="A635" s="1"/>
      <c r="B635" s="2"/>
      <c r="C635" s="1"/>
      <c r="D635" s="208"/>
      <c r="E635" s="208"/>
      <c r="G635" s="4"/>
      <c r="H635" s="1"/>
    </row>
    <row r="636" spans="1:8" ht="19.5">
      <c r="A636" s="1"/>
      <c r="B636" s="2"/>
      <c r="C636" s="1"/>
      <c r="D636" s="208"/>
      <c r="E636" s="208"/>
      <c r="G636" s="4"/>
      <c r="H636" s="1"/>
    </row>
    <row r="637" spans="1:8" ht="19.5">
      <c r="A637" s="1"/>
      <c r="B637" s="2"/>
      <c r="C637" s="1"/>
      <c r="D637" s="208"/>
      <c r="E637" s="208"/>
      <c r="G637" s="4"/>
      <c r="H637" s="1"/>
    </row>
    <row r="638" spans="1:8" ht="19.5">
      <c r="A638" s="1"/>
      <c r="B638" s="2"/>
      <c r="C638" s="1"/>
      <c r="D638" s="208"/>
      <c r="E638" s="208"/>
      <c r="G638" s="4"/>
      <c r="H638" s="1"/>
    </row>
    <row r="639" spans="1:8" ht="19.5">
      <c r="A639" s="1"/>
      <c r="B639" s="2"/>
      <c r="C639" s="1"/>
      <c r="D639" s="208"/>
      <c r="E639" s="208"/>
      <c r="G639" s="4"/>
      <c r="H639" s="1"/>
    </row>
    <row r="640" spans="1:8" ht="19.5">
      <c r="A640" s="1"/>
      <c r="B640" s="2"/>
      <c r="C640" s="1"/>
      <c r="D640" s="208"/>
      <c r="E640" s="208"/>
      <c r="G640" s="4"/>
      <c r="H640" s="1"/>
    </row>
    <row r="641" spans="1:8" ht="19.5">
      <c r="A641" s="1"/>
      <c r="B641" s="2"/>
      <c r="C641" s="1"/>
      <c r="D641" s="208"/>
      <c r="E641" s="208"/>
      <c r="G641" s="4"/>
      <c r="H641" s="1"/>
    </row>
    <row r="642" spans="1:8" ht="19.5">
      <c r="A642" s="1"/>
      <c r="B642" s="2"/>
      <c r="C642" s="1"/>
      <c r="D642" s="208"/>
      <c r="E642" s="208"/>
      <c r="G642" s="4"/>
      <c r="H642" s="1"/>
    </row>
    <row r="643" spans="1:8" ht="19.5">
      <c r="A643" s="1"/>
      <c r="B643" s="2"/>
      <c r="C643" s="1"/>
      <c r="D643" s="208"/>
      <c r="E643" s="208"/>
      <c r="G643" s="4"/>
      <c r="H643" s="1"/>
    </row>
    <row r="644" spans="1:8" ht="19.5">
      <c r="A644" s="1"/>
      <c r="B644" s="2"/>
      <c r="C644" s="1"/>
      <c r="D644" s="208"/>
      <c r="E644" s="208"/>
      <c r="G644" s="4"/>
      <c r="H644" s="1"/>
    </row>
    <row r="645" spans="1:8" ht="19.5">
      <c r="A645" s="1"/>
      <c r="B645" s="2"/>
      <c r="C645" s="1"/>
      <c r="D645" s="208"/>
      <c r="E645" s="208"/>
      <c r="G645" s="4"/>
      <c r="H645" s="1"/>
    </row>
    <row r="646" spans="1:8" ht="19.5">
      <c r="A646" s="1"/>
      <c r="B646" s="2"/>
      <c r="C646" s="1"/>
      <c r="D646" s="208"/>
      <c r="E646" s="208"/>
      <c r="G646" s="4"/>
      <c r="H646" s="1"/>
    </row>
    <row r="647" spans="1:8" ht="19.5">
      <c r="A647" s="1"/>
      <c r="B647" s="2"/>
      <c r="C647" s="1"/>
      <c r="D647" s="208"/>
      <c r="E647" s="208"/>
      <c r="G647" s="4"/>
      <c r="H647" s="1"/>
    </row>
    <row r="648" spans="1:8" ht="19.5">
      <c r="A648" s="1"/>
      <c r="B648" s="2"/>
      <c r="C648" s="1"/>
      <c r="D648" s="208"/>
      <c r="E648" s="208"/>
      <c r="G648" s="4"/>
      <c r="H648" s="1"/>
    </row>
    <row r="649" spans="1:8" ht="19.5">
      <c r="A649" s="1"/>
      <c r="B649" s="2"/>
      <c r="C649" s="1"/>
      <c r="D649" s="208"/>
      <c r="E649" s="208"/>
      <c r="G649" s="4"/>
      <c r="H649" s="1"/>
    </row>
    <row r="650" spans="1:8" ht="19.5">
      <c r="A650" s="1"/>
      <c r="B650" s="2"/>
      <c r="C650" s="1"/>
      <c r="D650" s="208"/>
      <c r="E650" s="208"/>
      <c r="G650" s="4"/>
      <c r="H650" s="1"/>
    </row>
    <row r="651" spans="1:8" ht="19.5">
      <c r="A651" s="1"/>
      <c r="B651" s="2"/>
      <c r="C651" s="1"/>
      <c r="D651" s="208"/>
      <c r="E651" s="208"/>
      <c r="G651" s="4"/>
      <c r="H651" s="1"/>
    </row>
    <row r="652" spans="1:8" ht="19.5">
      <c r="A652" s="1"/>
      <c r="B652" s="2"/>
      <c r="C652" s="1"/>
      <c r="D652" s="208"/>
      <c r="E652" s="208"/>
      <c r="G652" s="4"/>
      <c r="H652" s="1"/>
    </row>
    <row r="653" spans="1:8" ht="19.5">
      <c r="A653" s="1"/>
      <c r="B653" s="2"/>
      <c r="C653" s="1"/>
      <c r="D653" s="208"/>
      <c r="E653" s="208"/>
      <c r="G653" s="4"/>
      <c r="H653" s="1"/>
    </row>
    <row r="654" spans="1:8" ht="19.5">
      <c r="A654" s="1"/>
      <c r="B654" s="2"/>
      <c r="C654" s="1"/>
      <c r="D654" s="208"/>
      <c r="E654" s="208"/>
      <c r="G654" s="4"/>
      <c r="H654" s="1"/>
    </row>
    <row r="655" spans="1:8" ht="19.5">
      <c r="A655" s="1"/>
      <c r="B655" s="2"/>
      <c r="C655" s="1"/>
      <c r="D655" s="208"/>
      <c r="E655" s="208"/>
      <c r="G655" s="4"/>
      <c r="H655" s="1"/>
    </row>
    <row r="656" spans="1:8" ht="19.5">
      <c r="A656" s="1"/>
      <c r="B656" s="2"/>
      <c r="C656" s="1"/>
      <c r="D656" s="208"/>
      <c r="E656" s="208"/>
      <c r="G656" s="4"/>
      <c r="H656" s="1"/>
    </row>
    <row r="657" spans="1:8" ht="19.5">
      <c r="A657" s="1"/>
      <c r="B657" s="2"/>
      <c r="C657" s="1"/>
      <c r="D657" s="208"/>
      <c r="E657" s="208"/>
      <c r="G657" s="4"/>
      <c r="H657" s="1"/>
    </row>
    <row r="658" spans="1:8" ht="19.5">
      <c r="A658" s="1"/>
      <c r="B658" s="2"/>
      <c r="C658" s="1"/>
      <c r="D658" s="208"/>
      <c r="E658" s="208"/>
      <c r="G658" s="4"/>
      <c r="H658" s="1"/>
    </row>
    <row r="659" spans="1:8" ht="19.5">
      <c r="A659" s="1"/>
      <c r="B659" s="2"/>
      <c r="C659" s="1"/>
      <c r="D659" s="208"/>
      <c r="E659" s="208"/>
      <c r="G659" s="4"/>
      <c r="H659" s="1"/>
    </row>
    <row r="660" spans="1:8" ht="19.5">
      <c r="A660" s="1"/>
      <c r="B660" s="2"/>
      <c r="C660" s="1"/>
      <c r="D660" s="208"/>
      <c r="E660" s="208"/>
      <c r="G660" s="4"/>
      <c r="H660" s="1"/>
    </row>
    <row r="661" spans="1:8" ht="19.5">
      <c r="A661" s="1"/>
      <c r="B661" s="2"/>
      <c r="C661" s="1"/>
      <c r="D661" s="208"/>
      <c r="E661" s="208"/>
      <c r="G661" s="4"/>
      <c r="H661" s="1"/>
    </row>
    <row r="662" spans="1:8" ht="19.5">
      <c r="A662" s="1"/>
      <c r="B662" s="2"/>
      <c r="C662" s="1"/>
      <c r="D662" s="208"/>
      <c r="E662" s="208"/>
      <c r="G662" s="4"/>
      <c r="H662" s="1"/>
    </row>
    <row r="663" spans="1:8" ht="19.5">
      <c r="A663" s="1"/>
      <c r="B663" s="2"/>
      <c r="C663" s="1"/>
      <c r="D663" s="208"/>
      <c r="E663" s="208"/>
      <c r="G663" s="4"/>
      <c r="H663" s="1"/>
    </row>
    <row r="664" spans="1:8" ht="19.5">
      <c r="A664" s="1"/>
      <c r="B664" s="2"/>
      <c r="C664" s="1"/>
      <c r="D664" s="208"/>
      <c r="E664" s="208"/>
      <c r="G664" s="4"/>
      <c r="H664" s="1"/>
    </row>
    <row r="665" spans="1:8" ht="19.5">
      <c r="A665" s="1"/>
      <c r="B665" s="2"/>
      <c r="C665" s="1"/>
      <c r="D665" s="208"/>
      <c r="E665" s="208"/>
      <c r="G665" s="4"/>
      <c r="H665" s="1"/>
    </row>
    <row r="666" spans="1:8" ht="19.5">
      <c r="A666" s="1"/>
      <c r="B666" s="2"/>
      <c r="C666" s="1"/>
      <c r="D666" s="208"/>
      <c r="E666" s="208"/>
      <c r="G666" s="4"/>
      <c r="H666" s="1"/>
    </row>
    <row r="667" spans="1:8" ht="19.5">
      <c r="A667" s="1"/>
      <c r="B667" s="2"/>
      <c r="C667" s="1"/>
      <c r="D667" s="208"/>
      <c r="E667" s="208"/>
      <c r="G667" s="4"/>
      <c r="H667" s="1"/>
    </row>
    <row r="668" spans="1:8" ht="19.5">
      <c r="A668" s="1"/>
      <c r="B668" s="2"/>
      <c r="C668" s="1"/>
      <c r="D668" s="208"/>
      <c r="E668" s="208"/>
      <c r="G668" s="4"/>
      <c r="H668" s="1"/>
    </row>
    <row r="669" spans="1:8" ht="19.5">
      <c r="A669" s="1"/>
      <c r="B669" s="2"/>
      <c r="C669" s="1"/>
      <c r="D669" s="208"/>
      <c r="E669" s="208"/>
      <c r="G669" s="4"/>
      <c r="H669" s="1"/>
    </row>
    <row r="670" spans="1:8" ht="19.5">
      <c r="A670" s="1"/>
      <c r="B670" s="2"/>
      <c r="C670" s="1"/>
      <c r="D670" s="208"/>
      <c r="E670" s="208"/>
      <c r="G670" s="4"/>
      <c r="H670" s="1"/>
    </row>
    <row r="671" spans="1:8" ht="19.5">
      <c r="A671" s="1"/>
      <c r="B671" s="2"/>
      <c r="C671" s="1"/>
      <c r="D671" s="208"/>
      <c r="E671" s="208"/>
      <c r="G671" s="4"/>
      <c r="H671" s="1"/>
    </row>
    <row r="672" spans="1:8" ht="19.5">
      <c r="A672" s="1"/>
      <c r="B672" s="2"/>
      <c r="C672" s="1"/>
      <c r="D672" s="208"/>
      <c r="E672" s="208"/>
      <c r="G672" s="4"/>
      <c r="H672" s="1"/>
    </row>
    <row r="673" spans="1:8" ht="19.5">
      <c r="A673" s="1"/>
      <c r="B673" s="2"/>
      <c r="C673" s="1"/>
      <c r="D673" s="208"/>
      <c r="E673" s="208"/>
      <c r="G673" s="4"/>
      <c r="H673" s="1"/>
    </row>
    <row r="674" spans="1:8" ht="19.5">
      <c r="A674" s="1"/>
      <c r="B674" s="2"/>
      <c r="C674" s="1"/>
      <c r="D674" s="208"/>
      <c r="E674" s="208"/>
      <c r="G674" s="4"/>
      <c r="H674" s="1"/>
    </row>
    <row r="675" spans="1:8" ht="19.5">
      <c r="A675" s="1"/>
      <c r="B675" s="2"/>
      <c r="C675" s="1"/>
      <c r="D675" s="208"/>
      <c r="E675" s="208"/>
      <c r="G675" s="4"/>
      <c r="H675" s="1"/>
    </row>
    <row r="676" spans="1:8" ht="19.5">
      <c r="A676" s="1"/>
      <c r="B676" s="2"/>
      <c r="C676" s="1"/>
      <c r="D676" s="208"/>
      <c r="E676" s="208"/>
      <c r="G676" s="4"/>
      <c r="H676" s="1"/>
    </row>
    <row r="677" spans="1:8" ht="19.5">
      <c r="A677" s="1"/>
      <c r="B677" s="2"/>
      <c r="C677" s="1"/>
      <c r="D677" s="208"/>
      <c r="E677" s="208"/>
      <c r="G677" s="4"/>
      <c r="H677" s="1"/>
    </row>
    <row r="678" spans="1:8" ht="19.5">
      <c r="A678" s="1"/>
      <c r="B678" s="2"/>
      <c r="C678" s="1"/>
      <c r="D678" s="208"/>
      <c r="E678" s="208"/>
      <c r="G678" s="4"/>
      <c r="H678" s="1"/>
    </row>
    <row r="679" spans="1:8" ht="19.5">
      <c r="A679" s="1"/>
      <c r="B679" s="2"/>
      <c r="C679" s="1"/>
      <c r="D679" s="208"/>
      <c r="E679" s="208"/>
      <c r="G679" s="4"/>
      <c r="H679" s="1"/>
    </row>
    <row r="680" spans="1:8" ht="19.5">
      <c r="A680" s="1"/>
      <c r="B680" s="2"/>
      <c r="C680" s="1"/>
      <c r="D680" s="208"/>
      <c r="E680" s="208"/>
      <c r="G680" s="4"/>
      <c r="H680" s="1"/>
    </row>
    <row r="681" spans="1:8" ht="19.5">
      <c r="A681" s="1"/>
      <c r="B681" s="2"/>
      <c r="C681" s="1"/>
      <c r="D681" s="208"/>
      <c r="E681" s="208"/>
      <c r="G681" s="4"/>
      <c r="H681" s="1"/>
    </row>
    <row r="682" spans="1:8" ht="19.5">
      <c r="A682" s="1"/>
      <c r="B682" s="2"/>
      <c r="C682" s="1"/>
      <c r="D682" s="208"/>
      <c r="E682" s="208"/>
      <c r="G682" s="4"/>
      <c r="H682" s="1"/>
    </row>
    <row r="683" spans="1:8" ht="19.5">
      <c r="A683" s="1"/>
      <c r="B683" s="2"/>
      <c r="C683" s="1"/>
      <c r="D683" s="208"/>
      <c r="E683" s="208"/>
      <c r="G683" s="4"/>
      <c r="H683" s="1"/>
    </row>
    <row r="684" spans="1:8" ht="19.5">
      <c r="A684" s="1"/>
      <c r="B684" s="2"/>
      <c r="C684" s="1"/>
      <c r="D684" s="208"/>
      <c r="E684" s="208"/>
      <c r="G684" s="4"/>
      <c r="H684" s="1"/>
    </row>
    <row r="685" spans="1:8" ht="19.5">
      <c r="A685" s="1"/>
      <c r="B685" s="2"/>
      <c r="C685" s="1"/>
      <c r="D685" s="208"/>
      <c r="E685" s="208"/>
      <c r="G685" s="4"/>
      <c r="H685" s="1"/>
    </row>
    <row r="686" spans="1:8" ht="19.5">
      <c r="A686" s="1"/>
      <c r="B686" s="2"/>
      <c r="C686" s="1"/>
      <c r="D686" s="208"/>
      <c r="E686" s="208"/>
      <c r="G686" s="4"/>
      <c r="H686" s="1"/>
    </row>
    <row r="687" spans="1:8" ht="19.5">
      <c r="A687" s="1"/>
      <c r="B687" s="2"/>
      <c r="C687" s="1"/>
      <c r="D687" s="208"/>
      <c r="E687" s="208"/>
      <c r="G687" s="4"/>
      <c r="H687" s="1"/>
    </row>
    <row r="688" spans="1:8" ht="19.5">
      <c r="A688" s="1"/>
      <c r="B688" s="2"/>
      <c r="C688" s="1"/>
      <c r="D688" s="208"/>
      <c r="E688" s="208"/>
      <c r="G688" s="4"/>
      <c r="H688" s="1"/>
    </row>
    <row r="689" spans="1:8" ht="19.5">
      <c r="A689" s="1"/>
      <c r="B689" s="2"/>
      <c r="C689" s="1"/>
      <c r="D689" s="208"/>
      <c r="E689" s="208"/>
      <c r="G689" s="4"/>
      <c r="H689" s="1"/>
    </row>
    <row r="690" spans="1:8" ht="19.5">
      <c r="A690" s="1"/>
      <c r="B690" s="2"/>
      <c r="C690" s="1"/>
      <c r="D690" s="208"/>
      <c r="E690" s="208"/>
      <c r="G690" s="4"/>
      <c r="H690" s="1"/>
    </row>
    <row r="691" spans="1:8" ht="19.5">
      <c r="A691" s="1"/>
      <c r="B691" s="2"/>
      <c r="C691" s="1"/>
      <c r="D691" s="208"/>
      <c r="E691" s="208"/>
      <c r="G691" s="4"/>
      <c r="H691" s="1"/>
    </row>
    <row r="692" spans="1:8" ht="19.5">
      <c r="A692" s="1"/>
      <c r="B692" s="2"/>
      <c r="C692" s="1"/>
      <c r="D692" s="208"/>
      <c r="E692" s="208"/>
      <c r="G692" s="4"/>
      <c r="H692" s="1"/>
    </row>
    <row r="693" spans="1:8" ht="19.5">
      <c r="A693" s="1"/>
      <c r="B693" s="2"/>
      <c r="C693" s="1"/>
      <c r="D693" s="208"/>
      <c r="E693" s="208"/>
      <c r="G693" s="4"/>
      <c r="H693" s="1"/>
    </row>
    <row r="694" spans="1:8" ht="19.5">
      <c r="A694" s="1"/>
      <c r="B694" s="2"/>
      <c r="C694" s="1"/>
      <c r="D694" s="208"/>
      <c r="E694" s="208"/>
      <c r="G694" s="4"/>
      <c r="H694" s="1"/>
    </row>
    <row r="695" spans="1:8" ht="19.5">
      <c r="A695" s="1"/>
      <c r="B695" s="2"/>
      <c r="C695" s="1"/>
      <c r="D695" s="208"/>
      <c r="E695" s="208"/>
      <c r="G695" s="4"/>
      <c r="H695" s="1"/>
    </row>
    <row r="696" spans="1:8" ht="19.5">
      <c r="A696" s="1"/>
      <c r="B696" s="2"/>
      <c r="C696" s="1"/>
      <c r="D696" s="208"/>
      <c r="E696" s="208"/>
      <c r="G696" s="4"/>
      <c r="H696" s="1"/>
    </row>
    <row r="697" spans="1:8" ht="19.5">
      <c r="A697" s="1"/>
      <c r="B697" s="2"/>
      <c r="C697" s="1"/>
      <c r="D697" s="208"/>
      <c r="E697" s="208"/>
      <c r="G697" s="4"/>
      <c r="H697" s="1"/>
    </row>
    <row r="698" spans="1:8" ht="19.5">
      <c r="A698" s="1"/>
      <c r="B698" s="2"/>
      <c r="C698" s="1"/>
      <c r="D698" s="208"/>
      <c r="E698" s="208"/>
      <c r="G698" s="4"/>
      <c r="H698" s="1"/>
    </row>
    <row r="699" spans="1:8" ht="19.5">
      <c r="A699" s="1"/>
      <c r="B699" s="2"/>
      <c r="C699" s="1"/>
      <c r="D699" s="208"/>
      <c r="E699" s="208"/>
      <c r="G699" s="4"/>
      <c r="H699" s="1"/>
    </row>
    <row r="700" spans="1:8" ht="19.5">
      <c r="A700" s="1"/>
      <c r="B700" s="2"/>
      <c r="C700" s="1"/>
      <c r="D700" s="208"/>
      <c r="E700" s="208"/>
      <c r="G700" s="4"/>
      <c r="H700" s="1"/>
    </row>
    <row r="701" spans="1:8" ht="19.5">
      <c r="A701" s="1"/>
      <c r="B701" s="2"/>
      <c r="C701" s="1"/>
      <c r="D701" s="208"/>
      <c r="E701" s="208"/>
      <c r="G701" s="4"/>
      <c r="H701" s="1"/>
    </row>
    <row r="702" spans="1:8" ht="19.5">
      <c r="A702" s="1"/>
      <c r="B702" s="2"/>
      <c r="C702" s="1"/>
      <c r="D702" s="208"/>
      <c r="E702" s="208"/>
      <c r="G702" s="4"/>
      <c r="H702" s="1"/>
    </row>
    <row r="703" spans="1:8" ht="19.5">
      <c r="A703" s="1"/>
      <c r="B703" s="2"/>
      <c r="C703" s="1"/>
      <c r="D703" s="208"/>
      <c r="E703" s="208"/>
      <c r="G703" s="4"/>
      <c r="H703" s="1"/>
    </row>
    <row r="704" spans="1:8" ht="19.5">
      <c r="A704" s="1"/>
      <c r="B704" s="2"/>
      <c r="C704" s="1"/>
      <c r="D704" s="208"/>
      <c r="E704" s="208"/>
      <c r="G704" s="4"/>
      <c r="H704" s="1"/>
    </row>
    <row r="705" spans="1:8" ht="19.5">
      <c r="A705" s="1"/>
      <c r="B705" s="2"/>
      <c r="C705" s="1"/>
      <c r="D705" s="208"/>
      <c r="E705" s="208"/>
      <c r="G705" s="4"/>
      <c r="H705" s="1"/>
    </row>
    <row r="706" spans="1:8" ht="19.5">
      <c r="A706" s="1"/>
      <c r="B706" s="2"/>
      <c r="C706" s="1"/>
      <c r="D706" s="208"/>
      <c r="E706" s="208"/>
      <c r="G706" s="4"/>
      <c r="H706" s="1"/>
    </row>
    <row r="707" spans="1:8" ht="19.5">
      <c r="A707" s="1"/>
      <c r="B707" s="2"/>
      <c r="C707" s="1"/>
      <c r="D707" s="208"/>
      <c r="E707" s="208"/>
      <c r="G707" s="4"/>
      <c r="H707" s="1"/>
    </row>
    <row r="708" spans="1:8" ht="19.5">
      <c r="A708" s="1"/>
      <c r="B708" s="2"/>
      <c r="C708" s="1"/>
      <c r="D708" s="208"/>
      <c r="E708" s="208"/>
      <c r="G708" s="4"/>
      <c r="H708" s="1"/>
    </row>
    <row r="709" spans="1:8" ht="19.5">
      <c r="A709" s="1"/>
      <c r="B709" s="2"/>
      <c r="C709" s="1"/>
      <c r="D709" s="208"/>
      <c r="E709" s="208"/>
      <c r="G709" s="4"/>
      <c r="H709" s="1"/>
    </row>
    <row r="710" spans="1:8" ht="19.5">
      <c r="A710" s="1"/>
      <c r="B710" s="2"/>
      <c r="C710" s="1"/>
      <c r="D710" s="208"/>
      <c r="E710" s="208"/>
      <c r="G710" s="4"/>
      <c r="H710" s="1"/>
    </row>
    <row r="711" spans="1:8" ht="19.5">
      <c r="A711" s="1"/>
      <c r="B711" s="2"/>
      <c r="C711" s="1"/>
      <c r="D711" s="208"/>
      <c r="E711" s="208"/>
      <c r="G711" s="4"/>
      <c r="H711" s="1"/>
    </row>
    <row r="712" spans="1:8" ht="19.5">
      <c r="A712" s="1"/>
      <c r="B712" s="2"/>
      <c r="C712" s="1"/>
      <c r="D712" s="208"/>
      <c r="E712" s="208"/>
      <c r="G712" s="4"/>
      <c r="H712" s="1"/>
    </row>
    <row r="713" spans="1:8" ht="19.5">
      <c r="A713" s="1"/>
      <c r="B713" s="2"/>
      <c r="C713" s="1"/>
      <c r="D713" s="208"/>
      <c r="E713" s="208"/>
      <c r="G713" s="4"/>
      <c r="H713" s="1"/>
    </row>
    <row r="714" spans="1:8" ht="19.5">
      <c r="A714" s="1"/>
      <c r="B714" s="2"/>
      <c r="C714" s="1"/>
      <c r="D714" s="208"/>
      <c r="E714" s="208"/>
      <c r="G714" s="4"/>
      <c r="H714" s="1"/>
    </row>
    <row r="715" spans="1:8" ht="19.5">
      <c r="A715" s="1"/>
      <c r="B715" s="2"/>
      <c r="C715" s="1"/>
      <c r="D715" s="208"/>
      <c r="E715" s="208"/>
      <c r="G715" s="4"/>
      <c r="H715" s="1"/>
    </row>
    <row r="716" spans="1:8" ht="19.5">
      <c r="A716" s="1"/>
      <c r="B716" s="2"/>
      <c r="C716" s="1"/>
      <c r="D716" s="208"/>
      <c r="E716" s="208"/>
      <c r="G716" s="4"/>
      <c r="H716" s="1"/>
    </row>
    <row r="717" spans="1:8" ht="19.5">
      <c r="A717" s="1"/>
      <c r="B717" s="2"/>
      <c r="C717" s="1"/>
      <c r="D717" s="208"/>
      <c r="E717" s="208"/>
      <c r="G717" s="4"/>
      <c r="H717" s="1"/>
    </row>
    <row r="718" spans="1:8" ht="19.5">
      <c r="A718" s="1"/>
      <c r="B718" s="2"/>
      <c r="C718" s="1"/>
      <c r="D718" s="208"/>
      <c r="E718" s="208"/>
      <c r="G718" s="4"/>
      <c r="H718" s="1"/>
    </row>
    <row r="719" spans="1:8" ht="19.5">
      <c r="A719" s="1"/>
      <c r="B719" s="2"/>
      <c r="C719" s="1"/>
      <c r="D719" s="208"/>
      <c r="E719" s="208"/>
      <c r="G719" s="4"/>
      <c r="H719" s="1"/>
    </row>
    <row r="720" spans="1:8" ht="19.5">
      <c r="A720" s="1"/>
      <c r="B720" s="2"/>
      <c r="C720" s="1"/>
      <c r="D720" s="208"/>
      <c r="E720" s="208"/>
      <c r="G720" s="4"/>
      <c r="H720" s="1"/>
    </row>
    <row r="721" spans="1:8" ht="19.5">
      <c r="A721" s="1"/>
      <c r="B721" s="2"/>
      <c r="C721" s="1"/>
      <c r="D721" s="208"/>
      <c r="E721" s="208"/>
      <c r="G721" s="4"/>
      <c r="H721" s="1"/>
    </row>
    <row r="722" spans="1:8" ht="19.5">
      <c r="A722" s="1"/>
      <c r="B722" s="2"/>
      <c r="C722" s="1"/>
      <c r="D722" s="208"/>
      <c r="E722" s="208"/>
      <c r="G722" s="4"/>
      <c r="H722" s="1"/>
    </row>
    <row r="723" spans="1:8" ht="19.5">
      <c r="A723" s="1"/>
      <c r="B723" s="2"/>
      <c r="C723" s="1"/>
      <c r="D723" s="208"/>
      <c r="E723" s="208"/>
      <c r="G723" s="4"/>
      <c r="H723" s="1"/>
    </row>
    <row r="724" spans="1:8" ht="19.5">
      <c r="A724" s="1"/>
      <c r="B724" s="2"/>
      <c r="C724" s="1"/>
      <c r="D724" s="208"/>
      <c r="E724" s="208"/>
      <c r="G724" s="4"/>
      <c r="H724" s="1"/>
    </row>
    <row r="725" spans="1:8" ht="19.5">
      <c r="A725" s="1"/>
      <c r="B725" s="2"/>
      <c r="C725" s="1"/>
      <c r="D725" s="208"/>
      <c r="E725" s="208"/>
      <c r="G725" s="4"/>
      <c r="H725" s="1"/>
    </row>
    <row r="726" spans="1:8" ht="19.5">
      <c r="A726" s="1"/>
      <c r="B726" s="2"/>
      <c r="C726" s="1"/>
      <c r="D726" s="208"/>
      <c r="E726" s="208"/>
      <c r="G726" s="4"/>
      <c r="H726" s="1"/>
    </row>
    <row r="727" spans="1:8" ht="19.5">
      <c r="A727" s="1"/>
      <c r="B727" s="2"/>
      <c r="C727" s="1"/>
      <c r="D727" s="208"/>
      <c r="E727" s="208"/>
      <c r="G727" s="4"/>
      <c r="H727" s="1"/>
    </row>
    <row r="728" spans="1:8" ht="19.5">
      <c r="A728" s="1"/>
      <c r="B728" s="2"/>
      <c r="C728" s="1"/>
      <c r="D728" s="208"/>
      <c r="E728" s="208"/>
      <c r="G728" s="4"/>
      <c r="H728" s="1"/>
    </row>
    <row r="729" spans="1:8" ht="19.5">
      <c r="A729" s="1"/>
      <c r="B729" s="2"/>
      <c r="C729" s="1"/>
      <c r="D729" s="208"/>
      <c r="E729" s="208"/>
      <c r="G729" s="4"/>
      <c r="H729" s="1"/>
    </row>
    <row r="730" spans="1:8" ht="19.5">
      <c r="A730" s="1"/>
      <c r="B730" s="2"/>
      <c r="C730" s="1"/>
      <c r="D730" s="208"/>
      <c r="E730" s="208"/>
      <c r="G730" s="4"/>
      <c r="H730" s="1"/>
    </row>
    <row r="731" spans="1:8" ht="19.5">
      <c r="A731" s="1"/>
      <c r="B731" s="2"/>
      <c r="C731" s="1"/>
      <c r="D731" s="208"/>
      <c r="E731" s="208"/>
      <c r="G731" s="4"/>
      <c r="H731" s="1"/>
    </row>
    <row r="732" spans="1:8" ht="19.5">
      <c r="A732" s="1"/>
      <c r="B732" s="2"/>
      <c r="C732" s="1"/>
      <c r="D732" s="208"/>
      <c r="E732" s="208"/>
      <c r="G732" s="4"/>
      <c r="H732" s="1"/>
    </row>
    <row r="733" spans="1:8" ht="19.5">
      <c r="A733" s="1"/>
      <c r="B733" s="2"/>
      <c r="C733" s="1"/>
      <c r="D733" s="208"/>
      <c r="E733" s="208"/>
      <c r="G733" s="4"/>
      <c r="H733" s="1"/>
    </row>
    <row r="734" spans="1:8" ht="19.5">
      <c r="A734" s="1"/>
      <c r="B734" s="2"/>
      <c r="C734" s="1"/>
      <c r="D734" s="208"/>
      <c r="E734" s="208"/>
      <c r="G734" s="4"/>
      <c r="H734" s="1"/>
    </row>
    <row r="735" spans="1:8" ht="19.5">
      <c r="A735" s="1"/>
      <c r="B735" s="2"/>
      <c r="C735" s="1"/>
      <c r="D735" s="208"/>
      <c r="E735" s="208"/>
      <c r="G735" s="4"/>
      <c r="H735" s="1"/>
    </row>
    <row r="736" spans="1:8" ht="19.5">
      <c r="A736" s="1"/>
      <c r="B736" s="2"/>
      <c r="C736" s="1"/>
      <c r="D736" s="208"/>
      <c r="E736" s="208"/>
      <c r="G736" s="4"/>
      <c r="H736" s="1"/>
    </row>
    <row r="737" spans="1:8" ht="19.5">
      <c r="A737" s="1"/>
      <c r="B737" s="2"/>
      <c r="C737" s="1"/>
      <c r="D737" s="208"/>
      <c r="E737" s="208"/>
      <c r="G737" s="4"/>
      <c r="H737" s="1"/>
    </row>
    <row r="738" spans="1:8" ht="19.5">
      <c r="A738" s="1"/>
      <c r="B738" s="2"/>
      <c r="C738" s="1"/>
      <c r="D738" s="208"/>
      <c r="E738" s="208"/>
      <c r="G738" s="4"/>
      <c r="H738" s="1"/>
    </row>
    <row r="739" spans="1:8" ht="19.5">
      <c r="A739" s="1"/>
      <c r="B739" s="2"/>
      <c r="C739" s="1"/>
      <c r="D739" s="208"/>
      <c r="E739" s="208"/>
      <c r="G739" s="4"/>
      <c r="H739" s="1"/>
    </row>
    <row r="740" spans="1:8" ht="19.5">
      <c r="A740" s="1"/>
      <c r="B740" s="2"/>
      <c r="C740" s="1"/>
      <c r="D740" s="208"/>
      <c r="E740" s="208"/>
      <c r="G740" s="4"/>
      <c r="H740" s="1"/>
    </row>
    <row r="741" spans="1:8" ht="19.5">
      <c r="A741" s="1"/>
      <c r="B741" s="2"/>
      <c r="C741" s="1"/>
      <c r="D741" s="208"/>
      <c r="E741" s="208"/>
      <c r="G741" s="4"/>
      <c r="H741" s="1"/>
    </row>
    <row r="742" spans="1:8" ht="19.5">
      <c r="A742" s="1"/>
      <c r="B742" s="2"/>
      <c r="C742" s="1"/>
      <c r="D742" s="208"/>
      <c r="E742" s="208"/>
      <c r="G742" s="4"/>
      <c r="H742" s="1"/>
    </row>
    <row r="743" spans="1:8" ht="19.5">
      <c r="A743" s="1"/>
      <c r="B743" s="2"/>
      <c r="C743" s="1"/>
      <c r="D743" s="208"/>
      <c r="E743" s="208"/>
      <c r="G743" s="4"/>
      <c r="H743" s="1"/>
    </row>
    <row r="744" spans="1:8" ht="19.5">
      <c r="A744" s="1"/>
      <c r="B744" s="2"/>
      <c r="C744" s="1"/>
      <c r="D744" s="208"/>
      <c r="E744" s="208"/>
      <c r="G744" s="4"/>
      <c r="H744" s="1"/>
    </row>
    <row r="745" spans="1:8" ht="19.5">
      <c r="A745" s="1"/>
      <c r="B745" s="2"/>
      <c r="C745" s="1"/>
      <c r="D745" s="208"/>
      <c r="E745" s="208"/>
      <c r="G745" s="4"/>
      <c r="H745" s="1"/>
    </row>
    <row r="746" spans="1:8" ht="19.5">
      <c r="A746" s="1"/>
      <c r="B746" s="2"/>
      <c r="C746" s="1"/>
      <c r="D746" s="208"/>
      <c r="E746" s="208"/>
      <c r="G746" s="4"/>
      <c r="H746" s="1"/>
    </row>
    <row r="747" spans="1:8" ht="19.5">
      <c r="A747" s="1"/>
      <c r="B747" s="2"/>
      <c r="C747" s="1"/>
      <c r="D747" s="208"/>
      <c r="E747" s="208"/>
      <c r="G747" s="4"/>
      <c r="H747" s="1"/>
    </row>
    <row r="748" spans="1:8" ht="19.5">
      <c r="A748" s="1"/>
      <c r="B748" s="2"/>
      <c r="C748" s="1"/>
      <c r="D748" s="208"/>
      <c r="E748" s="208"/>
      <c r="G748" s="4"/>
      <c r="H748" s="1"/>
    </row>
    <row r="749" spans="1:8" ht="19.5">
      <c r="A749" s="1"/>
      <c r="B749" s="2"/>
      <c r="C749" s="1"/>
      <c r="D749" s="208"/>
      <c r="E749" s="208"/>
      <c r="G749" s="4"/>
      <c r="H749" s="1"/>
    </row>
    <row r="750" spans="1:8" ht="19.5">
      <c r="A750" s="1"/>
      <c r="B750" s="2"/>
      <c r="C750" s="1"/>
      <c r="D750" s="208"/>
      <c r="E750" s="208"/>
      <c r="G750" s="4"/>
      <c r="H750" s="1"/>
    </row>
    <row r="751" spans="1:8" ht="19.5">
      <c r="A751" s="1"/>
      <c r="B751" s="2"/>
      <c r="C751" s="1"/>
      <c r="D751" s="208"/>
      <c r="E751" s="208"/>
      <c r="G751" s="4"/>
      <c r="H751" s="1"/>
    </row>
    <row r="752" spans="1:8" ht="19.5">
      <c r="A752" s="1"/>
      <c r="B752" s="2"/>
      <c r="C752" s="1"/>
      <c r="D752" s="208"/>
      <c r="E752" s="208"/>
      <c r="G752" s="4"/>
      <c r="H752" s="1"/>
    </row>
    <row r="753" spans="1:8" ht="19.5">
      <c r="A753" s="1"/>
      <c r="B753" s="2"/>
      <c r="C753" s="1"/>
      <c r="D753" s="208"/>
      <c r="E753" s="208"/>
      <c r="G753" s="4"/>
      <c r="H753" s="1"/>
    </row>
    <row r="754" spans="1:8" ht="19.5">
      <c r="A754" s="1"/>
      <c r="B754" s="2"/>
      <c r="C754" s="1"/>
      <c r="D754" s="208"/>
      <c r="E754" s="208"/>
      <c r="G754" s="4"/>
      <c r="H754" s="1"/>
    </row>
    <row r="755" spans="1:8" ht="19.5">
      <c r="A755" s="1"/>
      <c r="B755" s="2"/>
      <c r="C755" s="1"/>
      <c r="D755" s="208"/>
      <c r="E755" s="208"/>
      <c r="G755" s="4"/>
      <c r="H755" s="1"/>
    </row>
    <row r="756" spans="1:8" ht="19.5">
      <c r="A756" s="1"/>
      <c r="B756" s="2"/>
      <c r="C756" s="1"/>
      <c r="D756" s="208"/>
      <c r="E756" s="208"/>
      <c r="G756" s="4"/>
      <c r="H756" s="1"/>
    </row>
    <row r="757" spans="1:8" ht="19.5">
      <c r="A757" s="1"/>
      <c r="B757" s="2"/>
      <c r="C757" s="1"/>
      <c r="D757" s="208"/>
      <c r="E757" s="208"/>
      <c r="G757" s="4"/>
      <c r="H757" s="1"/>
    </row>
    <row r="758" spans="1:8" ht="19.5">
      <c r="A758" s="1"/>
      <c r="B758" s="2"/>
      <c r="C758" s="1"/>
      <c r="D758" s="208"/>
      <c r="E758" s="208"/>
      <c r="G758" s="4"/>
      <c r="H758" s="1"/>
    </row>
    <row r="759" spans="1:8" ht="19.5">
      <c r="A759" s="1"/>
      <c r="B759" s="2"/>
      <c r="C759" s="1"/>
      <c r="D759" s="208"/>
      <c r="E759" s="208"/>
      <c r="G759" s="4"/>
      <c r="H759" s="1"/>
    </row>
    <row r="760" spans="1:8" ht="19.5">
      <c r="A760" s="1"/>
      <c r="B760" s="2"/>
      <c r="C760" s="1"/>
      <c r="D760" s="208"/>
      <c r="E760" s="208"/>
      <c r="G760" s="4"/>
      <c r="H760" s="1"/>
    </row>
    <row r="761" spans="1:8" ht="19.5">
      <c r="A761" s="1"/>
      <c r="B761" s="2"/>
      <c r="C761" s="1"/>
      <c r="D761" s="208"/>
      <c r="E761" s="208"/>
      <c r="G761" s="4"/>
      <c r="H761" s="1"/>
    </row>
    <row r="762" spans="1:8" ht="19.5">
      <c r="A762" s="1"/>
      <c r="B762" s="2"/>
      <c r="C762" s="1"/>
      <c r="D762" s="208"/>
      <c r="E762" s="208"/>
      <c r="G762" s="4"/>
      <c r="H762" s="1"/>
    </row>
    <row r="763" spans="1:8" ht="19.5">
      <c r="A763" s="1"/>
      <c r="B763" s="2"/>
      <c r="C763" s="1"/>
      <c r="D763" s="208"/>
      <c r="E763" s="208"/>
      <c r="G763" s="4"/>
      <c r="H763" s="1"/>
    </row>
    <row r="764" spans="1:8" ht="19.5">
      <c r="A764" s="1"/>
      <c r="B764" s="2"/>
      <c r="C764" s="1"/>
      <c r="D764" s="208"/>
      <c r="E764" s="208"/>
      <c r="G764" s="4"/>
      <c r="H764" s="1"/>
    </row>
    <row r="765" spans="1:8" ht="19.5">
      <c r="A765" s="1"/>
      <c r="B765" s="2"/>
      <c r="C765" s="1"/>
      <c r="D765" s="208"/>
      <c r="E765" s="208"/>
      <c r="G765" s="4"/>
      <c r="H765" s="1"/>
    </row>
    <row r="766" spans="1:8" ht="19.5">
      <c r="A766" s="1"/>
      <c r="B766" s="2"/>
      <c r="C766" s="1"/>
      <c r="D766" s="208"/>
      <c r="E766" s="208"/>
      <c r="G766" s="4"/>
      <c r="H766" s="1"/>
    </row>
    <row r="767" spans="1:8" ht="19.5">
      <c r="A767" s="1"/>
      <c r="B767" s="2"/>
      <c r="C767" s="1"/>
      <c r="D767" s="208"/>
      <c r="E767" s="208"/>
      <c r="G767" s="4"/>
      <c r="H767" s="1"/>
    </row>
    <row r="768" spans="1:8" ht="19.5">
      <c r="A768" s="1"/>
      <c r="B768" s="2"/>
      <c r="C768" s="1"/>
      <c r="D768" s="208"/>
      <c r="E768" s="208"/>
      <c r="G768" s="4"/>
      <c r="H768" s="1"/>
    </row>
    <row r="769" spans="1:8" ht="19.5">
      <c r="A769" s="1"/>
      <c r="B769" s="2"/>
      <c r="C769" s="1"/>
      <c r="D769" s="208"/>
      <c r="E769" s="208"/>
      <c r="G769" s="4"/>
      <c r="H769" s="1"/>
    </row>
    <row r="770" spans="1:8" ht="19.5">
      <c r="A770" s="1"/>
      <c r="B770" s="2"/>
      <c r="C770" s="1"/>
      <c r="D770" s="208"/>
      <c r="E770" s="208"/>
      <c r="G770" s="4"/>
      <c r="H770" s="1"/>
    </row>
    <row r="771" spans="1:8" ht="19.5">
      <c r="A771" s="1"/>
      <c r="B771" s="2"/>
      <c r="C771" s="1"/>
      <c r="D771" s="208"/>
      <c r="E771" s="208"/>
      <c r="G771" s="4"/>
      <c r="H771" s="1"/>
    </row>
    <row r="772" spans="1:8" ht="19.5">
      <c r="A772" s="1"/>
      <c r="B772" s="2"/>
      <c r="C772" s="1"/>
      <c r="D772" s="208"/>
      <c r="E772" s="208"/>
      <c r="G772" s="4"/>
      <c r="H772" s="1"/>
    </row>
    <row r="773" spans="1:8" ht="19.5">
      <c r="A773" s="1"/>
      <c r="B773" s="2"/>
      <c r="C773" s="1"/>
      <c r="D773" s="208"/>
      <c r="E773" s="208"/>
      <c r="G773" s="4"/>
      <c r="H773" s="1"/>
    </row>
    <row r="774" spans="1:8" ht="19.5">
      <c r="A774" s="1"/>
      <c r="B774" s="2"/>
      <c r="C774" s="1"/>
      <c r="D774" s="208"/>
      <c r="E774" s="208"/>
      <c r="G774" s="4"/>
      <c r="H774" s="1"/>
    </row>
    <row r="775" spans="1:8" ht="19.5">
      <c r="A775" s="1"/>
      <c r="B775" s="2"/>
      <c r="C775" s="1"/>
      <c r="D775" s="208"/>
      <c r="E775" s="208"/>
      <c r="G775" s="4"/>
      <c r="H775" s="1"/>
    </row>
    <row r="776" spans="1:8" ht="19.5">
      <c r="A776" s="1"/>
      <c r="B776" s="2"/>
      <c r="C776" s="1"/>
      <c r="D776" s="208"/>
      <c r="E776" s="208"/>
      <c r="G776" s="4"/>
      <c r="H776" s="1"/>
    </row>
    <row r="777" spans="1:8" ht="19.5">
      <c r="A777" s="1"/>
      <c r="B777" s="2"/>
      <c r="C777" s="1"/>
      <c r="D777" s="208"/>
      <c r="E777" s="208"/>
      <c r="G777" s="4"/>
      <c r="H777" s="1"/>
    </row>
    <row r="778" spans="1:8" ht="19.5">
      <c r="A778" s="1"/>
      <c r="B778" s="2"/>
      <c r="C778" s="1"/>
      <c r="D778" s="208"/>
      <c r="E778" s="208"/>
      <c r="G778" s="4"/>
      <c r="H778" s="1"/>
    </row>
    <row r="779" spans="1:8" ht="19.5">
      <c r="A779" s="1"/>
      <c r="B779" s="2"/>
      <c r="C779" s="1"/>
      <c r="D779" s="208"/>
      <c r="E779" s="208"/>
      <c r="G779" s="4"/>
      <c r="H779" s="1"/>
    </row>
    <row r="780" spans="1:8" ht="19.5">
      <c r="A780" s="1"/>
      <c r="B780" s="2"/>
      <c r="C780" s="1"/>
      <c r="D780" s="208"/>
      <c r="E780" s="208"/>
      <c r="G780" s="4"/>
      <c r="H780" s="1"/>
    </row>
    <row r="781" spans="1:8" ht="19.5">
      <c r="A781" s="1"/>
      <c r="B781" s="2"/>
      <c r="C781" s="1"/>
      <c r="D781" s="208"/>
      <c r="E781" s="208"/>
      <c r="G781" s="4"/>
      <c r="H781" s="1"/>
    </row>
    <row r="782" spans="1:8" ht="19.5">
      <c r="A782" s="1"/>
      <c r="B782" s="2"/>
      <c r="C782" s="1"/>
      <c r="D782" s="208"/>
      <c r="E782" s="208"/>
      <c r="G782" s="4"/>
      <c r="H782" s="1"/>
    </row>
    <row r="783" spans="1:8" ht="19.5">
      <c r="A783" s="1"/>
      <c r="B783" s="2"/>
      <c r="C783" s="1"/>
      <c r="D783" s="208"/>
      <c r="E783" s="208"/>
      <c r="G783" s="4"/>
      <c r="H783" s="1"/>
    </row>
    <row r="784" spans="1:8" ht="19.5">
      <c r="A784" s="1"/>
      <c r="B784" s="2"/>
      <c r="C784" s="1"/>
      <c r="D784" s="208"/>
      <c r="E784" s="208"/>
      <c r="G784" s="4"/>
      <c r="H784" s="1"/>
    </row>
    <row r="785" spans="1:8" ht="19.5">
      <c r="A785" s="1"/>
      <c r="B785" s="2"/>
      <c r="C785" s="1"/>
      <c r="D785" s="208"/>
      <c r="E785" s="208"/>
      <c r="G785" s="4"/>
      <c r="H785" s="1"/>
    </row>
    <row r="786" spans="1:8" ht="19.5">
      <c r="A786" s="1"/>
      <c r="B786" s="2"/>
      <c r="C786" s="1"/>
      <c r="D786" s="208"/>
      <c r="E786" s="208"/>
      <c r="G786" s="4"/>
      <c r="H786" s="1"/>
    </row>
    <row r="787" spans="1:8" ht="19.5">
      <c r="A787" s="1"/>
      <c r="B787" s="2"/>
      <c r="C787" s="1"/>
      <c r="D787" s="208"/>
      <c r="E787" s="208"/>
      <c r="G787" s="4"/>
      <c r="H787" s="1"/>
    </row>
    <row r="788" spans="1:8" ht="19.5">
      <c r="A788" s="1"/>
      <c r="B788" s="2"/>
      <c r="C788" s="1"/>
      <c r="D788" s="208"/>
      <c r="E788" s="208"/>
      <c r="G788" s="4"/>
      <c r="H788" s="1"/>
    </row>
    <row r="789" spans="1:8" ht="19.5">
      <c r="A789" s="1"/>
      <c r="B789" s="2"/>
      <c r="C789" s="1"/>
      <c r="D789" s="208"/>
      <c r="E789" s="208"/>
      <c r="G789" s="4"/>
      <c r="H789" s="1"/>
    </row>
    <row r="790" spans="1:8" ht="19.5">
      <c r="A790" s="1"/>
      <c r="B790" s="2"/>
      <c r="C790" s="1"/>
      <c r="D790" s="208"/>
      <c r="E790" s="208"/>
      <c r="G790" s="4"/>
      <c r="H790" s="1"/>
    </row>
    <row r="791" spans="1:8" ht="19.5">
      <c r="A791" s="1"/>
      <c r="B791" s="2"/>
      <c r="C791" s="1"/>
      <c r="D791" s="208"/>
      <c r="E791" s="208"/>
      <c r="G791" s="4"/>
      <c r="H791" s="1"/>
    </row>
    <row r="792" spans="1:8" ht="19.5">
      <c r="A792" s="1"/>
      <c r="B792" s="2"/>
      <c r="C792" s="1"/>
      <c r="D792" s="208"/>
      <c r="E792" s="208"/>
      <c r="G792" s="4"/>
      <c r="H792" s="1"/>
    </row>
    <row r="793" spans="1:8" ht="19.5">
      <c r="A793" s="1"/>
      <c r="B793" s="2"/>
      <c r="C793" s="1"/>
      <c r="D793" s="208"/>
      <c r="E793" s="208"/>
      <c r="G793" s="4"/>
      <c r="H793" s="1"/>
    </row>
    <row r="794" spans="1:8" ht="19.5">
      <c r="A794" s="1"/>
      <c r="B794" s="2"/>
      <c r="C794" s="1"/>
      <c r="D794" s="208"/>
      <c r="E794" s="208"/>
      <c r="G794" s="4"/>
      <c r="H794" s="1"/>
    </row>
    <row r="795" spans="1:8" ht="19.5">
      <c r="A795" s="1"/>
      <c r="B795" s="2"/>
      <c r="C795" s="1"/>
      <c r="D795" s="208"/>
      <c r="E795" s="208"/>
      <c r="G795" s="4"/>
      <c r="H795" s="1"/>
    </row>
    <row r="796" spans="1:8" ht="19.5">
      <c r="A796" s="1"/>
      <c r="B796" s="2"/>
      <c r="C796" s="1"/>
      <c r="D796" s="208"/>
      <c r="E796" s="208"/>
      <c r="G796" s="4"/>
      <c r="H796" s="1"/>
    </row>
    <row r="797" spans="1:8" ht="19.5">
      <c r="A797" s="1"/>
      <c r="B797" s="2"/>
      <c r="C797" s="1"/>
      <c r="D797" s="208"/>
      <c r="E797" s="208"/>
      <c r="G797" s="4"/>
      <c r="H797" s="1"/>
    </row>
    <row r="798" spans="1:8" ht="19.5">
      <c r="A798" s="1"/>
      <c r="B798" s="2"/>
      <c r="C798" s="1"/>
      <c r="D798" s="208"/>
      <c r="E798" s="208"/>
      <c r="G798" s="4"/>
      <c r="H798" s="1"/>
    </row>
    <row r="799" spans="1:8" ht="19.5">
      <c r="A799" s="1"/>
      <c r="B799" s="2"/>
      <c r="C799" s="1"/>
      <c r="D799" s="208"/>
      <c r="E799" s="208"/>
      <c r="G799" s="4"/>
      <c r="H799" s="1"/>
    </row>
    <row r="800" spans="1:8" ht="19.5">
      <c r="A800" s="1"/>
      <c r="B800" s="2"/>
      <c r="C800" s="1"/>
      <c r="D800" s="208"/>
      <c r="E800" s="208"/>
      <c r="G800" s="4"/>
      <c r="H800" s="1"/>
    </row>
    <row r="801" spans="1:8" ht="19.5">
      <c r="A801" s="1"/>
      <c r="B801" s="2"/>
      <c r="C801" s="1"/>
      <c r="D801" s="208"/>
      <c r="E801" s="208"/>
      <c r="G801" s="4"/>
      <c r="H801" s="1"/>
    </row>
    <row r="802" spans="1:8" ht="19.5">
      <c r="A802" s="1"/>
      <c r="B802" s="2"/>
      <c r="C802" s="1"/>
      <c r="D802" s="208"/>
      <c r="E802" s="208"/>
      <c r="G802" s="4"/>
      <c r="H802" s="1"/>
    </row>
    <row r="803" spans="1:8" ht="19.5">
      <c r="A803" s="1"/>
      <c r="B803" s="2"/>
      <c r="C803" s="1"/>
      <c r="D803" s="208"/>
      <c r="E803" s="208"/>
      <c r="G803" s="4"/>
      <c r="H803" s="1"/>
    </row>
    <row r="804" spans="1:8" ht="19.5">
      <c r="A804" s="1"/>
      <c r="B804" s="2"/>
      <c r="C804" s="1"/>
      <c r="D804" s="208"/>
      <c r="E804" s="208"/>
      <c r="G804" s="4"/>
      <c r="H804" s="1"/>
    </row>
    <row r="805" spans="1:8" ht="19.5">
      <c r="A805" s="1"/>
      <c r="B805" s="2"/>
      <c r="C805" s="1"/>
      <c r="D805" s="208"/>
      <c r="E805" s="208"/>
      <c r="G805" s="4"/>
      <c r="H805" s="1"/>
    </row>
    <row r="806" spans="1:8" ht="19.5">
      <c r="A806" s="1"/>
      <c r="B806" s="2"/>
      <c r="C806" s="1"/>
      <c r="D806" s="208"/>
      <c r="E806" s="208"/>
      <c r="G806" s="4"/>
      <c r="H806" s="1"/>
    </row>
    <row r="807" spans="1:8" ht="19.5">
      <c r="A807" s="1"/>
      <c r="B807" s="2"/>
      <c r="C807" s="1"/>
      <c r="D807" s="208"/>
      <c r="E807" s="208"/>
      <c r="G807" s="4"/>
      <c r="H807" s="1"/>
    </row>
    <row r="808" spans="1:8" ht="19.5">
      <c r="A808" s="1"/>
      <c r="B808" s="2"/>
      <c r="C808" s="1"/>
      <c r="D808" s="208"/>
      <c r="E808" s="208"/>
      <c r="G808" s="4"/>
      <c r="H808" s="1"/>
    </row>
    <row r="809" spans="1:8" ht="19.5">
      <c r="A809" s="1"/>
      <c r="B809" s="2"/>
      <c r="C809" s="1"/>
      <c r="D809" s="208"/>
      <c r="E809" s="208"/>
      <c r="G809" s="4"/>
      <c r="H809" s="1"/>
    </row>
    <row r="810" spans="1:8" ht="19.5">
      <c r="A810" s="1"/>
      <c r="B810" s="2"/>
      <c r="C810" s="1"/>
      <c r="D810" s="208"/>
      <c r="E810" s="208"/>
      <c r="G810" s="4"/>
      <c r="H810" s="1"/>
    </row>
    <row r="811" spans="1:8" ht="19.5">
      <c r="A811" s="1"/>
      <c r="B811" s="2"/>
      <c r="C811" s="1"/>
      <c r="D811" s="208"/>
      <c r="E811" s="208"/>
      <c r="G811" s="4"/>
      <c r="H811" s="1"/>
    </row>
    <row r="812" spans="1:8" ht="19.5">
      <c r="A812" s="1"/>
      <c r="B812" s="2"/>
      <c r="C812" s="1"/>
      <c r="D812" s="208"/>
      <c r="E812" s="208"/>
      <c r="G812" s="4"/>
      <c r="H812" s="1"/>
    </row>
    <row r="813" spans="1:8" ht="19.5">
      <c r="A813" s="1"/>
      <c r="B813" s="2"/>
      <c r="C813" s="1"/>
      <c r="D813" s="208"/>
      <c r="E813" s="208"/>
      <c r="G813" s="4"/>
      <c r="H813" s="1"/>
    </row>
    <row r="814" spans="1:8" ht="19.5">
      <c r="A814" s="1"/>
      <c r="B814" s="2"/>
      <c r="C814" s="1"/>
      <c r="D814" s="208"/>
      <c r="E814" s="208"/>
      <c r="G814" s="4"/>
      <c r="H814" s="1"/>
    </row>
    <row r="815" spans="1:8" ht="19.5">
      <c r="A815" s="1"/>
      <c r="B815" s="2"/>
      <c r="C815" s="1"/>
      <c r="D815" s="208"/>
      <c r="E815" s="208"/>
      <c r="G815" s="4"/>
      <c r="H815" s="1"/>
    </row>
    <row r="816" spans="1:8" ht="19.5">
      <c r="A816" s="1"/>
      <c r="B816" s="2"/>
      <c r="C816" s="1"/>
      <c r="D816" s="208"/>
      <c r="E816" s="208"/>
      <c r="G816" s="4"/>
      <c r="H816" s="1"/>
    </row>
    <row r="817" spans="1:8" ht="19.5">
      <c r="A817" s="1"/>
      <c r="B817" s="2"/>
      <c r="C817" s="1"/>
      <c r="D817" s="208"/>
      <c r="E817" s="208"/>
      <c r="G817" s="4"/>
      <c r="H817" s="1"/>
    </row>
    <row r="818" spans="1:8" ht="19.5">
      <c r="A818" s="1"/>
      <c r="B818" s="2"/>
      <c r="C818" s="1"/>
      <c r="D818" s="208"/>
      <c r="E818" s="208"/>
      <c r="G818" s="4"/>
      <c r="H818" s="1"/>
    </row>
    <row r="819" spans="1:8" ht="19.5">
      <c r="A819" s="1"/>
      <c r="B819" s="2"/>
      <c r="C819" s="1"/>
      <c r="D819" s="208"/>
      <c r="E819" s="208"/>
      <c r="G819" s="4"/>
      <c r="H819" s="1"/>
    </row>
    <row r="820" spans="1:8" ht="19.5">
      <c r="A820" s="1"/>
      <c r="B820" s="2"/>
      <c r="C820" s="1"/>
      <c r="D820" s="208"/>
      <c r="E820" s="208"/>
      <c r="G820" s="4"/>
      <c r="H820" s="1"/>
    </row>
    <row r="821" spans="1:8" ht="19.5">
      <c r="A821" s="1"/>
      <c r="B821" s="2"/>
      <c r="C821" s="1"/>
      <c r="D821" s="208"/>
      <c r="E821" s="208"/>
      <c r="G821" s="4"/>
      <c r="H821" s="1"/>
    </row>
    <row r="822" spans="1:8" ht="19.5">
      <c r="A822" s="1"/>
      <c r="B822" s="2"/>
      <c r="C822" s="1"/>
      <c r="D822" s="208"/>
      <c r="E822" s="208"/>
      <c r="G822" s="4"/>
      <c r="H822" s="1"/>
    </row>
    <row r="823" spans="1:8" ht="19.5">
      <c r="A823" s="1"/>
      <c r="B823" s="2"/>
      <c r="C823" s="1"/>
      <c r="D823" s="208"/>
      <c r="E823" s="208"/>
      <c r="G823" s="4"/>
      <c r="H823" s="1"/>
    </row>
    <row r="824" spans="1:8" ht="19.5">
      <c r="A824" s="1"/>
      <c r="B824" s="2"/>
      <c r="C824" s="1"/>
      <c r="D824" s="208"/>
      <c r="E824" s="208"/>
      <c r="G824" s="4"/>
      <c r="H824" s="1"/>
    </row>
    <row r="825" spans="1:8" ht="19.5">
      <c r="A825" s="1"/>
      <c r="B825" s="2"/>
      <c r="C825" s="1"/>
      <c r="D825" s="208"/>
      <c r="E825" s="208"/>
      <c r="G825" s="4"/>
      <c r="H825" s="1"/>
    </row>
    <row r="826" spans="1:8" ht="19.5">
      <c r="A826" s="1"/>
      <c r="B826" s="2"/>
      <c r="C826" s="1"/>
      <c r="D826" s="208"/>
      <c r="E826" s="208"/>
      <c r="G826" s="4"/>
      <c r="H826" s="1"/>
    </row>
    <row r="827" spans="1:8" ht="19.5">
      <c r="A827" s="1"/>
      <c r="B827" s="2"/>
      <c r="C827" s="1"/>
      <c r="D827" s="208"/>
      <c r="E827" s="208"/>
      <c r="G827" s="4"/>
      <c r="H827" s="1"/>
    </row>
    <row r="828" spans="1:8" ht="19.5">
      <c r="A828" s="1"/>
      <c r="B828" s="2"/>
      <c r="C828" s="1"/>
      <c r="D828" s="208"/>
      <c r="E828" s="208"/>
      <c r="G828" s="4"/>
      <c r="H828" s="1"/>
    </row>
    <row r="829" spans="1:8" ht="19.5">
      <c r="A829" s="1"/>
      <c r="B829" s="2"/>
      <c r="C829" s="1"/>
      <c r="D829" s="208"/>
      <c r="E829" s="208"/>
      <c r="G829" s="4"/>
      <c r="H829" s="1"/>
    </row>
    <row r="830" spans="1:8" ht="19.5">
      <c r="A830" s="1"/>
      <c r="B830" s="2"/>
      <c r="C830" s="1"/>
      <c r="D830" s="208"/>
      <c r="E830" s="208"/>
      <c r="G830" s="4"/>
      <c r="H830" s="1"/>
    </row>
    <row r="831" spans="1:8" ht="19.5">
      <c r="A831" s="1"/>
      <c r="B831" s="2"/>
      <c r="C831" s="1"/>
      <c r="D831" s="208"/>
      <c r="E831" s="208"/>
      <c r="G831" s="4"/>
      <c r="H831" s="1"/>
    </row>
    <row r="832" spans="1:8" ht="19.5">
      <c r="A832" s="1"/>
      <c r="B832" s="2"/>
      <c r="C832" s="1"/>
      <c r="D832" s="208"/>
      <c r="E832" s="208"/>
      <c r="G832" s="4"/>
      <c r="H832" s="1"/>
    </row>
    <row r="833" spans="1:8" ht="19.5">
      <c r="A833" s="1"/>
      <c r="B833" s="2"/>
      <c r="C833" s="1"/>
      <c r="D833" s="208"/>
      <c r="E833" s="208"/>
      <c r="G833" s="4"/>
      <c r="H833" s="1"/>
    </row>
    <row r="834" spans="1:8" ht="19.5">
      <c r="A834" s="1"/>
      <c r="B834" s="2"/>
      <c r="C834" s="1"/>
      <c r="D834" s="208"/>
      <c r="E834" s="208"/>
      <c r="G834" s="4"/>
      <c r="H834" s="1"/>
    </row>
    <row r="835" spans="1:8" ht="19.5">
      <c r="A835" s="1"/>
      <c r="B835" s="2"/>
      <c r="C835" s="1"/>
      <c r="D835" s="208"/>
      <c r="E835" s="208"/>
      <c r="G835" s="4"/>
      <c r="H835" s="1"/>
    </row>
    <row r="836" spans="1:8" ht="19.5">
      <c r="A836" s="1"/>
      <c r="B836" s="2"/>
      <c r="C836" s="1"/>
      <c r="D836" s="208"/>
      <c r="E836" s="208"/>
      <c r="G836" s="4"/>
      <c r="H836" s="1"/>
    </row>
    <row r="837" spans="1:8" ht="19.5">
      <c r="A837" s="1"/>
      <c r="B837" s="2"/>
      <c r="C837" s="1"/>
      <c r="D837" s="208"/>
      <c r="E837" s="208"/>
      <c r="G837" s="4"/>
      <c r="H837" s="1"/>
    </row>
    <row r="838" spans="1:8" ht="19.5">
      <c r="A838" s="1"/>
      <c r="B838" s="2"/>
      <c r="C838" s="1"/>
      <c r="D838" s="208"/>
      <c r="E838" s="208"/>
      <c r="G838" s="4"/>
      <c r="H838" s="1"/>
    </row>
    <row r="839" spans="1:8" ht="19.5">
      <c r="A839" s="1"/>
      <c r="B839" s="2"/>
      <c r="C839" s="1"/>
      <c r="D839" s="208"/>
      <c r="E839" s="208"/>
      <c r="G839" s="4"/>
      <c r="H839" s="1"/>
    </row>
    <row r="840" spans="1:8" ht="19.5">
      <c r="A840" s="1"/>
      <c r="B840" s="2"/>
      <c r="C840" s="1"/>
      <c r="D840" s="208"/>
      <c r="E840" s="208"/>
      <c r="G840" s="4"/>
      <c r="H840" s="1"/>
    </row>
    <row r="841" spans="1:8" ht="19.5">
      <c r="A841" s="1"/>
      <c r="B841" s="2"/>
      <c r="C841" s="1"/>
      <c r="D841" s="208"/>
      <c r="E841" s="208"/>
      <c r="G841" s="4"/>
      <c r="H841" s="1"/>
    </row>
    <row r="842" spans="1:8" ht="19.5">
      <c r="A842" s="1"/>
      <c r="B842" s="2"/>
      <c r="C842" s="1"/>
      <c r="D842" s="208"/>
      <c r="E842" s="208"/>
      <c r="G842" s="4"/>
      <c r="H842" s="1"/>
    </row>
    <row r="843" spans="1:8" ht="19.5">
      <c r="A843" s="1"/>
      <c r="B843" s="2"/>
      <c r="C843" s="1"/>
      <c r="D843" s="208"/>
      <c r="E843" s="208"/>
      <c r="G843" s="4"/>
      <c r="H843" s="1"/>
    </row>
    <row r="844" spans="1:8" ht="19.5">
      <c r="A844" s="1"/>
      <c r="B844" s="2"/>
      <c r="C844" s="1"/>
      <c r="D844" s="208"/>
      <c r="E844" s="208"/>
      <c r="G844" s="4"/>
      <c r="H844" s="1"/>
    </row>
    <row r="845" spans="1:8" ht="19.5">
      <c r="A845" s="1"/>
      <c r="B845" s="2"/>
      <c r="C845" s="1"/>
      <c r="D845" s="208"/>
      <c r="E845" s="208"/>
      <c r="G845" s="4"/>
      <c r="H845" s="1"/>
    </row>
    <row r="846" spans="1:8" ht="19.5">
      <c r="A846" s="1"/>
      <c r="B846" s="2"/>
      <c r="C846" s="1"/>
      <c r="D846" s="208"/>
      <c r="E846" s="208"/>
      <c r="G846" s="4"/>
      <c r="H846" s="1"/>
    </row>
    <row r="847" spans="1:8" ht="19.5">
      <c r="A847" s="1"/>
      <c r="B847" s="2"/>
      <c r="C847" s="1"/>
      <c r="D847" s="208"/>
      <c r="E847" s="208"/>
      <c r="G847" s="4"/>
      <c r="H847" s="1"/>
    </row>
    <row r="848" spans="1:8" ht="19.5">
      <c r="A848" s="1"/>
      <c r="B848" s="2"/>
      <c r="C848" s="1"/>
      <c r="D848" s="208"/>
      <c r="E848" s="208"/>
      <c r="G848" s="4"/>
      <c r="H848" s="1"/>
    </row>
    <row r="849" spans="1:8" ht="19.5">
      <c r="A849" s="1"/>
      <c r="B849" s="2"/>
      <c r="C849" s="1"/>
      <c r="D849" s="208"/>
      <c r="E849" s="208"/>
      <c r="G849" s="4"/>
      <c r="H849" s="1"/>
    </row>
    <row r="850" spans="1:8" ht="19.5">
      <c r="A850" s="1"/>
      <c r="B850" s="2"/>
      <c r="C850" s="1"/>
      <c r="D850" s="208"/>
      <c r="E850" s="208"/>
      <c r="G850" s="4"/>
      <c r="H850" s="1"/>
    </row>
    <row r="851" spans="1:8" ht="19.5">
      <c r="A851" s="1"/>
      <c r="B851" s="2"/>
      <c r="C851" s="1"/>
      <c r="D851" s="208"/>
      <c r="E851" s="208"/>
      <c r="G851" s="4"/>
      <c r="H851" s="1"/>
    </row>
    <row r="852" spans="1:8" ht="19.5">
      <c r="A852" s="1"/>
      <c r="B852" s="2"/>
      <c r="C852" s="1"/>
      <c r="D852" s="208"/>
      <c r="E852" s="208"/>
      <c r="G852" s="4"/>
      <c r="H852" s="1"/>
    </row>
    <row r="853" spans="1:8" ht="19.5">
      <c r="A853" s="1"/>
      <c r="B853" s="2"/>
      <c r="C853" s="1"/>
      <c r="D853" s="208"/>
      <c r="E853" s="208"/>
      <c r="G853" s="4"/>
      <c r="H853" s="1"/>
    </row>
    <row r="854" spans="1:8" ht="19.5">
      <c r="A854" s="1"/>
      <c r="B854" s="2"/>
      <c r="C854" s="1"/>
      <c r="D854" s="208"/>
      <c r="E854" s="208"/>
      <c r="G854" s="4"/>
      <c r="H854" s="1"/>
    </row>
    <row r="855" spans="1:8" ht="19.5">
      <c r="A855" s="1"/>
      <c r="B855" s="2"/>
      <c r="C855" s="1"/>
      <c r="D855" s="208"/>
      <c r="E855" s="208"/>
      <c r="G855" s="4"/>
      <c r="H855" s="1"/>
    </row>
    <row r="856" spans="1:8" ht="19.5">
      <c r="A856" s="1"/>
      <c r="B856" s="2"/>
      <c r="C856" s="1"/>
      <c r="D856" s="208"/>
      <c r="E856" s="208"/>
      <c r="G856" s="4"/>
      <c r="H856" s="1"/>
    </row>
    <row r="857" spans="1:8" ht="19.5">
      <c r="A857" s="1"/>
      <c r="B857" s="2"/>
      <c r="C857" s="1"/>
      <c r="D857" s="208"/>
      <c r="E857" s="208"/>
      <c r="G857" s="4"/>
      <c r="H857" s="1"/>
    </row>
    <row r="858" spans="1:8" ht="19.5">
      <c r="A858" s="1"/>
      <c r="B858" s="2"/>
      <c r="C858" s="1"/>
      <c r="D858" s="208"/>
      <c r="E858" s="208"/>
      <c r="G858" s="4"/>
      <c r="H858" s="1"/>
    </row>
    <row r="859" spans="1:8" ht="19.5">
      <c r="A859" s="1"/>
      <c r="B859" s="2"/>
      <c r="C859" s="1"/>
      <c r="D859" s="208"/>
      <c r="E859" s="208"/>
      <c r="G859" s="4"/>
      <c r="H859" s="1"/>
    </row>
    <row r="860" spans="1:8" ht="19.5">
      <c r="A860" s="1"/>
      <c r="B860" s="2"/>
      <c r="C860" s="1"/>
      <c r="D860" s="208"/>
      <c r="E860" s="208"/>
      <c r="G860" s="4"/>
      <c r="H860" s="1"/>
    </row>
    <row r="861" spans="1:8" ht="19.5">
      <c r="A861" s="1"/>
      <c r="B861" s="2"/>
      <c r="C861" s="1"/>
      <c r="D861" s="208"/>
      <c r="E861" s="208"/>
      <c r="G861" s="4"/>
      <c r="H861" s="1"/>
    </row>
    <row r="862" spans="1:8" ht="19.5">
      <c r="A862" s="1"/>
      <c r="B862" s="2"/>
      <c r="C862" s="1"/>
      <c r="D862" s="208"/>
      <c r="E862" s="208"/>
      <c r="G862" s="4"/>
      <c r="H862" s="1"/>
    </row>
    <row r="863" spans="1:8" ht="19.5">
      <c r="A863" s="1"/>
      <c r="B863" s="2"/>
      <c r="C863" s="1"/>
      <c r="D863" s="208"/>
      <c r="E863" s="208"/>
      <c r="G863" s="4"/>
      <c r="H863" s="1"/>
    </row>
    <row r="864" spans="1:8" ht="19.5">
      <c r="A864" s="1"/>
      <c r="B864" s="2"/>
      <c r="C864" s="1"/>
      <c r="D864" s="208"/>
      <c r="E864" s="208"/>
      <c r="G864" s="4"/>
      <c r="H864" s="1"/>
    </row>
    <row r="865" spans="1:8" ht="19.5">
      <c r="A865" s="1"/>
      <c r="B865" s="2"/>
      <c r="C865" s="1"/>
      <c r="D865" s="208"/>
      <c r="E865" s="208"/>
      <c r="G865" s="4"/>
      <c r="H865" s="1"/>
    </row>
    <row r="866" spans="1:8" ht="19.5">
      <c r="A866" s="1"/>
      <c r="B866" s="2"/>
      <c r="C866" s="1"/>
      <c r="D866" s="208"/>
      <c r="E866" s="208"/>
      <c r="G866" s="4"/>
      <c r="H866" s="1"/>
    </row>
    <row r="867" spans="1:8" ht="19.5">
      <c r="A867" s="1"/>
      <c r="B867" s="2"/>
      <c r="C867" s="1"/>
      <c r="D867" s="208"/>
      <c r="E867" s="208"/>
      <c r="G867" s="4"/>
      <c r="H867" s="1"/>
    </row>
    <row r="868" spans="1:8" ht="19.5">
      <c r="A868" s="1"/>
      <c r="B868" s="2"/>
      <c r="C868" s="1"/>
      <c r="D868" s="208"/>
      <c r="E868" s="208"/>
      <c r="G868" s="4"/>
      <c r="H868" s="1"/>
    </row>
    <row r="869" spans="1:8" ht="19.5">
      <c r="A869" s="1"/>
      <c r="B869" s="2"/>
      <c r="C869" s="1"/>
      <c r="D869" s="208"/>
      <c r="E869" s="208"/>
      <c r="G869" s="4"/>
      <c r="H869" s="1"/>
    </row>
    <row r="870" spans="1:8" ht="19.5">
      <c r="A870" s="1"/>
      <c r="B870" s="2"/>
      <c r="C870" s="1"/>
      <c r="D870" s="208"/>
      <c r="E870" s="208"/>
      <c r="G870" s="4"/>
      <c r="H870" s="1"/>
    </row>
    <row r="871" spans="1:8" ht="19.5">
      <c r="A871" s="1"/>
      <c r="B871" s="2"/>
      <c r="C871" s="1"/>
      <c r="D871" s="208"/>
      <c r="E871" s="208"/>
      <c r="G871" s="4"/>
      <c r="H871" s="1"/>
    </row>
    <row r="872" spans="1:8" ht="19.5">
      <c r="A872" s="1"/>
      <c r="B872" s="2"/>
      <c r="C872" s="1"/>
      <c r="D872" s="208"/>
      <c r="E872" s="208"/>
      <c r="G872" s="4"/>
      <c r="H872" s="1"/>
    </row>
    <row r="873" spans="1:8" ht="19.5">
      <c r="A873" s="1"/>
      <c r="B873" s="2"/>
      <c r="C873" s="1"/>
      <c r="D873" s="208"/>
      <c r="E873" s="208"/>
      <c r="G873" s="4"/>
      <c r="H873" s="1"/>
    </row>
    <row r="874" spans="1:8" ht="19.5">
      <c r="A874" s="1"/>
      <c r="B874" s="2"/>
      <c r="C874" s="1"/>
      <c r="D874" s="208"/>
      <c r="E874" s="208"/>
      <c r="G874" s="4"/>
      <c r="H874" s="1"/>
    </row>
    <row r="875" spans="1:8" ht="19.5">
      <c r="A875" s="1"/>
      <c r="B875" s="2"/>
      <c r="C875" s="1"/>
      <c r="D875" s="208"/>
      <c r="E875" s="208"/>
      <c r="G875" s="4"/>
      <c r="H875" s="1"/>
    </row>
    <row r="876" spans="1:8" ht="19.5">
      <c r="A876" s="1"/>
      <c r="B876" s="2"/>
      <c r="C876" s="1"/>
      <c r="D876" s="208"/>
      <c r="E876" s="208"/>
      <c r="G876" s="4"/>
      <c r="H876" s="1"/>
    </row>
    <row r="877" spans="1:8" ht="19.5">
      <c r="A877" s="1"/>
      <c r="B877" s="2"/>
      <c r="C877" s="1"/>
      <c r="D877" s="208"/>
      <c r="E877" s="208"/>
      <c r="G877" s="4"/>
      <c r="H877" s="1"/>
    </row>
    <row r="878" spans="1:8" ht="19.5">
      <c r="A878" s="1"/>
      <c r="B878" s="2"/>
      <c r="C878" s="1"/>
      <c r="D878" s="208"/>
      <c r="E878" s="208"/>
      <c r="G878" s="4"/>
      <c r="H878" s="1"/>
    </row>
    <row r="879" spans="1:8" ht="19.5">
      <c r="A879" s="1"/>
      <c r="B879" s="2"/>
      <c r="C879" s="1"/>
      <c r="D879" s="208"/>
      <c r="E879" s="208"/>
      <c r="G879" s="4"/>
      <c r="H879" s="1"/>
    </row>
    <row r="880" spans="1:8" ht="19.5">
      <c r="A880" s="1"/>
      <c r="B880" s="2"/>
      <c r="C880" s="1"/>
      <c r="D880" s="208"/>
      <c r="E880" s="208"/>
      <c r="G880" s="4"/>
      <c r="H880" s="1"/>
    </row>
    <row r="881" spans="1:8" ht="19.5">
      <c r="A881" s="1"/>
      <c r="B881" s="2"/>
      <c r="C881" s="1"/>
      <c r="D881" s="208"/>
      <c r="E881" s="208"/>
      <c r="G881" s="4"/>
      <c r="H881" s="1"/>
    </row>
    <row r="882" spans="1:8" ht="19.5">
      <c r="A882" s="1"/>
      <c r="B882" s="2"/>
      <c r="C882" s="1"/>
      <c r="D882" s="208"/>
      <c r="E882" s="208"/>
      <c r="G882" s="4"/>
      <c r="H882" s="1"/>
    </row>
    <row r="883" spans="1:8" ht="19.5">
      <c r="A883" s="1"/>
      <c r="B883" s="2"/>
      <c r="C883" s="1"/>
      <c r="D883" s="208"/>
      <c r="E883" s="208"/>
      <c r="G883" s="4"/>
      <c r="H883" s="1"/>
    </row>
    <row r="884" spans="1:8" ht="19.5">
      <c r="A884" s="1"/>
      <c r="B884" s="2"/>
      <c r="C884" s="1"/>
      <c r="D884" s="208"/>
      <c r="E884" s="208"/>
      <c r="G884" s="4"/>
      <c r="H884" s="1"/>
    </row>
    <row r="885" spans="1:8" ht="19.5">
      <c r="A885" s="1"/>
      <c r="B885" s="2"/>
      <c r="C885" s="1"/>
      <c r="D885" s="208"/>
      <c r="E885" s="208"/>
      <c r="G885" s="4"/>
      <c r="H885" s="1"/>
    </row>
    <row r="886" spans="1:8" ht="19.5">
      <c r="A886" s="1"/>
      <c r="B886" s="2"/>
      <c r="C886" s="1"/>
      <c r="D886" s="208"/>
      <c r="E886" s="208"/>
      <c r="G886" s="4"/>
      <c r="H886" s="1"/>
    </row>
    <row r="887" spans="1:8" ht="19.5">
      <c r="A887" s="1"/>
      <c r="B887" s="2"/>
      <c r="C887" s="1"/>
      <c r="D887" s="208"/>
      <c r="E887" s="208"/>
      <c r="G887" s="4"/>
      <c r="H887" s="1"/>
    </row>
    <row r="888" spans="1:8" ht="19.5">
      <c r="A888" s="1"/>
      <c r="B888" s="2"/>
      <c r="C888" s="1"/>
      <c r="D888" s="208"/>
      <c r="E888" s="208"/>
      <c r="G888" s="4"/>
      <c r="H888" s="1"/>
    </row>
    <row r="889" spans="1:8" ht="19.5">
      <c r="A889" s="1"/>
      <c r="B889" s="2"/>
      <c r="C889" s="1"/>
      <c r="D889" s="208"/>
      <c r="E889" s="208"/>
      <c r="G889" s="4"/>
      <c r="H889" s="1"/>
    </row>
    <row r="890" spans="1:8" ht="19.5">
      <c r="A890" s="1"/>
      <c r="B890" s="2"/>
      <c r="C890" s="1"/>
      <c r="D890" s="208"/>
      <c r="E890" s="208"/>
      <c r="G890" s="4"/>
      <c r="H890" s="1"/>
    </row>
    <row r="891" spans="1:8" ht="19.5">
      <c r="A891" s="1"/>
      <c r="B891" s="2"/>
      <c r="C891" s="1"/>
      <c r="D891" s="208"/>
      <c r="E891" s="208"/>
      <c r="G891" s="4"/>
      <c r="H891" s="1"/>
    </row>
    <row r="892" spans="1:8" ht="19.5">
      <c r="A892" s="1"/>
      <c r="B892" s="2"/>
      <c r="C892" s="1"/>
      <c r="D892" s="208"/>
      <c r="E892" s="208"/>
      <c r="G892" s="4"/>
      <c r="H892" s="1"/>
    </row>
    <row r="893" spans="1:8" ht="19.5">
      <c r="A893" s="1"/>
      <c r="B893" s="2"/>
      <c r="C893" s="1"/>
      <c r="D893" s="208"/>
      <c r="E893" s="208"/>
      <c r="G893" s="4"/>
      <c r="H893" s="1"/>
    </row>
    <row r="894" spans="1:8" ht="19.5">
      <c r="A894" s="1"/>
      <c r="B894" s="2"/>
      <c r="C894" s="1"/>
      <c r="D894" s="208"/>
      <c r="E894" s="208"/>
      <c r="G894" s="4"/>
      <c r="H894" s="1"/>
    </row>
    <row r="895" spans="1:8" ht="19.5">
      <c r="A895" s="1"/>
      <c r="B895" s="2"/>
      <c r="C895" s="1"/>
      <c r="D895" s="208"/>
      <c r="E895" s="208"/>
      <c r="G895" s="4"/>
      <c r="H895" s="1"/>
    </row>
    <row r="896" spans="1:8" ht="19.5">
      <c r="A896" s="1"/>
      <c r="B896" s="2"/>
      <c r="C896" s="1"/>
      <c r="D896" s="208"/>
      <c r="E896" s="208"/>
      <c r="G896" s="4"/>
      <c r="H896" s="1"/>
    </row>
    <row r="897" spans="1:8" ht="19.5">
      <c r="A897" s="1"/>
      <c r="B897" s="2"/>
      <c r="C897" s="1"/>
      <c r="D897" s="208"/>
      <c r="E897" s="208"/>
      <c r="G897" s="4"/>
      <c r="H897" s="1"/>
    </row>
    <row r="898" spans="1:8" ht="19.5">
      <c r="A898" s="1"/>
      <c r="B898" s="2"/>
      <c r="C898" s="1"/>
      <c r="D898" s="208"/>
      <c r="E898" s="208"/>
      <c r="G898" s="4"/>
      <c r="H898" s="1"/>
    </row>
    <row r="899" spans="1:8" ht="19.5">
      <c r="A899" s="1"/>
      <c r="B899" s="2"/>
      <c r="C899" s="1"/>
      <c r="D899" s="208"/>
      <c r="E899" s="208"/>
      <c r="G899" s="4"/>
      <c r="H899" s="1"/>
    </row>
    <row r="900" spans="1:8" ht="19.5">
      <c r="A900" s="1"/>
      <c r="B900" s="2"/>
      <c r="C900" s="1"/>
      <c r="D900" s="208"/>
      <c r="E900" s="208"/>
      <c r="G900" s="4"/>
      <c r="H900" s="1"/>
    </row>
    <row r="901" spans="1:8" ht="19.5">
      <c r="A901" s="1"/>
      <c r="B901" s="2"/>
      <c r="C901" s="1"/>
      <c r="D901" s="208"/>
      <c r="E901" s="208"/>
      <c r="G901" s="4"/>
      <c r="H901" s="1"/>
    </row>
    <row r="902" spans="1:8" ht="19.5">
      <c r="A902" s="1"/>
      <c r="B902" s="2"/>
      <c r="C902" s="1"/>
      <c r="D902" s="208"/>
      <c r="E902" s="208"/>
      <c r="G902" s="4"/>
      <c r="H902" s="1"/>
    </row>
    <row r="903" spans="1:8" ht="19.5">
      <c r="A903" s="1"/>
      <c r="B903" s="2"/>
      <c r="C903" s="1"/>
      <c r="D903" s="208"/>
      <c r="E903" s="208"/>
      <c r="G903" s="4"/>
      <c r="H903" s="1"/>
    </row>
    <row r="904" spans="1:8" ht="19.5">
      <c r="A904" s="1"/>
      <c r="B904" s="2"/>
      <c r="C904" s="1"/>
      <c r="D904" s="208"/>
      <c r="E904" s="208"/>
      <c r="G904" s="4"/>
      <c r="H904" s="1"/>
    </row>
    <row r="905" spans="1:8" ht="19.5">
      <c r="A905" s="1"/>
      <c r="B905" s="2"/>
      <c r="C905" s="1"/>
      <c r="D905" s="208"/>
      <c r="E905" s="208"/>
      <c r="G905" s="4"/>
      <c r="H905" s="1"/>
    </row>
    <row r="906" spans="1:8" ht="19.5">
      <c r="A906" s="1"/>
      <c r="B906" s="2"/>
      <c r="C906" s="1"/>
      <c r="D906" s="208"/>
      <c r="E906" s="208"/>
      <c r="G906" s="4"/>
      <c r="H906" s="1"/>
    </row>
    <row r="907" spans="1:8" ht="19.5">
      <c r="A907" s="1"/>
      <c r="B907" s="2"/>
      <c r="C907" s="1"/>
      <c r="D907" s="208"/>
      <c r="E907" s="208"/>
      <c r="G907" s="4"/>
      <c r="H907" s="1"/>
    </row>
    <row r="908" spans="1:8" ht="19.5">
      <c r="A908" s="1"/>
      <c r="B908" s="2"/>
      <c r="C908" s="1"/>
      <c r="D908" s="208"/>
      <c r="E908" s="208"/>
      <c r="G908" s="4"/>
      <c r="H908" s="1"/>
    </row>
    <row r="909" spans="1:8" ht="19.5">
      <c r="A909" s="1"/>
      <c r="B909" s="2"/>
      <c r="C909" s="1"/>
      <c r="D909" s="208"/>
      <c r="E909" s="208"/>
      <c r="G909" s="4"/>
      <c r="H909" s="1"/>
    </row>
    <row r="910" spans="1:8" ht="19.5">
      <c r="A910" s="1"/>
      <c r="B910" s="2"/>
      <c r="C910" s="1"/>
      <c r="D910" s="208"/>
      <c r="E910" s="208"/>
      <c r="G910" s="4"/>
      <c r="H910" s="1"/>
    </row>
    <row r="911" spans="1:8" ht="19.5">
      <c r="A911" s="1"/>
      <c r="B911" s="2"/>
      <c r="C911" s="1"/>
      <c r="D911" s="208"/>
      <c r="E911" s="208"/>
      <c r="G911" s="4"/>
      <c r="H911" s="1"/>
    </row>
    <row r="912" spans="1:8" ht="19.5">
      <c r="A912" s="1"/>
      <c r="B912" s="2"/>
      <c r="C912" s="1"/>
      <c r="D912" s="208"/>
      <c r="E912" s="208"/>
      <c r="G912" s="4"/>
      <c r="H912" s="1"/>
    </row>
    <row r="913" spans="1:8" ht="19.5">
      <c r="A913" s="1"/>
      <c r="B913" s="2"/>
      <c r="C913" s="1"/>
      <c r="D913" s="208"/>
      <c r="E913" s="208"/>
      <c r="G913" s="4"/>
      <c r="H913" s="1"/>
    </row>
    <row r="914" spans="1:8" ht="19.5">
      <c r="A914" s="1"/>
      <c r="B914" s="2"/>
      <c r="C914" s="1"/>
      <c r="D914" s="208"/>
      <c r="E914" s="208"/>
      <c r="G914" s="4"/>
      <c r="H914" s="1"/>
    </row>
    <row r="915" spans="1:8" ht="19.5">
      <c r="A915" s="1"/>
      <c r="B915" s="2"/>
      <c r="C915" s="1"/>
      <c r="D915" s="208"/>
      <c r="E915" s="208"/>
      <c r="G915" s="4"/>
      <c r="H915" s="1"/>
    </row>
    <row r="916" spans="1:8" ht="19.5">
      <c r="A916" s="1"/>
      <c r="B916" s="2"/>
      <c r="C916" s="1"/>
      <c r="D916" s="208"/>
      <c r="E916" s="208"/>
      <c r="G916" s="4"/>
      <c r="H916" s="1"/>
    </row>
    <row r="917" spans="1:8" ht="19.5">
      <c r="A917" s="1"/>
      <c r="B917" s="2"/>
      <c r="C917" s="1"/>
      <c r="D917" s="208"/>
      <c r="E917" s="208"/>
      <c r="G917" s="4"/>
      <c r="H917" s="1"/>
    </row>
    <row r="918" spans="1:8" ht="19.5">
      <c r="A918" s="1"/>
      <c r="B918" s="2"/>
      <c r="C918" s="1"/>
      <c r="D918" s="208"/>
      <c r="E918" s="208"/>
      <c r="G918" s="4"/>
      <c r="H918" s="1"/>
    </row>
    <row r="919" spans="1:8" ht="19.5">
      <c r="A919" s="1"/>
      <c r="B919" s="2"/>
      <c r="C919" s="1"/>
      <c r="D919" s="208"/>
      <c r="E919" s="208"/>
      <c r="G919" s="4"/>
      <c r="H919" s="1"/>
    </row>
    <row r="920" spans="1:8" ht="19.5">
      <c r="A920" s="1"/>
      <c r="B920" s="2"/>
      <c r="C920" s="1"/>
      <c r="D920" s="208"/>
      <c r="E920" s="208"/>
      <c r="G920" s="4"/>
      <c r="H920" s="1"/>
    </row>
    <row r="921" spans="1:8" ht="19.5">
      <c r="A921" s="1"/>
      <c r="B921" s="2"/>
      <c r="C921" s="1"/>
      <c r="D921" s="208"/>
      <c r="E921" s="208"/>
      <c r="G921" s="4"/>
      <c r="H921" s="1"/>
    </row>
    <row r="922" spans="1:8" ht="19.5">
      <c r="A922" s="1"/>
      <c r="B922" s="2"/>
      <c r="C922" s="1"/>
      <c r="D922" s="208"/>
      <c r="E922" s="208"/>
      <c r="G922" s="4"/>
      <c r="H922" s="1"/>
    </row>
    <row r="923" spans="1:8" ht="19.5">
      <c r="A923" s="1"/>
      <c r="B923" s="2"/>
      <c r="C923" s="1"/>
      <c r="D923" s="208"/>
      <c r="E923" s="208"/>
      <c r="G923" s="4"/>
      <c r="H923" s="1"/>
    </row>
    <row r="924" spans="1:8" ht="19.5">
      <c r="A924" s="1"/>
      <c r="B924" s="2"/>
      <c r="C924" s="1"/>
      <c r="D924" s="208"/>
      <c r="E924" s="208"/>
      <c r="G924" s="4"/>
      <c r="H924" s="1"/>
    </row>
    <row r="925" spans="1:8" ht="19.5">
      <c r="A925" s="1"/>
      <c r="B925" s="2"/>
      <c r="C925" s="1"/>
      <c r="D925" s="208"/>
      <c r="E925" s="208"/>
      <c r="G925" s="4"/>
      <c r="H925" s="1"/>
    </row>
    <row r="926" spans="1:8" ht="19.5">
      <c r="A926" s="1"/>
      <c r="B926" s="2"/>
      <c r="C926" s="1"/>
      <c r="D926" s="208"/>
      <c r="E926" s="208"/>
      <c r="G926" s="4"/>
      <c r="H926" s="1"/>
    </row>
    <row r="927" spans="1:8" ht="19.5">
      <c r="A927" s="1"/>
      <c r="B927" s="2"/>
      <c r="C927" s="1"/>
      <c r="D927" s="208"/>
      <c r="E927" s="208"/>
      <c r="G927" s="4"/>
      <c r="H927" s="1"/>
    </row>
    <row r="928" spans="1:8" ht="19.5">
      <c r="A928" s="1"/>
      <c r="B928" s="2"/>
      <c r="C928" s="1"/>
      <c r="D928" s="208"/>
      <c r="E928" s="208"/>
      <c r="G928" s="4"/>
      <c r="H928" s="1"/>
    </row>
    <row r="929" spans="1:8" ht="19.5">
      <c r="A929" s="1"/>
      <c r="B929" s="2"/>
      <c r="C929" s="1"/>
      <c r="D929" s="208"/>
      <c r="E929" s="208"/>
      <c r="G929" s="4"/>
      <c r="H929" s="1"/>
    </row>
    <row r="930" spans="1:8" ht="19.5">
      <c r="A930" s="1"/>
      <c r="B930" s="2"/>
      <c r="C930" s="1"/>
      <c r="D930" s="208"/>
      <c r="E930" s="208"/>
      <c r="G930" s="4"/>
      <c r="H930" s="1"/>
    </row>
    <row r="931" spans="1:8" ht="19.5">
      <c r="A931" s="1"/>
      <c r="B931" s="2"/>
      <c r="C931" s="1"/>
      <c r="D931" s="208"/>
      <c r="E931" s="208"/>
      <c r="G931" s="4"/>
      <c r="H931" s="1"/>
    </row>
    <row r="932" spans="1:8" ht="19.5">
      <c r="A932" s="1"/>
      <c r="B932" s="2"/>
      <c r="C932" s="1"/>
      <c r="D932" s="208"/>
      <c r="E932" s="208"/>
      <c r="G932" s="4"/>
      <c r="H932" s="1"/>
    </row>
    <row r="933" spans="1:8" ht="19.5">
      <c r="A933" s="1"/>
      <c r="B933" s="2"/>
      <c r="C933" s="1"/>
      <c r="D933" s="208"/>
      <c r="E933" s="208"/>
      <c r="G933" s="4"/>
      <c r="H933" s="1"/>
    </row>
    <row r="934" spans="1:8" ht="19.5">
      <c r="A934" s="1"/>
      <c r="B934" s="2"/>
      <c r="C934" s="1"/>
      <c r="D934" s="208"/>
      <c r="E934" s="208"/>
      <c r="G934" s="4"/>
      <c r="H934" s="1"/>
    </row>
    <row r="935" spans="1:8" ht="19.5">
      <c r="A935" s="1"/>
      <c r="B935" s="2"/>
      <c r="C935" s="1"/>
      <c r="D935" s="208"/>
      <c r="E935" s="208"/>
      <c r="G935" s="4"/>
      <c r="H935" s="1"/>
    </row>
    <row r="936" spans="1:8" ht="19.5">
      <c r="A936" s="1"/>
      <c r="B936" s="2"/>
      <c r="C936" s="1"/>
      <c r="D936" s="208"/>
      <c r="E936" s="208"/>
      <c r="G936" s="4"/>
      <c r="H936" s="1"/>
    </row>
    <row r="937" spans="1:8" ht="19.5">
      <c r="A937" s="1"/>
      <c r="B937" s="2"/>
      <c r="C937" s="1"/>
      <c r="D937" s="208"/>
      <c r="E937" s="208"/>
      <c r="G937" s="4"/>
      <c r="H937" s="1"/>
    </row>
    <row r="938" spans="1:8" ht="19.5">
      <c r="A938" s="1"/>
      <c r="B938" s="2"/>
      <c r="C938" s="1"/>
      <c r="D938" s="208"/>
      <c r="E938" s="208"/>
      <c r="G938" s="4"/>
      <c r="H938" s="1"/>
    </row>
    <row r="939" spans="1:8" ht="19.5">
      <c r="A939" s="1"/>
      <c r="B939" s="2"/>
      <c r="C939" s="1"/>
      <c r="D939" s="208"/>
      <c r="E939" s="208"/>
      <c r="G939" s="4"/>
      <c r="H939" s="1"/>
    </row>
    <row r="940" spans="1:8" ht="19.5">
      <c r="A940" s="1"/>
      <c r="B940" s="2"/>
      <c r="C940" s="1"/>
      <c r="D940" s="208"/>
      <c r="E940" s="208"/>
      <c r="G940" s="4"/>
      <c r="H940" s="1"/>
    </row>
    <row r="941" spans="1:8" ht="19.5">
      <c r="A941" s="1"/>
      <c r="B941" s="2"/>
      <c r="C941" s="1"/>
      <c r="D941" s="208"/>
      <c r="E941" s="208"/>
      <c r="G941" s="4"/>
      <c r="H941" s="1"/>
    </row>
    <row r="942" spans="1:8" ht="19.5">
      <c r="A942" s="1"/>
      <c r="B942" s="2"/>
      <c r="C942" s="1"/>
      <c r="D942" s="208"/>
      <c r="E942" s="208"/>
      <c r="G942" s="4"/>
      <c r="H942" s="1"/>
    </row>
    <row r="943" spans="1:8" ht="19.5">
      <c r="A943" s="1"/>
      <c r="B943" s="2"/>
      <c r="C943" s="1"/>
      <c r="D943" s="208"/>
      <c r="E943" s="208"/>
      <c r="G943" s="4"/>
      <c r="H943" s="1"/>
    </row>
    <row r="944" spans="1:8" ht="19.5">
      <c r="A944" s="1"/>
      <c r="B944" s="2"/>
      <c r="C944" s="1"/>
      <c r="D944" s="208"/>
      <c r="E944" s="208"/>
      <c r="G944" s="4"/>
      <c r="H944" s="1"/>
    </row>
    <row r="945" spans="1:8" ht="19.5">
      <c r="A945" s="1"/>
      <c r="B945" s="2"/>
      <c r="C945" s="1"/>
      <c r="D945" s="208"/>
      <c r="E945" s="208"/>
      <c r="G945" s="4"/>
      <c r="H945" s="1"/>
    </row>
    <row r="946" spans="1:8" ht="19.5">
      <c r="A946" s="1"/>
      <c r="B946" s="2"/>
      <c r="C946" s="1"/>
      <c r="D946" s="208"/>
      <c r="E946" s="208"/>
      <c r="G946" s="4"/>
      <c r="H946" s="1"/>
    </row>
    <row r="947" spans="1:8" ht="19.5">
      <c r="A947" s="1"/>
      <c r="B947" s="2"/>
      <c r="C947" s="1"/>
      <c r="D947" s="208"/>
      <c r="E947" s="208"/>
      <c r="G947" s="4"/>
      <c r="H947" s="1"/>
    </row>
    <row r="948" spans="1:8" ht="19.5">
      <c r="A948" s="1"/>
      <c r="B948" s="2"/>
      <c r="C948" s="1"/>
      <c r="D948" s="208"/>
      <c r="E948" s="208"/>
      <c r="G948" s="4"/>
      <c r="H948" s="1"/>
    </row>
    <row r="949" spans="1:8" ht="19.5">
      <c r="A949" s="1"/>
      <c r="B949" s="2"/>
      <c r="C949" s="1"/>
      <c r="D949" s="208"/>
      <c r="E949" s="208"/>
      <c r="G949" s="4"/>
      <c r="H949" s="1"/>
    </row>
    <row r="950" spans="1:8" ht="19.5">
      <c r="A950" s="1"/>
      <c r="B950" s="2"/>
      <c r="C950" s="1"/>
      <c r="D950" s="208"/>
      <c r="E950" s="208"/>
      <c r="G950" s="4"/>
      <c r="H950" s="1"/>
    </row>
    <row r="951" spans="1:8" ht="19.5">
      <c r="A951" s="1"/>
      <c r="B951" s="2"/>
      <c r="C951" s="1"/>
      <c r="D951" s="208"/>
      <c r="E951" s="208"/>
      <c r="G951" s="4"/>
      <c r="H951" s="1"/>
    </row>
    <row r="952" spans="1:8" ht="19.5">
      <c r="A952" s="1"/>
      <c r="B952" s="2"/>
      <c r="C952" s="1"/>
      <c r="D952" s="208"/>
      <c r="E952" s="208"/>
      <c r="G952" s="4"/>
      <c r="H952" s="1"/>
    </row>
    <row r="953" spans="1:8" ht="19.5">
      <c r="A953" s="1"/>
      <c r="B953" s="2"/>
      <c r="C953" s="1"/>
      <c r="D953" s="208"/>
      <c r="E953" s="208"/>
      <c r="G953" s="4"/>
      <c r="H953" s="1"/>
    </row>
    <row r="954" spans="1:8" ht="19.5">
      <c r="A954" s="1"/>
      <c r="B954" s="2"/>
      <c r="C954" s="1"/>
      <c r="D954" s="208"/>
      <c r="E954" s="208"/>
      <c r="G954" s="4"/>
      <c r="H954" s="1"/>
    </row>
    <row r="955" spans="1:8" ht="19.5">
      <c r="A955" s="1"/>
      <c r="B955" s="2"/>
      <c r="C955" s="1"/>
      <c r="D955" s="208"/>
      <c r="E955" s="208"/>
      <c r="G955" s="4"/>
      <c r="H955" s="1"/>
    </row>
    <row r="956" spans="1:8" ht="19.5">
      <c r="A956" s="1"/>
      <c r="B956" s="2"/>
      <c r="C956" s="1"/>
      <c r="D956" s="208"/>
      <c r="E956" s="208"/>
      <c r="G956" s="4"/>
      <c r="H956" s="1"/>
    </row>
    <row r="957" spans="1:8" ht="19.5">
      <c r="A957" s="1"/>
      <c r="B957" s="2"/>
      <c r="C957" s="1"/>
      <c r="D957" s="208"/>
      <c r="E957" s="208"/>
      <c r="G957" s="4"/>
      <c r="H957" s="1"/>
    </row>
    <row r="958" spans="1:8" ht="19.5">
      <c r="A958" s="1"/>
      <c r="B958" s="2"/>
      <c r="C958" s="1"/>
      <c r="D958" s="208"/>
      <c r="E958" s="208"/>
      <c r="G958" s="4"/>
      <c r="H958" s="1"/>
    </row>
    <row r="959" spans="1:8" ht="19.5">
      <c r="A959" s="1"/>
      <c r="B959" s="2"/>
      <c r="C959" s="1"/>
      <c r="D959" s="208"/>
      <c r="E959" s="208"/>
      <c r="G959" s="4"/>
      <c r="H959" s="1"/>
    </row>
    <row r="960" spans="1:8" ht="19.5">
      <c r="A960" s="1"/>
      <c r="B960" s="2"/>
      <c r="C960" s="1"/>
      <c r="D960" s="208"/>
      <c r="E960" s="208"/>
      <c r="G960" s="4"/>
      <c r="H960" s="1"/>
    </row>
    <row r="961" spans="1:8" ht="19.5">
      <c r="A961" s="1"/>
      <c r="B961" s="2"/>
      <c r="C961" s="1"/>
      <c r="D961" s="208"/>
      <c r="E961" s="208"/>
      <c r="G961" s="4"/>
      <c r="H961" s="1"/>
    </row>
    <row r="962" spans="1:8" ht="19.5">
      <c r="A962" s="1"/>
      <c r="B962" s="2"/>
      <c r="C962" s="1"/>
      <c r="D962" s="208"/>
      <c r="E962" s="208"/>
      <c r="G962" s="4"/>
      <c r="H962" s="1"/>
    </row>
    <row r="963" spans="1:8" ht="19.5">
      <c r="A963" s="1"/>
      <c r="B963" s="2"/>
      <c r="C963" s="1"/>
      <c r="D963" s="208"/>
      <c r="E963" s="208"/>
      <c r="G963" s="4"/>
      <c r="H963" s="1"/>
    </row>
    <row r="964" spans="1:8" ht="19.5">
      <c r="A964" s="1"/>
      <c r="B964" s="2"/>
      <c r="C964" s="1"/>
      <c r="D964" s="208"/>
      <c r="E964" s="208"/>
      <c r="G964" s="4"/>
      <c r="H964" s="1"/>
    </row>
    <row r="965" spans="1:8" ht="19.5">
      <c r="A965" s="1"/>
      <c r="B965" s="2"/>
      <c r="C965" s="1"/>
      <c r="D965" s="208"/>
      <c r="E965" s="208"/>
      <c r="G965" s="4"/>
      <c r="H965" s="1"/>
    </row>
    <row r="966" spans="1:8" ht="19.5">
      <c r="A966" s="1"/>
      <c r="B966" s="2"/>
      <c r="C966" s="1"/>
      <c r="D966" s="208"/>
      <c r="E966" s="208"/>
      <c r="G966" s="4"/>
      <c r="H966" s="1"/>
    </row>
    <row r="967" spans="1:8" ht="19.5">
      <c r="A967" s="1"/>
      <c r="B967" s="2"/>
      <c r="C967" s="1"/>
      <c r="D967" s="208"/>
      <c r="E967" s="208"/>
      <c r="G967" s="4"/>
      <c r="H967" s="1"/>
    </row>
    <row r="968" spans="1:8" ht="19.5">
      <c r="A968" s="1"/>
      <c r="B968" s="2"/>
      <c r="C968" s="1"/>
      <c r="D968" s="208"/>
      <c r="E968" s="208"/>
      <c r="G968" s="4"/>
      <c r="H968" s="1"/>
    </row>
    <row r="969" spans="1:8" ht="19.5">
      <c r="A969" s="1"/>
      <c r="B969" s="2"/>
      <c r="C969" s="1"/>
      <c r="D969" s="208"/>
      <c r="E969" s="208"/>
      <c r="G969" s="4"/>
      <c r="H969" s="1"/>
    </row>
    <row r="970" spans="1:8" ht="19.5">
      <c r="A970" s="1"/>
      <c r="B970" s="2"/>
      <c r="C970" s="1"/>
      <c r="D970" s="208"/>
      <c r="E970" s="208"/>
      <c r="G970" s="4"/>
      <c r="H970" s="1"/>
    </row>
    <row r="971" spans="1:8" ht="19.5">
      <c r="A971" s="1"/>
      <c r="B971" s="2"/>
      <c r="C971" s="1"/>
      <c r="D971" s="208"/>
      <c r="E971" s="208"/>
      <c r="G971" s="4"/>
      <c r="H971" s="1"/>
    </row>
    <row r="972" spans="1:8" ht="19.5">
      <c r="A972" s="1"/>
      <c r="B972" s="2"/>
      <c r="C972" s="1"/>
      <c r="D972" s="208"/>
      <c r="E972" s="208"/>
      <c r="G972" s="4"/>
      <c r="H972" s="1"/>
    </row>
    <row r="973" spans="1:8" ht="19.5">
      <c r="A973" s="1"/>
      <c r="B973" s="2"/>
      <c r="C973" s="1"/>
      <c r="D973" s="208"/>
      <c r="E973" s="208"/>
      <c r="G973" s="4"/>
      <c r="H973" s="1"/>
    </row>
    <row r="974" spans="1:8" ht="19.5">
      <c r="A974" s="1"/>
      <c r="B974" s="2"/>
      <c r="C974" s="1"/>
      <c r="D974" s="208"/>
      <c r="E974" s="208"/>
      <c r="G974" s="4"/>
      <c r="H974" s="1"/>
    </row>
    <row r="975" spans="1:8" ht="19.5">
      <c r="A975" s="1"/>
      <c r="B975" s="2"/>
      <c r="C975" s="1"/>
      <c r="D975" s="208"/>
      <c r="E975" s="208"/>
      <c r="G975" s="4"/>
      <c r="H975" s="1"/>
    </row>
    <row r="976" spans="1:8" ht="19.5">
      <c r="A976" s="1"/>
      <c r="B976" s="2"/>
      <c r="C976" s="1"/>
      <c r="D976" s="208"/>
      <c r="E976" s="208"/>
      <c r="G976" s="4"/>
      <c r="H976" s="1"/>
    </row>
    <row r="977" spans="1:8" ht="19.5">
      <c r="A977" s="1"/>
      <c r="B977" s="2"/>
      <c r="C977" s="1"/>
      <c r="D977" s="208"/>
      <c r="E977" s="208"/>
      <c r="G977" s="4"/>
      <c r="H977" s="1"/>
    </row>
    <row r="978" spans="1:8" ht="19.5">
      <c r="A978" s="1"/>
      <c r="B978" s="2"/>
      <c r="C978" s="1"/>
      <c r="D978" s="208"/>
      <c r="E978" s="208"/>
      <c r="G978" s="4"/>
      <c r="H978" s="1"/>
    </row>
    <row r="979" spans="1:8" ht="19.5">
      <c r="A979" s="1"/>
      <c r="B979" s="2"/>
      <c r="C979" s="1"/>
      <c r="D979" s="208"/>
      <c r="E979" s="208"/>
      <c r="G979" s="4"/>
      <c r="H979" s="1"/>
    </row>
    <row r="980" spans="1:8" ht="19.5">
      <c r="A980" s="1"/>
      <c r="B980" s="2"/>
      <c r="C980" s="1"/>
      <c r="D980" s="208"/>
      <c r="E980" s="208"/>
      <c r="G980" s="4"/>
      <c r="H980" s="1"/>
    </row>
    <row r="981" spans="1:8" ht="19.5">
      <c r="A981" s="1"/>
      <c r="B981" s="2"/>
      <c r="C981" s="1"/>
      <c r="D981" s="208"/>
      <c r="E981" s="208"/>
      <c r="G981" s="4"/>
      <c r="H981" s="1"/>
    </row>
    <row r="982" spans="1:8" ht="19.5">
      <c r="A982" s="1"/>
      <c r="B982" s="2"/>
      <c r="C982" s="1"/>
      <c r="D982" s="208"/>
      <c r="E982" s="208"/>
      <c r="G982" s="4"/>
      <c r="H982" s="1"/>
    </row>
    <row r="983" spans="1:8" ht="19.5">
      <c r="A983" s="1"/>
      <c r="B983" s="2"/>
      <c r="C983" s="1"/>
      <c r="D983" s="208"/>
      <c r="E983" s="208"/>
      <c r="G983" s="4"/>
      <c r="H983" s="1"/>
    </row>
    <row r="984" spans="1:8" ht="19.5">
      <c r="A984" s="1"/>
      <c r="B984" s="2"/>
      <c r="C984" s="1"/>
      <c r="D984" s="208"/>
      <c r="E984" s="208"/>
      <c r="G984" s="4"/>
      <c r="H984" s="1"/>
    </row>
    <row r="985" spans="1:8" ht="19.5">
      <c r="A985" s="1"/>
      <c r="B985" s="2"/>
      <c r="C985" s="1"/>
      <c r="D985" s="208"/>
      <c r="E985" s="208"/>
      <c r="G985" s="4"/>
      <c r="H985" s="1"/>
    </row>
    <row r="986" spans="1:8" ht="19.5">
      <c r="A986" s="1"/>
      <c r="B986" s="2"/>
      <c r="C986" s="1"/>
      <c r="D986" s="208"/>
      <c r="E986" s="208"/>
      <c r="G986" s="4"/>
      <c r="H986" s="1"/>
    </row>
    <row r="987" spans="1:8" ht="19.5">
      <c r="A987" s="1"/>
      <c r="B987" s="2"/>
      <c r="C987" s="1"/>
      <c r="D987" s="208"/>
      <c r="E987" s="208"/>
      <c r="G987" s="4"/>
      <c r="H987" s="1"/>
    </row>
    <row r="988" spans="1:8" ht="19.5">
      <c r="A988" s="1"/>
      <c r="B988" s="2"/>
      <c r="C988" s="1"/>
      <c r="D988" s="208"/>
      <c r="E988" s="208"/>
      <c r="G988" s="4"/>
      <c r="H988" s="1"/>
    </row>
    <row r="989" spans="1:8" ht="19.5">
      <c r="A989" s="1"/>
      <c r="B989" s="2"/>
      <c r="C989" s="1"/>
      <c r="D989" s="208"/>
      <c r="E989" s="208"/>
      <c r="G989" s="4"/>
      <c r="H989" s="1"/>
    </row>
    <row r="990" spans="1:8" ht="19.5">
      <c r="A990" s="1"/>
      <c r="B990" s="2"/>
      <c r="C990" s="1"/>
      <c r="D990" s="208"/>
      <c r="E990" s="208"/>
      <c r="G990" s="4"/>
      <c r="H990" s="1"/>
    </row>
    <row r="991" spans="1:8" ht="19.5">
      <c r="A991" s="1"/>
      <c r="B991" s="2"/>
      <c r="C991" s="1"/>
      <c r="D991" s="208"/>
      <c r="E991" s="208"/>
      <c r="G991" s="4"/>
      <c r="H991" s="1"/>
    </row>
    <row r="992" spans="1:8" ht="19.5">
      <c r="A992" s="1"/>
      <c r="B992" s="2"/>
      <c r="C992" s="1"/>
      <c r="D992" s="208"/>
      <c r="E992" s="208"/>
      <c r="G992" s="4"/>
      <c r="H992" s="1"/>
    </row>
    <row r="993" spans="1:8" ht="19.5">
      <c r="A993" s="1"/>
      <c r="B993" s="2"/>
      <c r="C993" s="1"/>
      <c r="D993" s="208"/>
      <c r="E993" s="208"/>
      <c r="G993" s="4"/>
      <c r="H993" s="1"/>
    </row>
    <row r="994" spans="1:8" ht="19.5">
      <c r="A994" s="1"/>
      <c r="B994" s="2"/>
      <c r="C994" s="1"/>
      <c r="D994" s="208"/>
      <c r="E994" s="208"/>
      <c r="G994" s="4"/>
      <c r="H994" s="1"/>
    </row>
    <row r="995" spans="1:8" ht="19.5">
      <c r="A995" s="1"/>
      <c r="B995" s="2"/>
      <c r="C995" s="1"/>
      <c r="D995" s="208"/>
      <c r="E995" s="208"/>
      <c r="G995" s="4"/>
      <c r="H995" s="1"/>
    </row>
    <row r="996" spans="1:8" ht="19.5">
      <c r="A996" s="1"/>
      <c r="B996" s="2"/>
      <c r="C996" s="1"/>
      <c r="D996" s="208"/>
      <c r="E996" s="208"/>
      <c r="G996" s="4"/>
      <c r="H996" s="1"/>
    </row>
    <row r="997" spans="1:8" ht="19.5">
      <c r="A997" s="1"/>
      <c r="B997" s="2"/>
      <c r="C997" s="1"/>
      <c r="D997" s="208"/>
      <c r="E997" s="208"/>
      <c r="G997" s="4"/>
      <c r="H997" s="1"/>
    </row>
    <row r="998" spans="1:8" ht="19.5">
      <c r="A998" s="1"/>
      <c r="B998" s="2"/>
      <c r="C998" s="1"/>
      <c r="D998" s="208"/>
      <c r="E998" s="208"/>
      <c r="G998" s="4"/>
      <c r="H998" s="1"/>
    </row>
    <row r="999" spans="1:8" ht="19.5">
      <c r="A999" s="1"/>
      <c r="B999" s="2"/>
      <c r="C999" s="1"/>
      <c r="D999" s="208"/>
      <c r="E999" s="208"/>
      <c r="G999" s="4"/>
      <c r="H999" s="1"/>
    </row>
  </sheetData>
  <mergeCells count="7">
    <mergeCell ref="I43:J43"/>
    <mergeCell ref="I57:J57"/>
    <mergeCell ref="C1:E1"/>
    <mergeCell ref="B2:C2"/>
    <mergeCell ref="I37:J37"/>
    <mergeCell ref="I38:J38"/>
    <mergeCell ref="I42:J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995"/>
  <sheetViews>
    <sheetView workbookViewId="0"/>
  </sheetViews>
  <sheetFormatPr baseColWidth="10" defaultColWidth="14.42578125" defaultRowHeight="15" customHeight="1"/>
  <cols>
    <col min="1" max="1" width="4" customWidth="1"/>
    <col min="2" max="2" width="13.85546875" customWidth="1"/>
    <col min="3" max="3" width="94.85546875" customWidth="1"/>
    <col min="4" max="4" width="11.7109375" customWidth="1"/>
    <col min="5" max="5" width="11.42578125" customWidth="1"/>
    <col min="6" max="6" width="13.42578125" customWidth="1"/>
    <col min="7" max="7" width="22.5703125" customWidth="1"/>
    <col min="8" max="8" width="16.5703125" customWidth="1"/>
    <col min="9" max="9" width="15.85546875" customWidth="1"/>
    <col min="10" max="10" width="11.140625" customWidth="1"/>
    <col min="11" max="11" width="35.42578125" customWidth="1"/>
  </cols>
  <sheetData>
    <row r="1" spans="1:39" ht="23.25" customHeight="1">
      <c r="A1" s="1"/>
      <c r="B1" s="2"/>
      <c r="C1" s="506"/>
      <c r="D1" s="507"/>
      <c r="E1" s="508"/>
      <c r="F1" s="3" t="s">
        <v>0</v>
      </c>
      <c r="G1" s="4"/>
      <c r="H1" s="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1.5" customHeight="1">
      <c r="A2" s="6"/>
      <c r="B2" s="509" t="s">
        <v>61</v>
      </c>
      <c r="C2" s="510"/>
      <c r="D2" s="7">
        <f>SUM(D4:D61)</f>
        <v>1338170</v>
      </c>
      <c r="E2" s="7">
        <f>SUM(E4:E74)</f>
        <v>1447410</v>
      </c>
      <c r="F2" s="8">
        <f>SUM(D2-E2)</f>
        <v>-109240</v>
      </c>
      <c r="G2" s="9"/>
      <c r="H2" s="6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39" ht="23.25" customHeight="1">
      <c r="A3" s="1"/>
      <c r="B3" s="12" t="s">
        <v>2</v>
      </c>
      <c r="C3" s="12" t="s">
        <v>3</v>
      </c>
      <c r="D3" s="13" t="s">
        <v>4</v>
      </c>
      <c r="E3" s="13" t="s">
        <v>5</v>
      </c>
      <c r="F3" s="13" t="s">
        <v>0</v>
      </c>
      <c r="G3" s="14"/>
      <c r="H3" s="1"/>
      <c r="I3" s="5"/>
    </row>
    <row r="4" spans="1:39" ht="15" customHeight="1">
      <c r="A4" s="15"/>
      <c r="B4" s="16"/>
      <c r="C4" s="17" t="s">
        <v>6</v>
      </c>
      <c r="D4" s="18">
        <v>9420</v>
      </c>
      <c r="E4" s="19"/>
      <c r="F4" s="20">
        <v>0</v>
      </c>
      <c r="G4" s="21"/>
      <c r="H4" s="15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1:39" ht="15" customHeight="1">
      <c r="A5" s="15"/>
      <c r="B5" s="16"/>
      <c r="C5" s="23"/>
      <c r="D5" s="24"/>
      <c r="E5" s="25"/>
      <c r="F5" s="26"/>
      <c r="G5" s="21"/>
      <c r="H5" s="15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</row>
    <row r="6" spans="1:39" ht="15" customHeight="1">
      <c r="A6" s="15"/>
      <c r="B6" s="27"/>
      <c r="C6" s="28" t="s">
        <v>7</v>
      </c>
      <c r="D6" s="29"/>
      <c r="E6" s="30"/>
      <c r="F6" s="31"/>
      <c r="G6" s="32">
        <f>SUM(D7:D12)</f>
        <v>100000</v>
      </c>
      <c r="H6" s="15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pans="1:39" ht="31.5" customHeight="1">
      <c r="A7" s="15"/>
      <c r="B7" s="67">
        <v>46178</v>
      </c>
      <c r="C7" s="214" t="s">
        <v>62</v>
      </c>
      <c r="D7" s="215">
        <v>80000</v>
      </c>
      <c r="E7" s="216"/>
      <c r="F7" s="119"/>
      <c r="G7" s="217"/>
      <c r="H7" s="15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15" customHeight="1">
      <c r="A8" s="15"/>
      <c r="B8" s="33">
        <v>46179</v>
      </c>
      <c r="C8" s="34" t="s">
        <v>63</v>
      </c>
      <c r="D8" s="35">
        <v>20000</v>
      </c>
      <c r="E8" s="36"/>
      <c r="F8" s="37"/>
      <c r="G8" s="38"/>
      <c r="H8" s="15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pans="1:39" ht="15" customHeight="1">
      <c r="A9" s="15"/>
      <c r="B9" s="33"/>
      <c r="C9" s="39"/>
      <c r="D9" s="35"/>
      <c r="E9" s="36"/>
      <c r="F9" s="37"/>
      <c r="G9" s="38"/>
      <c r="H9" s="15"/>
      <c r="I9" s="40"/>
      <c r="J9" s="40"/>
      <c r="K9" s="4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pans="1:39" ht="15" customHeight="1">
      <c r="A10" s="15"/>
      <c r="B10" s="33"/>
      <c r="C10" s="39"/>
      <c r="D10" s="35"/>
      <c r="E10" s="36"/>
      <c r="F10" s="37"/>
      <c r="G10" s="38"/>
      <c r="H10" s="15"/>
      <c r="I10" s="40"/>
      <c r="J10" s="40"/>
      <c r="K10" s="40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</row>
    <row r="11" spans="1:39" ht="15" customHeight="1">
      <c r="A11" s="15"/>
      <c r="B11" s="33"/>
      <c r="C11" s="28" t="s">
        <v>64</v>
      </c>
      <c r="D11" s="29"/>
      <c r="E11" s="30"/>
      <c r="F11" s="31"/>
      <c r="G11" s="32">
        <f>SUM(E12:E13)</f>
        <v>100000</v>
      </c>
      <c r="H11" s="15"/>
      <c r="I11" s="40"/>
      <c r="J11" s="40"/>
      <c r="K11" s="40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39" ht="29.25" customHeight="1">
      <c r="A12" s="15"/>
      <c r="B12" s="202">
        <v>46202</v>
      </c>
      <c r="C12" s="41" t="s">
        <v>65</v>
      </c>
      <c r="D12" s="42"/>
      <c r="E12" s="138">
        <v>100000</v>
      </c>
      <c r="F12" s="20"/>
      <c r="G12" s="38"/>
      <c r="H12" s="15"/>
      <c r="I12" s="40"/>
      <c r="J12" s="40"/>
      <c r="K12" s="40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</row>
    <row r="13" spans="1:39" ht="15" customHeight="1">
      <c r="A13" s="15"/>
      <c r="B13" s="218">
        <v>46183</v>
      </c>
      <c r="C13" s="219" t="s">
        <v>66</v>
      </c>
      <c r="D13" s="46"/>
      <c r="E13" s="19"/>
      <c r="F13" s="20"/>
      <c r="G13" s="48"/>
      <c r="H13" s="49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39" ht="15" customHeight="1">
      <c r="A14" s="50"/>
      <c r="B14" s="51"/>
      <c r="C14" s="58"/>
      <c r="D14" s="53"/>
      <c r="E14" s="54"/>
      <c r="F14" s="55"/>
      <c r="G14" s="56"/>
      <c r="H14" s="57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</row>
    <row r="15" spans="1:39" ht="15" customHeight="1">
      <c r="A15" s="59"/>
      <c r="B15" s="60"/>
      <c r="C15" s="61" t="s">
        <v>12</v>
      </c>
      <c r="D15" s="62"/>
      <c r="E15" s="63"/>
      <c r="F15" s="64"/>
      <c r="G15" s="65">
        <f>SUM(E16:E21)</f>
        <v>0</v>
      </c>
      <c r="H15" s="49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15" customHeight="1">
      <c r="A16" s="66"/>
      <c r="B16" s="67"/>
      <c r="C16" s="68" t="s">
        <v>13</v>
      </c>
      <c r="D16" s="69"/>
      <c r="E16" s="70"/>
      <c r="F16" s="71"/>
      <c r="G16" s="72"/>
      <c r="H16" s="73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</row>
    <row r="17" spans="1:39" ht="15" customHeight="1">
      <c r="A17" s="59"/>
      <c r="B17" s="75"/>
      <c r="C17" s="75"/>
      <c r="D17" s="75"/>
      <c r="E17" s="75"/>
      <c r="F17" s="76"/>
      <c r="G17" s="77"/>
      <c r="H17" s="15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" customHeight="1">
      <c r="A18" s="59"/>
      <c r="B18" s="78"/>
      <c r="C18" s="79"/>
      <c r="D18" s="46"/>
      <c r="E18" s="80"/>
      <c r="F18" s="81"/>
      <c r="G18" s="77"/>
      <c r="H18" s="15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39" ht="15" customHeight="1">
      <c r="A19" s="59"/>
      <c r="B19" s="78"/>
      <c r="C19" s="79" t="s">
        <v>14</v>
      </c>
      <c r="D19" s="46"/>
      <c r="E19" s="80"/>
      <c r="F19" s="82"/>
      <c r="G19" s="77"/>
      <c r="H19" s="15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39" ht="15" customHeight="1">
      <c r="A20" s="15"/>
      <c r="B20" s="83"/>
      <c r="C20" s="84"/>
      <c r="D20" s="80"/>
      <c r="E20" s="47"/>
      <c r="F20" s="20"/>
      <c r="G20" s="85" t="s">
        <v>15</v>
      </c>
      <c r="H20" s="86" t="s">
        <v>16</v>
      </c>
      <c r="I20" s="87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39" ht="15" customHeight="1">
      <c r="A21" s="15"/>
      <c r="B21" s="83"/>
      <c r="C21" s="88"/>
      <c r="D21" s="80"/>
      <c r="E21" s="19"/>
      <c r="F21" s="20"/>
      <c r="G21" s="89" t="s">
        <v>17</v>
      </c>
      <c r="H21" s="89" t="s">
        <v>17</v>
      </c>
      <c r="I21" s="87" t="s">
        <v>18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39" ht="15" customHeight="1">
      <c r="A22" s="15"/>
      <c r="B22" s="90"/>
      <c r="C22" s="91" t="s">
        <v>19</v>
      </c>
      <c r="D22" s="92"/>
      <c r="E22" s="93"/>
      <c r="F22" s="94"/>
      <c r="G22" s="95">
        <f>SUM(D23:D32)</f>
        <v>1228750</v>
      </c>
      <c r="H22" s="96">
        <v>1313750</v>
      </c>
      <c r="I22" s="97">
        <f>SUM(G22-H22)</f>
        <v>-85000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 ht="18" customHeight="1">
      <c r="A23" s="15"/>
      <c r="B23" s="98"/>
      <c r="C23" s="99"/>
      <c r="D23" s="100"/>
      <c r="E23" s="80"/>
      <c r="F23" s="82"/>
      <c r="H23" s="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 ht="18" customHeight="1">
      <c r="A24" s="15"/>
      <c r="B24" s="33">
        <v>46178</v>
      </c>
      <c r="C24" s="101" t="s">
        <v>20</v>
      </c>
      <c r="D24" s="220">
        <v>63000</v>
      </c>
      <c r="E24" s="103"/>
      <c r="F24" s="81"/>
      <c r="G24" s="104"/>
      <c r="H24" s="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</row>
    <row r="25" spans="1:39" ht="16.5" customHeight="1">
      <c r="A25" s="15"/>
      <c r="B25" s="33">
        <v>46176</v>
      </c>
      <c r="C25" s="105" t="s">
        <v>21</v>
      </c>
      <c r="D25" s="220">
        <v>100000</v>
      </c>
      <c r="E25" s="80"/>
      <c r="F25" s="82"/>
      <c r="G25" s="106"/>
      <c r="H25" s="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39" ht="17.25" customHeight="1">
      <c r="A26" s="15"/>
      <c r="B26" s="33">
        <v>46182</v>
      </c>
      <c r="C26" s="105" t="s">
        <v>22</v>
      </c>
      <c r="D26" s="221">
        <v>126000</v>
      </c>
      <c r="E26" s="80"/>
      <c r="F26" s="82"/>
      <c r="G26" s="106"/>
      <c r="H26" s="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39" ht="17.25" customHeight="1">
      <c r="A27" s="15"/>
      <c r="B27" s="33">
        <v>46176</v>
      </c>
      <c r="C27" s="105" t="s">
        <v>23</v>
      </c>
      <c r="D27" s="221">
        <v>53000</v>
      </c>
      <c r="E27" s="80"/>
      <c r="F27" s="82"/>
      <c r="G27" s="106"/>
      <c r="H27" s="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39" ht="17.25" customHeight="1">
      <c r="A28" s="15"/>
      <c r="B28" s="33">
        <v>46178</v>
      </c>
      <c r="C28" s="105" t="s">
        <v>24</v>
      </c>
      <c r="D28" s="110">
        <v>90000</v>
      </c>
      <c r="E28" s="80"/>
      <c r="F28" s="82"/>
      <c r="G28" s="106"/>
      <c r="H28" s="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39" ht="17.25" customHeight="1">
      <c r="A29" s="15"/>
      <c r="B29" s="33">
        <v>46183</v>
      </c>
      <c r="C29" s="108" t="s">
        <v>25</v>
      </c>
      <c r="D29" s="110">
        <v>90000</v>
      </c>
      <c r="E29" s="80"/>
      <c r="F29" s="82"/>
      <c r="G29" s="106"/>
      <c r="H29" s="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 ht="17.25" customHeight="1">
      <c r="A30" s="15"/>
      <c r="B30" s="33">
        <v>46182</v>
      </c>
      <c r="C30" s="105" t="s">
        <v>67</v>
      </c>
      <c r="D30" s="110">
        <v>89250</v>
      </c>
      <c r="E30" s="80"/>
      <c r="F30" s="82"/>
      <c r="G30" s="106"/>
      <c r="H30" s="15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</row>
    <row r="31" spans="1:39" ht="17.25" customHeight="1">
      <c r="A31" s="15"/>
      <c r="B31" s="33">
        <v>46193</v>
      </c>
      <c r="C31" s="105" t="s">
        <v>27</v>
      </c>
      <c r="D31" s="110"/>
      <c r="E31" s="80"/>
      <c r="F31" s="82"/>
      <c r="G31" s="106"/>
      <c r="H31" s="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 ht="17.25" customHeight="1">
      <c r="A32" s="15"/>
      <c r="B32" s="33">
        <v>46191</v>
      </c>
      <c r="C32" s="109" t="s">
        <v>68</v>
      </c>
      <c r="D32" s="110">
        <v>617500</v>
      </c>
      <c r="E32" s="80"/>
      <c r="F32" s="82"/>
      <c r="G32" s="106"/>
      <c r="H32" s="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</row>
    <row r="33" spans="1:39" ht="17.25" customHeight="1">
      <c r="A33" s="15"/>
      <c r="B33" s="83"/>
      <c r="C33" s="111"/>
      <c r="D33" s="112"/>
      <c r="E33" s="80"/>
      <c r="F33" s="20"/>
      <c r="G33" s="77"/>
      <c r="H33" s="15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39" ht="17.25" customHeight="1">
      <c r="A34" s="15"/>
      <c r="B34" s="113"/>
      <c r="C34" s="114" t="s">
        <v>29</v>
      </c>
      <c r="D34" s="29"/>
      <c r="E34" s="30"/>
      <c r="F34" s="31"/>
      <c r="G34" s="95">
        <f>SUM(E35)</f>
        <v>700000</v>
      </c>
      <c r="H34" s="115">
        <v>700000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 ht="33.75" customHeight="1">
      <c r="A35" s="15"/>
      <c r="B35" s="67">
        <v>46183</v>
      </c>
      <c r="C35" s="116" t="s">
        <v>69</v>
      </c>
      <c r="D35" s="117"/>
      <c r="E35" s="146">
        <v>700000</v>
      </c>
      <c r="F35" s="119"/>
      <c r="G35" s="77"/>
      <c r="H35" s="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39" ht="17.25" customHeight="1">
      <c r="A36" s="15"/>
      <c r="B36" s="83"/>
      <c r="C36" s="120"/>
      <c r="D36" s="121"/>
      <c r="E36" s="122"/>
      <c r="F36" s="26"/>
      <c r="G36" s="77"/>
      <c r="H36" s="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</row>
    <row r="37" spans="1:39" ht="17.25" customHeight="1">
      <c r="A37" s="15"/>
      <c r="B37" s="123"/>
      <c r="C37" s="124" t="s">
        <v>31</v>
      </c>
      <c r="D37" s="29"/>
      <c r="E37" s="30"/>
      <c r="F37" s="31"/>
      <c r="G37" s="95">
        <f>SUM(E38:E41)</f>
        <v>181710</v>
      </c>
      <c r="H37" s="125">
        <v>177000</v>
      </c>
      <c r="I37" s="511" t="s">
        <v>32</v>
      </c>
      <c r="J37" s="508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39" ht="15" customHeight="1">
      <c r="A38" s="15"/>
      <c r="B38" s="67">
        <v>46189</v>
      </c>
      <c r="C38" s="126" t="s">
        <v>70</v>
      </c>
      <c r="D38" s="127"/>
      <c r="E38" s="128">
        <v>16750</v>
      </c>
      <c r="F38" s="119"/>
      <c r="G38" s="77"/>
      <c r="H38" s="129">
        <f>SUM(H37-E38-E39-E40)</f>
        <v>-4710</v>
      </c>
      <c r="I38" s="512" t="s">
        <v>34</v>
      </c>
      <c r="J38" s="508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39" ht="15" customHeight="1">
      <c r="A39" s="15"/>
      <c r="B39" s="67">
        <v>46189</v>
      </c>
      <c r="C39" s="130" t="s">
        <v>71</v>
      </c>
      <c r="D39" s="46"/>
      <c r="E39" s="110">
        <v>97000</v>
      </c>
      <c r="F39" s="82"/>
      <c r="G39" s="77"/>
      <c r="H39" s="1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</row>
    <row r="40" spans="1:39" ht="15" customHeight="1">
      <c r="A40" s="15"/>
      <c r="B40" s="67">
        <v>46189</v>
      </c>
      <c r="C40" s="131" t="s">
        <v>72</v>
      </c>
      <c r="D40" s="46"/>
      <c r="E40" s="110">
        <v>67960</v>
      </c>
      <c r="F40" s="82"/>
      <c r="G40" s="77"/>
      <c r="H40" s="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</row>
    <row r="41" spans="1:39" ht="15" customHeight="1">
      <c r="A41" s="15"/>
      <c r="B41" s="132"/>
      <c r="C41" s="133"/>
      <c r="D41" s="46"/>
      <c r="E41" s="80"/>
      <c r="F41" s="82"/>
      <c r="G41" s="77"/>
      <c r="H41" s="1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</row>
    <row r="42" spans="1:39" ht="15" customHeight="1">
      <c r="A42" s="15"/>
      <c r="B42" s="27"/>
      <c r="C42" s="28" t="s">
        <v>37</v>
      </c>
      <c r="D42" s="29"/>
      <c r="E42" s="30"/>
      <c r="F42" s="31"/>
      <c r="G42" s="95">
        <f>SUM(E43:E56)</f>
        <v>120000</v>
      </c>
      <c r="H42" s="125">
        <v>90000</v>
      </c>
      <c r="I42" s="511" t="s">
        <v>32</v>
      </c>
      <c r="J42" s="508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</row>
    <row r="43" spans="1:39" ht="15" customHeight="1">
      <c r="A43" s="15"/>
      <c r="B43" s="33">
        <v>46174</v>
      </c>
      <c r="C43" s="134" t="s">
        <v>73</v>
      </c>
      <c r="D43" s="80"/>
      <c r="E43" s="222">
        <v>10000</v>
      </c>
      <c r="F43" s="20"/>
      <c r="G43" s="77"/>
      <c r="H43" s="129">
        <f>SUM(H42-G42)</f>
        <v>-30000</v>
      </c>
      <c r="I43" s="512" t="s">
        <v>34</v>
      </c>
      <c r="J43" s="508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39" ht="15" customHeight="1">
      <c r="A44" s="15"/>
      <c r="B44" s="33">
        <v>46176</v>
      </c>
      <c r="C44" s="134" t="s">
        <v>74</v>
      </c>
      <c r="D44" s="80"/>
      <c r="E44" s="222">
        <v>10000</v>
      </c>
      <c r="F44" s="20"/>
      <c r="G44" s="77"/>
      <c r="H44" s="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39" ht="15" customHeight="1">
      <c r="A45" s="15"/>
      <c r="B45" s="33">
        <v>46177</v>
      </c>
      <c r="C45" s="134" t="s">
        <v>75</v>
      </c>
      <c r="D45" s="136"/>
      <c r="E45" s="222">
        <v>10000</v>
      </c>
      <c r="F45" s="82"/>
      <c r="G45" s="77"/>
      <c r="H45" s="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</row>
    <row r="46" spans="1:39" ht="15" customHeight="1">
      <c r="A46" s="15"/>
      <c r="B46" s="33">
        <v>46182</v>
      </c>
      <c r="C46" s="134" t="s">
        <v>76</v>
      </c>
      <c r="D46" s="136"/>
      <c r="E46" s="222">
        <v>10000</v>
      </c>
      <c r="F46" s="20"/>
      <c r="G46" s="22"/>
      <c r="H46" s="15"/>
      <c r="I46" s="22"/>
      <c r="J46" s="15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</row>
    <row r="47" spans="1:39" ht="15" customHeight="1">
      <c r="A47" s="15"/>
      <c r="B47" s="33">
        <v>46184</v>
      </c>
      <c r="C47" s="134" t="s">
        <v>77</v>
      </c>
      <c r="D47" s="80"/>
      <c r="E47" s="222">
        <v>10000</v>
      </c>
      <c r="F47" s="20"/>
      <c r="G47" s="22"/>
      <c r="H47" s="1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</row>
    <row r="48" spans="1:39" ht="15" customHeight="1">
      <c r="A48" s="15"/>
      <c r="B48" s="33">
        <v>46189</v>
      </c>
      <c r="C48" s="134" t="s">
        <v>78</v>
      </c>
      <c r="D48" s="137"/>
      <c r="E48" s="138">
        <v>10000</v>
      </c>
      <c r="F48" s="139"/>
      <c r="G48" s="77"/>
      <c r="H48" s="15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</row>
    <row r="49" spans="1:39" ht="15" customHeight="1">
      <c r="A49" s="15"/>
      <c r="B49" s="33">
        <v>46192</v>
      </c>
      <c r="C49" s="134" t="s">
        <v>79</v>
      </c>
      <c r="D49" s="80"/>
      <c r="E49" s="138">
        <v>10000</v>
      </c>
      <c r="F49" s="139"/>
      <c r="G49" s="77"/>
      <c r="H49" s="15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</row>
    <row r="50" spans="1:39" ht="15" customHeight="1">
      <c r="A50" s="59"/>
      <c r="B50" s="33">
        <v>46193</v>
      </c>
      <c r="C50" s="134" t="s">
        <v>80</v>
      </c>
      <c r="D50" s="46"/>
      <c r="E50" s="138">
        <v>10000</v>
      </c>
      <c r="F50" s="20"/>
      <c r="G50" s="140"/>
      <c r="H50" s="141"/>
      <c r="I50" s="40"/>
      <c r="J50" s="40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39" ht="15" customHeight="1">
      <c r="A51" s="59"/>
      <c r="B51" s="33">
        <v>46195</v>
      </c>
      <c r="C51" s="134" t="s">
        <v>81</v>
      </c>
      <c r="D51" s="46"/>
      <c r="E51" s="138">
        <v>10000</v>
      </c>
      <c r="F51" s="20"/>
      <c r="G51" s="142"/>
      <c r="H51" s="143"/>
      <c r="I51" s="141"/>
      <c r="J51" s="144"/>
      <c r="K51" s="145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</row>
    <row r="52" spans="1:39" ht="15" customHeight="1">
      <c r="A52" s="59"/>
      <c r="B52" s="33">
        <v>46198</v>
      </c>
      <c r="C52" s="134" t="s">
        <v>82</v>
      </c>
      <c r="D52" s="46"/>
      <c r="E52" s="138">
        <v>10000</v>
      </c>
      <c r="F52" s="20"/>
      <c r="G52" s="142"/>
      <c r="H52" s="143"/>
      <c r="I52" s="141"/>
      <c r="J52" s="144"/>
      <c r="K52" s="145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</row>
    <row r="53" spans="1:39" ht="15" customHeight="1">
      <c r="A53" s="59"/>
      <c r="B53" s="33">
        <v>46200</v>
      </c>
      <c r="C53" s="134" t="s">
        <v>83</v>
      </c>
      <c r="D53" s="46"/>
      <c r="E53" s="223">
        <v>10000</v>
      </c>
      <c r="F53" s="20"/>
      <c r="G53" s="142"/>
      <c r="H53" s="143"/>
      <c r="I53" s="141"/>
      <c r="J53" s="144"/>
      <c r="K53" s="145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</row>
    <row r="54" spans="1:39" ht="15" customHeight="1">
      <c r="A54" s="59"/>
      <c r="B54" s="33">
        <v>46203</v>
      </c>
      <c r="C54" s="134" t="s">
        <v>84</v>
      </c>
      <c r="D54" s="46"/>
      <c r="E54" s="223">
        <v>10000</v>
      </c>
      <c r="F54" s="20"/>
      <c r="G54" s="142"/>
      <c r="H54" s="143"/>
      <c r="I54" s="141"/>
      <c r="J54" s="144"/>
      <c r="K54" s="145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</row>
    <row r="55" spans="1:39" ht="15" customHeight="1">
      <c r="A55" s="59"/>
      <c r="B55" s="33"/>
      <c r="C55" s="134"/>
      <c r="D55" s="46"/>
      <c r="E55" s="223"/>
      <c r="F55" s="20"/>
      <c r="G55" s="142"/>
      <c r="H55" s="143"/>
      <c r="I55" s="141"/>
      <c r="J55" s="144"/>
      <c r="K55" s="145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</row>
    <row r="56" spans="1:39" ht="15" customHeight="1">
      <c r="A56" s="59"/>
      <c r="B56" s="33"/>
      <c r="C56" s="134"/>
      <c r="D56" s="46"/>
      <c r="E56" s="146"/>
      <c r="F56" s="20"/>
      <c r="G56" s="142"/>
      <c r="H56" s="143"/>
      <c r="I56" s="141"/>
      <c r="J56" s="144"/>
      <c r="K56" s="145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</row>
    <row r="57" spans="1:39" ht="15" customHeight="1">
      <c r="A57" s="59"/>
      <c r="B57" s="147"/>
      <c r="C57" s="148" t="s">
        <v>43</v>
      </c>
      <c r="D57" s="149"/>
      <c r="E57" s="150"/>
      <c r="F57" s="151"/>
      <c r="G57" s="152">
        <f>SUM(E57:E58)</f>
        <v>152400</v>
      </c>
      <c r="H57" s="153">
        <v>136750</v>
      </c>
      <c r="I57" s="15" t="s">
        <v>44</v>
      </c>
      <c r="J57" s="154">
        <v>221750</v>
      </c>
      <c r="K57" s="145" t="s">
        <v>45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39" ht="15" customHeight="1">
      <c r="A58" s="59"/>
      <c r="B58" s="33">
        <v>46175</v>
      </c>
      <c r="C58" s="155" t="s">
        <v>85</v>
      </c>
      <c r="D58" s="53"/>
      <c r="E58" s="224">
        <v>152400</v>
      </c>
      <c r="F58" s="157"/>
      <c r="G58" s="158"/>
      <c r="H58" s="143"/>
      <c r="I58" s="22"/>
      <c r="J58" s="159">
        <f>SUM(E58:E61)</f>
        <v>242700</v>
      </c>
      <c r="K58" s="86" t="s">
        <v>47</v>
      </c>
      <c r="L58" s="145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39" ht="15" customHeight="1">
      <c r="A59" s="59"/>
      <c r="B59" s="60"/>
      <c r="C59" s="160"/>
      <c r="D59" s="161"/>
      <c r="E59" s="19"/>
      <c r="F59" s="20"/>
      <c r="G59" s="162"/>
      <c r="H59" s="15"/>
      <c r="I59" s="22"/>
      <c r="J59" s="129">
        <f>SUM(J57-J58)</f>
        <v>-20950</v>
      </c>
      <c r="K59" s="87" t="s">
        <v>34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</row>
    <row r="60" spans="1:39" ht="15" customHeight="1">
      <c r="A60" s="59"/>
      <c r="B60" s="147"/>
      <c r="C60" s="163" t="s">
        <v>48</v>
      </c>
      <c r="D60" s="149"/>
      <c r="E60" s="150"/>
      <c r="F60" s="151"/>
      <c r="G60" s="164">
        <f>SUM(E60:E61)</f>
        <v>90300</v>
      </c>
      <c r="H60" s="153">
        <v>85000</v>
      </c>
      <c r="I60" s="15" t="s">
        <v>44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</row>
    <row r="61" spans="1:39" ht="15" customHeight="1">
      <c r="A61" s="59"/>
      <c r="B61" s="33">
        <v>46176</v>
      </c>
      <c r="C61" s="165" t="s">
        <v>86</v>
      </c>
      <c r="D61" s="166"/>
      <c r="E61" s="110">
        <v>90300</v>
      </c>
      <c r="F61" s="20"/>
      <c r="G61" s="162"/>
      <c r="H61" s="1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</row>
    <row r="62" spans="1:39" ht="15" customHeight="1">
      <c r="A62" s="59"/>
      <c r="B62" s="60"/>
      <c r="C62" s="160"/>
      <c r="D62" s="46"/>
      <c r="E62" s="19"/>
      <c r="F62" s="20"/>
      <c r="G62" s="167"/>
      <c r="H62" s="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</row>
    <row r="63" spans="1:39" ht="15" customHeight="1">
      <c r="A63" s="15"/>
      <c r="B63" s="27"/>
      <c r="C63" s="168" t="s">
        <v>50</v>
      </c>
      <c r="D63" s="169"/>
      <c r="E63" s="170"/>
      <c r="F63" s="171"/>
      <c r="G63" s="172">
        <f>SUM(E64:E66)</f>
        <v>7000</v>
      </c>
      <c r="H63" s="49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</row>
    <row r="64" spans="1:39" ht="15" customHeight="1">
      <c r="A64" s="15"/>
      <c r="B64" s="33">
        <v>46175</v>
      </c>
      <c r="C64" s="173" t="s">
        <v>87</v>
      </c>
      <c r="D64" s="174"/>
      <c r="E64" s="225">
        <v>7000</v>
      </c>
      <c r="F64" s="37"/>
      <c r="G64" s="176"/>
      <c r="H64" s="1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</row>
    <row r="65" spans="1:39" ht="15" customHeight="1">
      <c r="A65" s="15"/>
      <c r="B65" s="33"/>
      <c r="C65" s="180"/>
      <c r="D65" s="46"/>
      <c r="E65" s="47"/>
      <c r="F65" s="20"/>
      <c r="G65" s="48"/>
      <c r="H65" s="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</row>
    <row r="66" spans="1:39" ht="15" customHeight="1">
      <c r="A66" s="15"/>
      <c r="B66" s="60"/>
      <c r="C66" s="196"/>
      <c r="D66" s="46"/>
      <c r="E66" s="19"/>
      <c r="F66" s="20"/>
      <c r="G66" s="48"/>
      <c r="H66" s="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</row>
    <row r="67" spans="1:39" ht="15" customHeight="1">
      <c r="A67" s="15"/>
      <c r="B67" s="60"/>
      <c r="C67" s="183" t="s">
        <v>58</v>
      </c>
      <c r="D67" s="184"/>
      <c r="E67" s="185"/>
      <c r="F67" s="186"/>
      <c r="G67" s="187">
        <f>SUM(E68:E70)</f>
        <v>66000</v>
      </c>
      <c r="H67" s="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</row>
    <row r="68" spans="1:39" ht="15" customHeight="1">
      <c r="A68" s="188"/>
      <c r="B68" s="33">
        <v>46175</v>
      </c>
      <c r="C68" s="189" t="s">
        <v>88</v>
      </c>
      <c r="D68" s="190"/>
      <c r="E68" s="128">
        <v>40000</v>
      </c>
      <c r="F68" s="192"/>
      <c r="G68" s="193"/>
      <c r="H68" s="188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</row>
    <row r="69" spans="1:39" ht="15" customHeight="1">
      <c r="A69" s="15"/>
      <c r="B69" s="33">
        <v>46195</v>
      </c>
      <c r="C69" s="157" t="s">
        <v>89</v>
      </c>
      <c r="D69" s="112"/>
      <c r="E69" s="194">
        <v>6000</v>
      </c>
      <c r="F69" s="20"/>
      <c r="G69" s="195"/>
      <c r="H69" s="1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</row>
    <row r="70" spans="1:39" ht="15" customHeight="1">
      <c r="A70" s="59"/>
      <c r="B70" s="33">
        <v>46196</v>
      </c>
      <c r="C70" s="157" t="s">
        <v>90</v>
      </c>
      <c r="D70" s="112"/>
      <c r="E70" s="194">
        <v>20000</v>
      </c>
      <c r="F70" s="20"/>
      <c r="G70" s="48"/>
      <c r="H70" s="1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</row>
    <row r="71" spans="1:39" ht="15" customHeight="1">
      <c r="A71" s="59"/>
      <c r="B71" s="83"/>
      <c r="C71" s="196"/>
      <c r="D71" s="46"/>
      <c r="E71" s="19"/>
      <c r="F71" s="20"/>
      <c r="G71" s="48"/>
      <c r="H71" s="1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</row>
    <row r="72" spans="1:39" ht="15" customHeight="1">
      <c r="A72" s="15"/>
      <c r="B72" s="123"/>
      <c r="C72" s="197" t="s">
        <v>60</v>
      </c>
      <c r="D72" s="198"/>
      <c r="E72" s="199"/>
      <c r="F72" s="200"/>
      <c r="G72" s="201">
        <f>SUM(E73:E74)</f>
        <v>30000</v>
      </c>
      <c r="H72" s="1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</row>
    <row r="73" spans="1:39" ht="15" customHeight="1">
      <c r="A73" s="15"/>
      <c r="B73" s="202">
        <v>46192</v>
      </c>
      <c r="C73" s="203" t="s">
        <v>91</v>
      </c>
      <c r="D73" s="204"/>
      <c r="E73" s="205">
        <v>30000</v>
      </c>
      <c r="F73" s="119"/>
      <c r="G73" s="77"/>
      <c r="H73" s="1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</row>
    <row r="74" spans="1:39" ht="15" customHeight="1">
      <c r="A74" s="59"/>
      <c r="B74" s="33"/>
      <c r="C74" s="157"/>
      <c r="D74" s="112"/>
      <c r="E74" s="206"/>
      <c r="F74" s="20"/>
      <c r="G74" s="207"/>
      <c r="H74" s="1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</row>
    <row r="75" spans="1:39" ht="19.5">
      <c r="A75" s="1"/>
      <c r="B75" s="2"/>
      <c r="C75" s="1"/>
      <c r="D75" s="208"/>
      <c r="E75" s="208"/>
      <c r="G75" s="4"/>
      <c r="H75" s="1"/>
    </row>
    <row r="76" spans="1:39" ht="19.5">
      <c r="A76" s="1"/>
      <c r="B76" s="2"/>
      <c r="C76" s="209" t="s">
        <v>92</v>
      </c>
      <c r="D76" s="208"/>
      <c r="E76" s="208"/>
      <c r="G76" s="4"/>
      <c r="H76" s="1"/>
    </row>
    <row r="77" spans="1:39" ht="19.5">
      <c r="A77" s="1"/>
      <c r="B77" s="2"/>
      <c r="C77" s="210"/>
      <c r="D77" s="208"/>
      <c r="E77" s="208"/>
      <c r="G77" s="4"/>
      <c r="H77" s="1"/>
    </row>
    <row r="78" spans="1:39" ht="34.5">
      <c r="A78" s="1"/>
      <c r="B78" s="226">
        <v>2</v>
      </c>
      <c r="C78" s="212" t="s">
        <v>93</v>
      </c>
      <c r="D78" s="208"/>
      <c r="E78" s="208"/>
      <c r="G78" s="4"/>
      <c r="H78" s="1"/>
    </row>
    <row r="79" spans="1:39" ht="19.5">
      <c r="A79" s="1"/>
      <c r="B79" s="2"/>
      <c r="C79" s="210"/>
      <c r="D79" s="208"/>
      <c r="E79" s="208"/>
      <c r="G79" s="4"/>
      <c r="H79" s="1"/>
    </row>
    <row r="80" spans="1:39" ht="19.5">
      <c r="A80" s="1"/>
      <c r="B80" s="2"/>
      <c r="C80" s="209" t="s">
        <v>94</v>
      </c>
      <c r="D80" s="208"/>
      <c r="E80" s="208"/>
      <c r="G80" s="4"/>
      <c r="H80" s="1"/>
    </row>
    <row r="81" spans="1:8" ht="19.5">
      <c r="A81" s="1"/>
      <c r="B81" s="2"/>
      <c r="C81" s="210"/>
      <c r="D81" s="208"/>
      <c r="E81" s="208"/>
      <c r="G81" s="4"/>
      <c r="H81" s="1"/>
    </row>
    <row r="82" spans="1:8" ht="19.5">
      <c r="A82" s="1"/>
      <c r="B82" s="2"/>
      <c r="C82" s="213" t="s">
        <v>95</v>
      </c>
      <c r="D82" s="208"/>
      <c r="E82" s="208"/>
      <c r="G82" s="4"/>
      <c r="H82" s="1"/>
    </row>
    <row r="83" spans="1:8" ht="19.5">
      <c r="A83" s="1"/>
      <c r="B83" s="2"/>
      <c r="C83" s="1"/>
      <c r="D83" s="208"/>
      <c r="E83" s="208"/>
      <c r="G83" s="4"/>
      <c r="H83" s="1"/>
    </row>
    <row r="84" spans="1:8" ht="19.5">
      <c r="A84" s="1"/>
      <c r="B84" s="2"/>
      <c r="C84" s="1"/>
      <c r="D84" s="208"/>
      <c r="E84" s="208"/>
      <c r="G84" s="4"/>
      <c r="H84" s="1"/>
    </row>
    <row r="85" spans="1:8" ht="19.5">
      <c r="A85" s="1"/>
      <c r="B85" s="2"/>
      <c r="C85" s="1"/>
      <c r="D85" s="208"/>
      <c r="E85" s="208"/>
      <c r="G85" s="4"/>
      <c r="H85" s="1"/>
    </row>
    <row r="86" spans="1:8" ht="19.5">
      <c r="A86" s="1"/>
      <c r="B86" s="2"/>
      <c r="C86" s="1"/>
      <c r="D86" s="208"/>
      <c r="E86" s="208"/>
      <c r="G86" s="4"/>
      <c r="H86" s="1"/>
    </row>
    <row r="87" spans="1:8" ht="19.5">
      <c r="A87" s="1"/>
      <c r="B87" s="2"/>
      <c r="C87" s="1"/>
      <c r="D87" s="208"/>
      <c r="E87" s="208"/>
      <c r="G87" s="4"/>
      <c r="H87" s="1"/>
    </row>
    <row r="88" spans="1:8" ht="19.5">
      <c r="A88" s="1"/>
      <c r="B88" s="2"/>
      <c r="C88" s="1"/>
      <c r="D88" s="208"/>
      <c r="E88" s="208"/>
      <c r="G88" s="4"/>
      <c r="H88" s="1"/>
    </row>
    <row r="89" spans="1:8" ht="19.5">
      <c r="A89" s="1"/>
      <c r="B89" s="2"/>
      <c r="C89" s="1"/>
      <c r="D89" s="208"/>
      <c r="E89" s="208"/>
      <c r="G89" s="4"/>
      <c r="H89" s="1"/>
    </row>
    <row r="90" spans="1:8" ht="19.5">
      <c r="A90" s="1"/>
      <c r="B90" s="2"/>
      <c r="C90" s="1"/>
      <c r="D90" s="208"/>
      <c r="E90" s="208"/>
      <c r="G90" s="4"/>
      <c r="H90" s="1"/>
    </row>
    <row r="91" spans="1:8" ht="19.5">
      <c r="A91" s="1"/>
      <c r="B91" s="2"/>
      <c r="C91" s="1"/>
      <c r="D91" s="208"/>
      <c r="E91" s="208"/>
      <c r="G91" s="4"/>
      <c r="H91" s="1"/>
    </row>
    <row r="92" spans="1:8" ht="19.5">
      <c r="A92" s="1"/>
      <c r="B92" s="2"/>
      <c r="C92" s="1"/>
      <c r="D92" s="208"/>
      <c r="E92" s="208"/>
      <c r="G92" s="4"/>
      <c r="H92" s="1"/>
    </row>
    <row r="93" spans="1:8" ht="19.5">
      <c r="A93" s="1"/>
      <c r="B93" s="2"/>
      <c r="C93" s="1"/>
      <c r="D93" s="208"/>
      <c r="E93" s="208"/>
      <c r="G93" s="4"/>
      <c r="H93" s="1"/>
    </row>
    <row r="94" spans="1:8" ht="19.5">
      <c r="A94" s="1"/>
      <c r="B94" s="2"/>
      <c r="C94" s="1"/>
      <c r="D94" s="208"/>
      <c r="E94" s="208"/>
      <c r="G94" s="4"/>
      <c r="H94" s="1"/>
    </row>
    <row r="95" spans="1:8" ht="19.5">
      <c r="A95" s="1"/>
      <c r="B95" s="2"/>
      <c r="C95" s="1"/>
      <c r="D95" s="208"/>
      <c r="E95" s="208"/>
      <c r="G95" s="4"/>
      <c r="H95" s="1"/>
    </row>
    <row r="96" spans="1:8" ht="19.5">
      <c r="A96" s="1"/>
      <c r="B96" s="2"/>
      <c r="C96" s="1"/>
      <c r="D96" s="208"/>
      <c r="E96" s="208"/>
      <c r="G96" s="4"/>
      <c r="H96" s="1"/>
    </row>
    <row r="97" spans="1:8" ht="19.5">
      <c r="A97" s="1"/>
      <c r="B97" s="2"/>
      <c r="C97" s="1"/>
      <c r="D97" s="208"/>
      <c r="E97" s="208"/>
      <c r="G97" s="4"/>
      <c r="H97" s="1"/>
    </row>
    <row r="98" spans="1:8" ht="19.5">
      <c r="A98" s="1"/>
      <c r="B98" s="2"/>
      <c r="C98" s="1"/>
      <c r="D98" s="208"/>
      <c r="E98" s="208"/>
      <c r="G98" s="4"/>
      <c r="H98" s="1"/>
    </row>
    <row r="99" spans="1:8" ht="19.5">
      <c r="A99" s="1"/>
      <c r="B99" s="2"/>
      <c r="C99" s="1"/>
      <c r="D99" s="208"/>
      <c r="E99" s="208"/>
      <c r="G99" s="4"/>
      <c r="H99" s="1"/>
    </row>
    <row r="100" spans="1:8" ht="19.5">
      <c r="A100" s="1"/>
      <c r="B100" s="2"/>
      <c r="C100" s="1"/>
      <c r="D100" s="208"/>
      <c r="E100" s="208"/>
      <c r="G100" s="4"/>
      <c r="H100" s="1"/>
    </row>
    <row r="101" spans="1:8" ht="19.5">
      <c r="A101" s="1"/>
      <c r="B101" s="2"/>
      <c r="C101" s="1"/>
      <c r="D101" s="208"/>
      <c r="E101" s="208"/>
      <c r="G101" s="4"/>
      <c r="H101" s="1"/>
    </row>
    <row r="102" spans="1:8" ht="19.5">
      <c r="A102" s="1"/>
      <c r="B102" s="2"/>
      <c r="C102" s="1"/>
      <c r="D102" s="208"/>
      <c r="E102" s="208"/>
      <c r="G102" s="4"/>
      <c r="H102" s="1"/>
    </row>
    <row r="103" spans="1:8" ht="19.5">
      <c r="A103" s="1"/>
      <c r="B103" s="2"/>
      <c r="C103" s="1"/>
      <c r="D103" s="208"/>
      <c r="E103" s="208"/>
      <c r="G103" s="4"/>
      <c r="H103" s="1"/>
    </row>
    <row r="104" spans="1:8" ht="19.5">
      <c r="A104" s="1"/>
      <c r="B104" s="2"/>
      <c r="C104" s="1"/>
      <c r="D104" s="208"/>
      <c r="E104" s="208"/>
      <c r="G104" s="4"/>
      <c r="H104" s="1"/>
    </row>
    <row r="105" spans="1:8" ht="19.5">
      <c r="A105" s="1"/>
      <c r="B105" s="2"/>
      <c r="C105" s="1"/>
      <c r="D105" s="208"/>
      <c r="E105" s="208"/>
      <c r="G105" s="4"/>
      <c r="H105" s="1"/>
    </row>
    <row r="106" spans="1:8" ht="19.5">
      <c r="A106" s="1"/>
      <c r="B106" s="2"/>
      <c r="C106" s="1"/>
      <c r="D106" s="208"/>
      <c r="E106" s="208"/>
      <c r="G106" s="4"/>
      <c r="H106" s="1"/>
    </row>
    <row r="107" spans="1:8" ht="19.5">
      <c r="A107" s="1"/>
      <c r="B107" s="2"/>
      <c r="C107" s="1"/>
      <c r="D107" s="208"/>
      <c r="E107" s="208"/>
      <c r="G107" s="4"/>
      <c r="H107" s="1"/>
    </row>
    <row r="108" spans="1:8" ht="19.5">
      <c r="A108" s="1"/>
      <c r="B108" s="2"/>
      <c r="C108" s="1"/>
      <c r="D108" s="208"/>
      <c r="E108" s="208"/>
      <c r="G108" s="4"/>
      <c r="H108" s="1"/>
    </row>
    <row r="109" spans="1:8" ht="19.5">
      <c r="A109" s="1"/>
      <c r="B109" s="2"/>
      <c r="C109" s="1"/>
      <c r="D109" s="208"/>
      <c r="E109" s="208"/>
      <c r="G109" s="4"/>
      <c r="H109" s="1"/>
    </row>
    <row r="110" spans="1:8" ht="19.5">
      <c r="A110" s="1"/>
      <c r="B110" s="2"/>
      <c r="C110" s="1"/>
      <c r="D110" s="208"/>
      <c r="E110" s="208"/>
      <c r="G110" s="4"/>
      <c r="H110" s="1"/>
    </row>
    <row r="111" spans="1:8" ht="19.5">
      <c r="A111" s="1"/>
      <c r="B111" s="2"/>
      <c r="C111" s="1"/>
      <c r="D111" s="208"/>
      <c r="E111" s="208"/>
      <c r="G111" s="4"/>
      <c r="H111" s="1"/>
    </row>
    <row r="112" spans="1:8" ht="19.5">
      <c r="A112" s="1"/>
      <c r="B112" s="2"/>
      <c r="C112" s="1"/>
      <c r="D112" s="208"/>
      <c r="E112" s="208"/>
      <c r="G112" s="4"/>
      <c r="H112" s="1"/>
    </row>
    <row r="113" spans="1:8" ht="19.5">
      <c r="A113" s="1"/>
      <c r="B113" s="2"/>
      <c r="C113" s="1"/>
      <c r="D113" s="208"/>
      <c r="E113" s="208"/>
      <c r="G113" s="4"/>
      <c r="H113" s="1"/>
    </row>
    <row r="114" spans="1:8" ht="19.5">
      <c r="A114" s="1"/>
      <c r="B114" s="2"/>
      <c r="C114" s="1"/>
      <c r="D114" s="208"/>
      <c r="E114" s="208"/>
      <c r="G114" s="4"/>
      <c r="H114" s="1"/>
    </row>
    <row r="115" spans="1:8" ht="19.5">
      <c r="A115" s="1"/>
      <c r="B115" s="2"/>
      <c r="C115" s="1"/>
      <c r="D115" s="208"/>
      <c r="E115" s="208"/>
      <c r="G115" s="4"/>
      <c r="H115" s="1"/>
    </row>
    <row r="116" spans="1:8" ht="19.5">
      <c r="A116" s="1"/>
      <c r="B116" s="2"/>
      <c r="C116" s="1"/>
      <c r="D116" s="208"/>
      <c r="E116" s="208"/>
      <c r="G116" s="4"/>
      <c r="H116" s="1"/>
    </row>
    <row r="117" spans="1:8" ht="19.5">
      <c r="A117" s="1"/>
      <c r="B117" s="2"/>
      <c r="C117" s="1"/>
      <c r="D117" s="208"/>
      <c r="E117" s="208"/>
      <c r="G117" s="4"/>
      <c r="H117" s="1"/>
    </row>
    <row r="118" spans="1:8" ht="19.5">
      <c r="A118" s="1"/>
      <c r="B118" s="2"/>
      <c r="C118" s="1"/>
      <c r="D118" s="208"/>
      <c r="E118" s="208"/>
      <c r="G118" s="4"/>
      <c r="H118" s="1"/>
    </row>
    <row r="119" spans="1:8" ht="19.5">
      <c r="A119" s="1"/>
      <c r="B119" s="2"/>
      <c r="C119" s="1"/>
      <c r="D119" s="208"/>
      <c r="E119" s="208"/>
      <c r="G119" s="4"/>
      <c r="H119" s="1"/>
    </row>
    <row r="120" spans="1:8" ht="19.5">
      <c r="A120" s="1"/>
      <c r="B120" s="2"/>
      <c r="C120" s="1"/>
      <c r="D120" s="208"/>
      <c r="E120" s="208"/>
      <c r="G120" s="4"/>
      <c r="H120" s="1"/>
    </row>
    <row r="121" spans="1:8" ht="19.5">
      <c r="A121" s="1"/>
      <c r="B121" s="2"/>
      <c r="C121" s="1"/>
      <c r="D121" s="208"/>
      <c r="E121" s="208"/>
      <c r="G121" s="4"/>
      <c r="H121" s="1"/>
    </row>
    <row r="122" spans="1:8" ht="19.5">
      <c r="A122" s="1"/>
      <c r="B122" s="2"/>
      <c r="C122" s="1"/>
      <c r="D122" s="208"/>
      <c r="E122" s="208"/>
      <c r="G122" s="4"/>
      <c r="H122" s="1"/>
    </row>
    <row r="123" spans="1:8" ht="19.5">
      <c r="A123" s="1"/>
      <c r="B123" s="2"/>
      <c r="C123" s="1"/>
      <c r="D123" s="208"/>
      <c r="E123" s="208"/>
      <c r="G123" s="4"/>
      <c r="H123" s="1"/>
    </row>
    <row r="124" spans="1:8" ht="19.5">
      <c r="A124" s="1"/>
      <c r="B124" s="2"/>
      <c r="C124" s="1"/>
      <c r="D124" s="208"/>
      <c r="E124" s="208"/>
      <c r="G124" s="4"/>
      <c r="H124" s="1"/>
    </row>
    <row r="125" spans="1:8" ht="19.5">
      <c r="A125" s="1"/>
      <c r="B125" s="2"/>
      <c r="C125" s="1"/>
      <c r="D125" s="208"/>
      <c r="E125" s="208"/>
      <c r="G125" s="4"/>
      <c r="H125" s="1"/>
    </row>
    <row r="126" spans="1:8" ht="19.5">
      <c r="A126" s="1"/>
      <c r="B126" s="2"/>
      <c r="C126" s="1"/>
      <c r="D126" s="208"/>
      <c r="E126" s="208"/>
      <c r="G126" s="4"/>
      <c r="H126" s="1"/>
    </row>
    <row r="127" spans="1:8" ht="19.5">
      <c r="A127" s="1"/>
      <c r="B127" s="2"/>
      <c r="C127" s="1"/>
      <c r="D127" s="208"/>
      <c r="E127" s="208"/>
      <c r="G127" s="4"/>
      <c r="H127" s="1"/>
    </row>
    <row r="128" spans="1:8" ht="19.5">
      <c r="A128" s="1"/>
      <c r="B128" s="2"/>
      <c r="C128" s="1"/>
      <c r="D128" s="208"/>
      <c r="E128" s="208"/>
      <c r="G128" s="4"/>
      <c r="H128" s="1"/>
    </row>
    <row r="129" spans="1:8" ht="19.5">
      <c r="A129" s="1"/>
      <c r="B129" s="2"/>
      <c r="C129" s="1"/>
      <c r="D129" s="208"/>
      <c r="E129" s="208"/>
      <c r="G129" s="4"/>
      <c r="H129" s="1"/>
    </row>
    <row r="130" spans="1:8" ht="19.5">
      <c r="A130" s="1"/>
      <c r="B130" s="2"/>
      <c r="C130" s="1"/>
      <c r="D130" s="208"/>
      <c r="E130" s="208"/>
      <c r="G130" s="4"/>
      <c r="H130" s="1"/>
    </row>
    <row r="131" spans="1:8" ht="19.5">
      <c r="A131" s="1"/>
      <c r="B131" s="2"/>
      <c r="C131" s="1"/>
      <c r="D131" s="208"/>
      <c r="E131" s="208"/>
      <c r="G131" s="4"/>
      <c r="H131" s="1"/>
    </row>
    <row r="132" spans="1:8" ht="19.5">
      <c r="A132" s="1"/>
      <c r="B132" s="2"/>
      <c r="C132" s="1"/>
      <c r="D132" s="208"/>
      <c r="E132" s="208"/>
      <c r="G132" s="4"/>
      <c r="H132" s="1"/>
    </row>
    <row r="133" spans="1:8" ht="19.5">
      <c r="A133" s="1"/>
      <c r="B133" s="2"/>
      <c r="C133" s="1"/>
      <c r="D133" s="208"/>
      <c r="E133" s="208"/>
      <c r="G133" s="4"/>
      <c r="H133" s="1"/>
    </row>
    <row r="134" spans="1:8" ht="19.5">
      <c r="A134" s="1"/>
      <c r="B134" s="2"/>
      <c r="C134" s="1"/>
      <c r="D134" s="208"/>
      <c r="E134" s="208"/>
      <c r="G134" s="4"/>
      <c r="H134" s="1"/>
    </row>
    <row r="135" spans="1:8" ht="19.5">
      <c r="A135" s="1"/>
      <c r="B135" s="2"/>
      <c r="C135" s="1"/>
      <c r="D135" s="208"/>
      <c r="E135" s="208"/>
      <c r="G135" s="4"/>
      <c r="H135" s="1"/>
    </row>
    <row r="136" spans="1:8" ht="19.5">
      <c r="A136" s="1"/>
      <c r="B136" s="2"/>
      <c r="C136" s="1"/>
      <c r="D136" s="208"/>
      <c r="E136" s="208"/>
      <c r="G136" s="4"/>
      <c r="H136" s="1"/>
    </row>
    <row r="137" spans="1:8" ht="19.5">
      <c r="A137" s="1"/>
      <c r="B137" s="2"/>
      <c r="C137" s="1"/>
      <c r="D137" s="208"/>
      <c r="E137" s="208"/>
      <c r="G137" s="4"/>
      <c r="H137" s="1"/>
    </row>
    <row r="138" spans="1:8" ht="19.5">
      <c r="A138" s="1"/>
      <c r="B138" s="2"/>
      <c r="C138" s="1"/>
      <c r="D138" s="208"/>
      <c r="E138" s="208"/>
      <c r="G138" s="4"/>
      <c r="H138" s="1"/>
    </row>
    <row r="139" spans="1:8" ht="19.5">
      <c r="A139" s="1"/>
      <c r="B139" s="2"/>
      <c r="C139" s="1"/>
      <c r="D139" s="208"/>
      <c r="E139" s="208"/>
      <c r="G139" s="4"/>
      <c r="H139" s="1"/>
    </row>
    <row r="140" spans="1:8" ht="19.5">
      <c r="A140" s="1"/>
      <c r="B140" s="2"/>
      <c r="C140" s="1"/>
      <c r="D140" s="208"/>
      <c r="E140" s="208"/>
      <c r="G140" s="4"/>
      <c r="H140" s="1"/>
    </row>
    <row r="141" spans="1:8" ht="19.5">
      <c r="A141" s="1"/>
      <c r="B141" s="2"/>
      <c r="C141" s="1"/>
      <c r="D141" s="208"/>
      <c r="E141" s="208"/>
      <c r="G141" s="4"/>
      <c r="H141" s="1"/>
    </row>
    <row r="142" spans="1:8" ht="19.5">
      <c r="A142" s="1"/>
      <c r="B142" s="2"/>
      <c r="C142" s="1"/>
      <c r="D142" s="208"/>
      <c r="E142" s="208"/>
      <c r="G142" s="4"/>
      <c r="H142" s="1"/>
    </row>
    <row r="143" spans="1:8" ht="19.5">
      <c r="A143" s="1"/>
      <c r="B143" s="2"/>
      <c r="C143" s="1"/>
      <c r="D143" s="208"/>
      <c r="E143" s="208"/>
      <c r="G143" s="4"/>
      <c r="H143" s="1"/>
    </row>
    <row r="144" spans="1:8" ht="19.5">
      <c r="A144" s="1"/>
      <c r="B144" s="2"/>
      <c r="C144" s="1"/>
      <c r="D144" s="208"/>
      <c r="E144" s="208"/>
      <c r="G144" s="4"/>
      <c r="H144" s="1"/>
    </row>
    <row r="145" spans="1:8" ht="19.5">
      <c r="A145" s="1"/>
      <c r="B145" s="2"/>
      <c r="C145" s="1"/>
      <c r="D145" s="208"/>
      <c r="E145" s="208"/>
      <c r="G145" s="4"/>
      <c r="H145" s="1"/>
    </row>
    <row r="146" spans="1:8" ht="19.5">
      <c r="A146" s="1"/>
      <c r="B146" s="2"/>
      <c r="C146" s="1"/>
      <c r="D146" s="208"/>
      <c r="E146" s="208"/>
      <c r="G146" s="4"/>
      <c r="H146" s="1"/>
    </row>
    <row r="147" spans="1:8" ht="19.5">
      <c r="A147" s="1"/>
      <c r="B147" s="2"/>
      <c r="C147" s="1"/>
      <c r="D147" s="208"/>
      <c r="E147" s="208"/>
      <c r="G147" s="4"/>
      <c r="H147" s="1"/>
    </row>
    <row r="148" spans="1:8" ht="19.5">
      <c r="A148" s="1"/>
      <c r="B148" s="2"/>
      <c r="C148" s="1"/>
      <c r="D148" s="208"/>
      <c r="E148" s="208"/>
      <c r="G148" s="4"/>
      <c r="H148" s="1"/>
    </row>
    <row r="149" spans="1:8" ht="19.5">
      <c r="A149" s="1"/>
      <c r="B149" s="2"/>
      <c r="C149" s="1"/>
      <c r="D149" s="208"/>
      <c r="E149" s="208"/>
      <c r="G149" s="4"/>
      <c r="H149" s="1"/>
    </row>
    <row r="150" spans="1:8" ht="19.5">
      <c r="A150" s="1"/>
      <c r="B150" s="2"/>
      <c r="C150" s="1"/>
      <c r="D150" s="208"/>
      <c r="E150" s="208"/>
      <c r="G150" s="4"/>
      <c r="H150" s="1"/>
    </row>
    <row r="151" spans="1:8" ht="19.5">
      <c r="A151" s="1"/>
      <c r="B151" s="2"/>
      <c r="C151" s="1"/>
      <c r="D151" s="208"/>
      <c r="E151" s="208"/>
      <c r="G151" s="4"/>
      <c r="H151" s="1"/>
    </row>
    <row r="152" spans="1:8" ht="19.5">
      <c r="A152" s="1"/>
      <c r="B152" s="2"/>
      <c r="C152" s="1"/>
      <c r="D152" s="208"/>
      <c r="E152" s="208"/>
      <c r="G152" s="4"/>
      <c r="H152" s="1"/>
    </row>
    <row r="153" spans="1:8" ht="19.5">
      <c r="A153" s="1"/>
      <c r="B153" s="2"/>
      <c r="C153" s="1"/>
      <c r="D153" s="208"/>
      <c r="E153" s="208"/>
      <c r="G153" s="4"/>
      <c r="H153" s="1"/>
    </row>
    <row r="154" spans="1:8" ht="19.5">
      <c r="A154" s="1"/>
      <c r="B154" s="2"/>
      <c r="C154" s="1"/>
      <c r="D154" s="208"/>
      <c r="E154" s="208"/>
      <c r="G154" s="4"/>
      <c r="H154" s="1"/>
    </row>
    <row r="155" spans="1:8" ht="19.5">
      <c r="A155" s="1"/>
      <c r="B155" s="2"/>
      <c r="C155" s="1"/>
      <c r="D155" s="208"/>
      <c r="E155" s="208"/>
      <c r="G155" s="4"/>
      <c r="H155" s="1"/>
    </row>
    <row r="156" spans="1:8" ht="19.5">
      <c r="A156" s="1"/>
      <c r="B156" s="2"/>
      <c r="C156" s="1"/>
      <c r="D156" s="208"/>
      <c r="E156" s="208"/>
      <c r="G156" s="4"/>
      <c r="H156" s="1"/>
    </row>
    <row r="157" spans="1:8" ht="19.5">
      <c r="A157" s="1"/>
      <c r="B157" s="2"/>
      <c r="C157" s="1"/>
      <c r="D157" s="208"/>
      <c r="E157" s="208"/>
      <c r="G157" s="4"/>
      <c r="H157" s="1"/>
    </row>
    <row r="158" spans="1:8" ht="19.5">
      <c r="A158" s="1"/>
      <c r="B158" s="2"/>
      <c r="C158" s="1"/>
      <c r="D158" s="208"/>
      <c r="E158" s="208"/>
      <c r="G158" s="4"/>
      <c r="H158" s="1"/>
    </row>
    <row r="159" spans="1:8" ht="19.5">
      <c r="A159" s="1"/>
      <c r="B159" s="2"/>
      <c r="C159" s="1"/>
      <c r="D159" s="208"/>
      <c r="E159" s="208"/>
      <c r="G159" s="4"/>
      <c r="H159" s="1"/>
    </row>
    <row r="160" spans="1:8" ht="19.5">
      <c r="A160" s="1"/>
      <c r="B160" s="2"/>
      <c r="C160" s="1"/>
      <c r="D160" s="208"/>
      <c r="E160" s="208"/>
      <c r="G160" s="4"/>
      <c r="H160" s="1"/>
    </row>
    <row r="161" spans="1:8" ht="19.5">
      <c r="A161" s="1"/>
      <c r="B161" s="2"/>
      <c r="C161" s="1"/>
      <c r="D161" s="208"/>
      <c r="E161" s="208"/>
      <c r="G161" s="4"/>
      <c r="H161" s="1"/>
    </row>
    <row r="162" spans="1:8" ht="19.5">
      <c r="A162" s="1"/>
      <c r="B162" s="2"/>
      <c r="C162" s="1"/>
      <c r="D162" s="208"/>
      <c r="E162" s="208"/>
      <c r="G162" s="4"/>
      <c r="H162" s="1"/>
    </row>
    <row r="163" spans="1:8" ht="19.5">
      <c r="A163" s="1"/>
      <c r="B163" s="2"/>
      <c r="C163" s="1"/>
      <c r="D163" s="208"/>
      <c r="E163" s="208"/>
      <c r="G163" s="4"/>
      <c r="H163" s="1"/>
    </row>
    <row r="164" spans="1:8" ht="19.5">
      <c r="A164" s="1"/>
      <c r="B164" s="2"/>
      <c r="C164" s="1"/>
      <c r="D164" s="208"/>
      <c r="E164" s="208"/>
      <c r="G164" s="4"/>
      <c r="H164" s="1"/>
    </row>
    <row r="165" spans="1:8" ht="19.5">
      <c r="A165" s="1"/>
      <c r="B165" s="2"/>
      <c r="C165" s="1"/>
      <c r="D165" s="208"/>
      <c r="E165" s="208"/>
      <c r="G165" s="4"/>
      <c r="H165" s="1"/>
    </row>
    <row r="166" spans="1:8" ht="19.5">
      <c r="A166" s="1"/>
      <c r="B166" s="2"/>
      <c r="C166" s="1"/>
      <c r="D166" s="208"/>
      <c r="E166" s="208"/>
      <c r="G166" s="4"/>
      <c r="H166" s="1"/>
    </row>
    <row r="167" spans="1:8" ht="19.5">
      <c r="A167" s="1"/>
      <c r="B167" s="2"/>
      <c r="C167" s="1"/>
      <c r="D167" s="208"/>
      <c r="E167" s="208"/>
      <c r="G167" s="4"/>
      <c r="H167" s="1"/>
    </row>
    <row r="168" spans="1:8" ht="19.5">
      <c r="A168" s="1"/>
      <c r="B168" s="2"/>
      <c r="C168" s="1"/>
      <c r="D168" s="208"/>
      <c r="E168" s="208"/>
      <c r="G168" s="4"/>
      <c r="H168" s="1"/>
    </row>
    <row r="169" spans="1:8" ht="19.5">
      <c r="A169" s="1"/>
      <c r="B169" s="2"/>
      <c r="C169" s="1"/>
      <c r="D169" s="208"/>
      <c r="E169" s="208"/>
      <c r="G169" s="4"/>
      <c r="H169" s="1"/>
    </row>
    <row r="170" spans="1:8" ht="19.5">
      <c r="A170" s="1"/>
      <c r="B170" s="2"/>
      <c r="C170" s="1"/>
      <c r="D170" s="208"/>
      <c r="E170" s="208"/>
      <c r="G170" s="4"/>
      <c r="H170" s="1"/>
    </row>
    <row r="171" spans="1:8" ht="19.5">
      <c r="A171" s="1"/>
      <c r="B171" s="2"/>
      <c r="C171" s="1"/>
      <c r="D171" s="208"/>
      <c r="E171" s="208"/>
      <c r="G171" s="4"/>
      <c r="H171" s="1"/>
    </row>
    <row r="172" spans="1:8" ht="19.5">
      <c r="A172" s="1"/>
      <c r="B172" s="2"/>
      <c r="C172" s="1"/>
      <c r="D172" s="208"/>
      <c r="E172" s="208"/>
      <c r="G172" s="4"/>
      <c r="H172" s="1"/>
    </row>
    <row r="173" spans="1:8" ht="19.5">
      <c r="A173" s="1"/>
      <c r="B173" s="2"/>
      <c r="C173" s="1"/>
      <c r="D173" s="208"/>
      <c r="E173" s="208"/>
      <c r="G173" s="4"/>
      <c r="H173" s="1"/>
    </row>
    <row r="174" spans="1:8" ht="19.5">
      <c r="A174" s="1"/>
      <c r="B174" s="2"/>
      <c r="C174" s="1"/>
      <c r="D174" s="208"/>
      <c r="E174" s="208"/>
      <c r="G174" s="4"/>
      <c r="H174" s="1"/>
    </row>
    <row r="175" spans="1:8" ht="19.5">
      <c r="A175" s="1"/>
      <c r="B175" s="2"/>
      <c r="C175" s="1"/>
      <c r="D175" s="208"/>
      <c r="E175" s="208"/>
      <c r="G175" s="4"/>
      <c r="H175" s="1"/>
    </row>
    <row r="176" spans="1:8" ht="19.5">
      <c r="A176" s="1"/>
      <c r="B176" s="2"/>
      <c r="C176" s="1"/>
      <c r="D176" s="208"/>
      <c r="E176" s="208"/>
      <c r="G176" s="4"/>
      <c r="H176" s="1"/>
    </row>
    <row r="177" spans="1:8" ht="19.5">
      <c r="A177" s="1"/>
      <c r="B177" s="2"/>
      <c r="C177" s="1"/>
      <c r="D177" s="208"/>
      <c r="E177" s="208"/>
      <c r="G177" s="4"/>
      <c r="H177" s="1"/>
    </row>
    <row r="178" spans="1:8" ht="19.5">
      <c r="A178" s="1"/>
      <c r="B178" s="2"/>
      <c r="C178" s="1"/>
      <c r="D178" s="208"/>
      <c r="E178" s="208"/>
      <c r="G178" s="4"/>
      <c r="H178" s="1"/>
    </row>
    <row r="179" spans="1:8" ht="19.5">
      <c r="A179" s="1"/>
      <c r="B179" s="2"/>
      <c r="C179" s="1"/>
      <c r="D179" s="208"/>
      <c r="E179" s="208"/>
      <c r="G179" s="4"/>
      <c r="H179" s="1"/>
    </row>
    <row r="180" spans="1:8" ht="19.5">
      <c r="A180" s="1"/>
      <c r="B180" s="2"/>
      <c r="C180" s="1"/>
      <c r="D180" s="208"/>
      <c r="E180" s="208"/>
      <c r="G180" s="4"/>
      <c r="H180" s="1"/>
    </row>
    <row r="181" spans="1:8" ht="19.5">
      <c r="A181" s="1"/>
      <c r="B181" s="2"/>
      <c r="C181" s="1"/>
      <c r="D181" s="208"/>
      <c r="E181" s="208"/>
      <c r="G181" s="4"/>
      <c r="H181" s="1"/>
    </row>
    <row r="182" spans="1:8" ht="19.5">
      <c r="A182" s="1"/>
      <c r="B182" s="2"/>
      <c r="C182" s="1"/>
      <c r="D182" s="208"/>
      <c r="E182" s="208"/>
      <c r="G182" s="4"/>
      <c r="H182" s="1"/>
    </row>
    <row r="183" spans="1:8" ht="19.5">
      <c r="A183" s="1"/>
      <c r="B183" s="2"/>
      <c r="C183" s="1"/>
      <c r="D183" s="208"/>
      <c r="E183" s="208"/>
      <c r="G183" s="4"/>
      <c r="H183" s="1"/>
    </row>
    <row r="184" spans="1:8" ht="19.5">
      <c r="A184" s="1"/>
      <c r="B184" s="2"/>
      <c r="C184" s="1"/>
      <c r="D184" s="208"/>
      <c r="E184" s="208"/>
      <c r="G184" s="4"/>
      <c r="H184" s="1"/>
    </row>
    <row r="185" spans="1:8" ht="19.5">
      <c r="A185" s="1"/>
      <c r="B185" s="2"/>
      <c r="C185" s="1"/>
      <c r="D185" s="208"/>
      <c r="E185" s="208"/>
      <c r="G185" s="4"/>
      <c r="H185" s="1"/>
    </row>
    <row r="186" spans="1:8" ht="19.5">
      <c r="A186" s="1"/>
      <c r="B186" s="2"/>
      <c r="C186" s="1"/>
      <c r="D186" s="208"/>
      <c r="E186" s="208"/>
      <c r="G186" s="4"/>
      <c r="H186" s="1"/>
    </row>
    <row r="187" spans="1:8" ht="19.5">
      <c r="A187" s="1"/>
      <c r="B187" s="2"/>
      <c r="C187" s="1"/>
      <c r="D187" s="208"/>
      <c r="E187" s="208"/>
      <c r="G187" s="4"/>
      <c r="H187" s="1"/>
    </row>
    <row r="188" spans="1:8" ht="19.5">
      <c r="A188" s="1"/>
      <c r="B188" s="2"/>
      <c r="C188" s="1"/>
      <c r="D188" s="208"/>
      <c r="E188" s="208"/>
      <c r="G188" s="4"/>
      <c r="H188" s="1"/>
    </row>
    <row r="189" spans="1:8" ht="19.5">
      <c r="A189" s="1"/>
      <c r="B189" s="2"/>
      <c r="C189" s="1"/>
      <c r="D189" s="208"/>
      <c r="E189" s="208"/>
      <c r="G189" s="4"/>
      <c r="H189" s="1"/>
    </row>
    <row r="190" spans="1:8" ht="19.5">
      <c r="A190" s="1"/>
      <c r="B190" s="2"/>
      <c r="C190" s="1"/>
      <c r="D190" s="208"/>
      <c r="E190" s="208"/>
      <c r="G190" s="4"/>
      <c r="H190" s="1"/>
    </row>
    <row r="191" spans="1:8" ht="19.5">
      <c r="A191" s="1"/>
      <c r="B191" s="2"/>
      <c r="C191" s="1"/>
      <c r="D191" s="208"/>
      <c r="E191" s="208"/>
      <c r="G191" s="4"/>
      <c r="H191" s="1"/>
    </row>
    <row r="192" spans="1:8" ht="19.5">
      <c r="A192" s="1"/>
      <c r="B192" s="2"/>
      <c r="C192" s="1"/>
      <c r="D192" s="208"/>
      <c r="E192" s="208"/>
      <c r="G192" s="4"/>
      <c r="H192" s="1"/>
    </row>
    <row r="193" spans="1:8" ht="19.5">
      <c r="A193" s="1"/>
      <c r="B193" s="2"/>
      <c r="C193" s="1"/>
      <c r="D193" s="208"/>
      <c r="E193" s="208"/>
      <c r="G193" s="4"/>
      <c r="H193" s="1"/>
    </row>
    <row r="194" spans="1:8" ht="19.5">
      <c r="A194" s="1"/>
      <c r="B194" s="2"/>
      <c r="C194" s="1"/>
      <c r="D194" s="208"/>
      <c r="E194" s="208"/>
      <c r="G194" s="4"/>
      <c r="H194" s="1"/>
    </row>
    <row r="195" spans="1:8" ht="19.5">
      <c r="A195" s="1"/>
      <c r="B195" s="2"/>
      <c r="C195" s="1"/>
      <c r="D195" s="208"/>
      <c r="E195" s="208"/>
      <c r="G195" s="4"/>
      <c r="H195" s="1"/>
    </row>
    <row r="196" spans="1:8" ht="19.5">
      <c r="A196" s="1"/>
      <c r="B196" s="2"/>
      <c r="C196" s="1"/>
      <c r="D196" s="208"/>
      <c r="E196" s="208"/>
      <c r="G196" s="4"/>
      <c r="H196" s="1"/>
    </row>
    <row r="197" spans="1:8" ht="19.5">
      <c r="A197" s="1"/>
      <c r="B197" s="2"/>
      <c r="C197" s="1"/>
      <c r="D197" s="208"/>
      <c r="E197" s="208"/>
      <c r="G197" s="4"/>
      <c r="H197" s="1"/>
    </row>
    <row r="198" spans="1:8" ht="19.5">
      <c r="A198" s="1"/>
      <c r="B198" s="2"/>
      <c r="C198" s="1"/>
      <c r="D198" s="208"/>
      <c r="E198" s="208"/>
      <c r="G198" s="4"/>
      <c r="H198" s="1"/>
    </row>
    <row r="199" spans="1:8" ht="19.5">
      <c r="A199" s="1"/>
      <c r="B199" s="2"/>
      <c r="C199" s="1"/>
      <c r="D199" s="208"/>
      <c r="E199" s="208"/>
      <c r="G199" s="4"/>
      <c r="H199" s="1"/>
    </row>
    <row r="200" spans="1:8" ht="19.5">
      <c r="A200" s="1"/>
      <c r="B200" s="2"/>
      <c r="C200" s="1"/>
      <c r="D200" s="208"/>
      <c r="E200" s="208"/>
      <c r="G200" s="4"/>
      <c r="H200" s="1"/>
    </row>
    <row r="201" spans="1:8" ht="19.5">
      <c r="A201" s="1"/>
      <c r="B201" s="2"/>
      <c r="C201" s="1"/>
      <c r="D201" s="208"/>
      <c r="E201" s="208"/>
      <c r="G201" s="4"/>
      <c r="H201" s="1"/>
    </row>
    <row r="202" spans="1:8" ht="19.5">
      <c r="A202" s="1"/>
      <c r="B202" s="2"/>
      <c r="C202" s="1"/>
      <c r="D202" s="208"/>
      <c r="E202" s="208"/>
      <c r="G202" s="4"/>
      <c r="H202" s="1"/>
    </row>
    <row r="203" spans="1:8" ht="19.5">
      <c r="A203" s="1"/>
      <c r="B203" s="2"/>
      <c r="C203" s="1"/>
      <c r="D203" s="208"/>
      <c r="E203" s="208"/>
      <c r="G203" s="4"/>
      <c r="H203" s="1"/>
    </row>
    <row r="204" spans="1:8" ht="19.5">
      <c r="A204" s="1"/>
      <c r="B204" s="2"/>
      <c r="C204" s="1"/>
      <c r="D204" s="208"/>
      <c r="E204" s="208"/>
      <c r="G204" s="4"/>
      <c r="H204" s="1"/>
    </row>
    <row r="205" spans="1:8" ht="19.5">
      <c r="A205" s="1"/>
      <c r="B205" s="2"/>
      <c r="C205" s="1"/>
      <c r="D205" s="208"/>
      <c r="E205" s="208"/>
      <c r="G205" s="4"/>
      <c r="H205" s="1"/>
    </row>
    <row r="206" spans="1:8" ht="19.5">
      <c r="A206" s="1"/>
      <c r="B206" s="2"/>
      <c r="C206" s="1"/>
      <c r="D206" s="208"/>
      <c r="E206" s="208"/>
      <c r="G206" s="4"/>
      <c r="H206" s="1"/>
    </row>
    <row r="207" spans="1:8" ht="19.5">
      <c r="A207" s="1"/>
      <c r="B207" s="2"/>
      <c r="C207" s="1"/>
      <c r="D207" s="208"/>
      <c r="E207" s="208"/>
      <c r="G207" s="4"/>
      <c r="H207" s="1"/>
    </row>
    <row r="208" spans="1:8" ht="19.5">
      <c r="A208" s="1"/>
      <c r="B208" s="2"/>
      <c r="C208" s="1"/>
      <c r="D208" s="208"/>
      <c r="E208" s="208"/>
      <c r="G208" s="4"/>
      <c r="H208" s="1"/>
    </row>
    <row r="209" spans="1:8" ht="19.5">
      <c r="A209" s="1"/>
      <c r="B209" s="2"/>
      <c r="C209" s="1"/>
      <c r="D209" s="208"/>
      <c r="E209" s="208"/>
      <c r="G209" s="4"/>
      <c r="H209" s="1"/>
    </row>
    <row r="210" spans="1:8" ht="19.5">
      <c r="A210" s="1"/>
      <c r="B210" s="2"/>
      <c r="C210" s="1"/>
      <c r="D210" s="208"/>
      <c r="E210" s="208"/>
      <c r="G210" s="4"/>
      <c r="H210" s="1"/>
    </row>
    <row r="211" spans="1:8" ht="19.5">
      <c r="A211" s="1"/>
      <c r="B211" s="2"/>
      <c r="C211" s="1"/>
      <c r="D211" s="208"/>
      <c r="E211" s="208"/>
      <c r="G211" s="4"/>
      <c r="H211" s="1"/>
    </row>
    <row r="212" spans="1:8" ht="19.5">
      <c r="A212" s="1"/>
      <c r="B212" s="2"/>
      <c r="C212" s="1"/>
      <c r="D212" s="208"/>
      <c r="E212" s="208"/>
      <c r="G212" s="4"/>
      <c r="H212" s="1"/>
    </row>
    <row r="213" spans="1:8" ht="19.5">
      <c r="A213" s="1"/>
      <c r="B213" s="2"/>
      <c r="C213" s="1"/>
      <c r="D213" s="208"/>
      <c r="E213" s="208"/>
      <c r="G213" s="4"/>
      <c r="H213" s="1"/>
    </row>
    <row r="214" spans="1:8" ht="19.5">
      <c r="A214" s="1"/>
      <c r="B214" s="2"/>
      <c r="C214" s="1"/>
      <c r="D214" s="208"/>
      <c r="E214" s="208"/>
      <c r="G214" s="4"/>
      <c r="H214" s="1"/>
    </row>
    <row r="215" spans="1:8" ht="19.5">
      <c r="A215" s="1"/>
      <c r="B215" s="2"/>
      <c r="C215" s="1"/>
      <c r="D215" s="208"/>
      <c r="E215" s="208"/>
      <c r="G215" s="4"/>
      <c r="H215" s="1"/>
    </row>
    <row r="216" spans="1:8" ht="19.5">
      <c r="A216" s="1"/>
      <c r="B216" s="2"/>
      <c r="C216" s="1"/>
      <c r="D216" s="208"/>
      <c r="E216" s="208"/>
      <c r="G216" s="4"/>
      <c r="H216" s="1"/>
    </row>
    <row r="217" spans="1:8" ht="19.5">
      <c r="A217" s="1"/>
      <c r="B217" s="2"/>
      <c r="C217" s="1"/>
      <c r="D217" s="208"/>
      <c r="E217" s="208"/>
      <c r="G217" s="4"/>
      <c r="H217" s="1"/>
    </row>
    <row r="218" spans="1:8" ht="19.5">
      <c r="A218" s="1"/>
      <c r="B218" s="2"/>
      <c r="C218" s="1"/>
      <c r="D218" s="208"/>
      <c r="E218" s="208"/>
      <c r="G218" s="4"/>
      <c r="H218" s="1"/>
    </row>
    <row r="219" spans="1:8" ht="19.5">
      <c r="A219" s="1"/>
      <c r="B219" s="2"/>
      <c r="C219" s="1"/>
      <c r="D219" s="208"/>
      <c r="E219" s="208"/>
      <c r="G219" s="4"/>
      <c r="H219" s="1"/>
    </row>
    <row r="220" spans="1:8" ht="19.5">
      <c r="A220" s="1"/>
      <c r="B220" s="2"/>
      <c r="C220" s="1"/>
      <c r="D220" s="208"/>
      <c r="E220" s="208"/>
      <c r="G220" s="4"/>
      <c r="H220" s="1"/>
    </row>
    <row r="221" spans="1:8" ht="19.5">
      <c r="A221" s="1"/>
      <c r="B221" s="2"/>
      <c r="C221" s="1"/>
      <c r="D221" s="208"/>
      <c r="E221" s="208"/>
      <c r="G221" s="4"/>
      <c r="H221" s="1"/>
    </row>
    <row r="222" spans="1:8" ht="19.5">
      <c r="A222" s="1"/>
      <c r="B222" s="2"/>
      <c r="C222" s="1"/>
      <c r="D222" s="208"/>
      <c r="E222" s="208"/>
      <c r="G222" s="4"/>
      <c r="H222" s="1"/>
    </row>
    <row r="223" spans="1:8" ht="19.5">
      <c r="A223" s="1"/>
      <c r="B223" s="2"/>
      <c r="C223" s="1"/>
      <c r="D223" s="208"/>
      <c r="E223" s="208"/>
      <c r="G223" s="4"/>
      <c r="H223" s="1"/>
    </row>
    <row r="224" spans="1:8" ht="19.5">
      <c r="A224" s="1"/>
      <c r="B224" s="2"/>
      <c r="C224" s="1"/>
      <c r="D224" s="208"/>
      <c r="E224" s="208"/>
      <c r="G224" s="4"/>
      <c r="H224" s="1"/>
    </row>
    <row r="225" spans="1:8" ht="19.5">
      <c r="A225" s="1"/>
      <c r="B225" s="2"/>
      <c r="C225" s="1"/>
      <c r="D225" s="208"/>
      <c r="E225" s="208"/>
      <c r="G225" s="4"/>
      <c r="H225" s="1"/>
    </row>
    <row r="226" spans="1:8" ht="19.5">
      <c r="A226" s="1"/>
      <c r="B226" s="2"/>
      <c r="C226" s="1"/>
      <c r="D226" s="208"/>
      <c r="E226" s="208"/>
      <c r="G226" s="4"/>
      <c r="H226" s="1"/>
    </row>
    <row r="227" spans="1:8" ht="19.5">
      <c r="A227" s="1"/>
      <c r="B227" s="2"/>
      <c r="C227" s="1"/>
      <c r="D227" s="208"/>
      <c r="E227" s="208"/>
      <c r="G227" s="4"/>
      <c r="H227" s="1"/>
    </row>
    <row r="228" spans="1:8" ht="19.5">
      <c r="A228" s="1"/>
      <c r="B228" s="2"/>
      <c r="C228" s="1"/>
      <c r="D228" s="208"/>
      <c r="E228" s="208"/>
      <c r="G228" s="4"/>
      <c r="H228" s="1"/>
    </row>
    <row r="229" spans="1:8" ht="19.5">
      <c r="A229" s="1"/>
      <c r="B229" s="2"/>
      <c r="C229" s="1"/>
      <c r="D229" s="208"/>
      <c r="E229" s="208"/>
      <c r="G229" s="4"/>
      <c r="H229" s="1"/>
    </row>
    <row r="230" spans="1:8" ht="19.5">
      <c r="A230" s="1"/>
      <c r="B230" s="2"/>
      <c r="C230" s="1"/>
      <c r="D230" s="208"/>
      <c r="E230" s="208"/>
      <c r="G230" s="4"/>
      <c r="H230" s="1"/>
    </row>
    <row r="231" spans="1:8" ht="19.5">
      <c r="A231" s="1"/>
      <c r="B231" s="2"/>
      <c r="C231" s="1"/>
      <c r="D231" s="208"/>
      <c r="E231" s="208"/>
      <c r="G231" s="4"/>
      <c r="H231" s="1"/>
    </row>
    <row r="232" spans="1:8" ht="19.5">
      <c r="A232" s="1"/>
      <c r="B232" s="2"/>
      <c r="C232" s="1"/>
      <c r="D232" s="208"/>
      <c r="E232" s="208"/>
      <c r="G232" s="4"/>
      <c r="H232" s="1"/>
    </row>
    <row r="233" spans="1:8" ht="19.5">
      <c r="A233" s="1"/>
      <c r="B233" s="2"/>
      <c r="C233" s="1"/>
      <c r="D233" s="208"/>
      <c r="E233" s="208"/>
      <c r="G233" s="4"/>
      <c r="H233" s="1"/>
    </row>
    <row r="234" spans="1:8" ht="19.5">
      <c r="A234" s="1"/>
      <c r="B234" s="2"/>
      <c r="C234" s="1"/>
      <c r="D234" s="208"/>
      <c r="E234" s="208"/>
      <c r="G234" s="4"/>
      <c r="H234" s="1"/>
    </row>
    <row r="235" spans="1:8" ht="19.5">
      <c r="A235" s="1"/>
      <c r="B235" s="2"/>
      <c r="C235" s="1"/>
      <c r="D235" s="208"/>
      <c r="E235" s="208"/>
      <c r="G235" s="4"/>
      <c r="H235" s="1"/>
    </row>
    <row r="236" spans="1:8" ht="19.5">
      <c r="A236" s="1"/>
      <c r="B236" s="2"/>
      <c r="C236" s="1"/>
      <c r="D236" s="208"/>
      <c r="E236" s="208"/>
      <c r="G236" s="4"/>
      <c r="H236" s="1"/>
    </row>
    <row r="237" spans="1:8" ht="19.5">
      <c r="A237" s="1"/>
      <c r="B237" s="2"/>
      <c r="C237" s="1"/>
      <c r="D237" s="208"/>
      <c r="E237" s="208"/>
      <c r="G237" s="4"/>
      <c r="H237" s="1"/>
    </row>
    <row r="238" spans="1:8" ht="19.5">
      <c r="A238" s="1"/>
      <c r="B238" s="2"/>
      <c r="C238" s="1"/>
      <c r="D238" s="208"/>
      <c r="E238" s="208"/>
      <c r="G238" s="4"/>
      <c r="H238" s="1"/>
    </row>
    <row r="239" spans="1:8" ht="19.5">
      <c r="A239" s="1"/>
      <c r="B239" s="2"/>
      <c r="C239" s="1"/>
      <c r="D239" s="208"/>
      <c r="E239" s="208"/>
      <c r="G239" s="4"/>
      <c r="H239" s="1"/>
    </row>
    <row r="240" spans="1:8" ht="19.5">
      <c r="A240" s="1"/>
      <c r="B240" s="2"/>
      <c r="C240" s="1"/>
      <c r="D240" s="208"/>
      <c r="E240" s="208"/>
      <c r="G240" s="4"/>
      <c r="H240" s="1"/>
    </row>
    <row r="241" spans="1:8" ht="19.5">
      <c r="A241" s="1"/>
      <c r="B241" s="2"/>
      <c r="C241" s="1"/>
      <c r="D241" s="208"/>
      <c r="E241" s="208"/>
      <c r="G241" s="4"/>
      <c r="H241" s="1"/>
    </row>
    <row r="242" spans="1:8" ht="19.5">
      <c r="A242" s="1"/>
      <c r="B242" s="2"/>
      <c r="C242" s="1"/>
      <c r="D242" s="208"/>
      <c r="E242" s="208"/>
      <c r="G242" s="4"/>
      <c r="H242" s="1"/>
    </row>
    <row r="243" spans="1:8" ht="19.5">
      <c r="A243" s="1"/>
      <c r="B243" s="2"/>
      <c r="C243" s="1"/>
      <c r="D243" s="208"/>
      <c r="E243" s="208"/>
      <c r="G243" s="4"/>
      <c r="H243" s="1"/>
    </row>
    <row r="244" spans="1:8" ht="19.5">
      <c r="A244" s="1"/>
      <c r="B244" s="2"/>
      <c r="C244" s="1"/>
      <c r="D244" s="208"/>
      <c r="E244" s="208"/>
      <c r="G244" s="4"/>
      <c r="H244" s="1"/>
    </row>
    <row r="245" spans="1:8" ht="19.5">
      <c r="A245" s="1"/>
      <c r="B245" s="2"/>
      <c r="C245" s="1"/>
      <c r="D245" s="208"/>
      <c r="E245" s="208"/>
      <c r="G245" s="4"/>
      <c r="H245" s="1"/>
    </row>
    <row r="246" spans="1:8" ht="19.5">
      <c r="A246" s="1"/>
      <c r="B246" s="2"/>
      <c r="C246" s="1"/>
      <c r="D246" s="208"/>
      <c r="E246" s="208"/>
      <c r="G246" s="4"/>
      <c r="H246" s="1"/>
    </row>
    <row r="247" spans="1:8" ht="19.5">
      <c r="A247" s="1"/>
      <c r="B247" s="2"/>
      <c r="C247" s="1"/>
      <c r="D247" s="208"/>
      <c r="E247" s="208"/>
      <c r="G247" s="4"/>
      <c r="H247" s="1"/>
    </row>
    <row r="248" spans="1:8" ht="19.5">
      <c r="A248" s="1"/>
      <c r="B248" s="2"/>
      <c r="C248" s="1"/>
      <c r="D248" s="208"/>
      <c r="E248" s="208"/>
      <c r="G248" s="4"/>
      <c r="H248" s="1"/>
    </row>
    <row r="249" spans="1:8" ht="19.5">
      <c r="A249" s="1"/>
      <c r="B249" s="2"/>
      <c r="C249" s="1"/>
      <c r="D249" s="208"/>
      <c r="E249" s="208"/>
      <c r="G249" s="4"/>
      <c r="H249" s="1"/>
    </row>
    <row r="250" spans="1:8" ht="19.5">
      <c r="A250" s="1"/>
      <c r="B250" s="2"/>
      <c r="C250" s="1"/>
      <c r="D250" s="208"/>
      <c r="E250" s="208"/>
      <c r="G250" s="4"/>
      <c r="H250" s="1"/>
    </row>
    <row r="251" spans="1:8" ht="19.5">
      <c r="A251" s="1"/>
      <c r="B251" s="2"/>
      <c r="C251" s="1"/>
      <c r="D251" s="208"/>
      <c r="E251" s="208"/>
      <c r="G251" s="4"/>
      <c r="H251" s="1"/>
    </row>
    <row r="252" spans="1:8" ht="19.5">
      <c r="A252" s="1"/>
      <c r="B252" s="2"/>
      <c r="C252" s="1"/>
      <c r="D252" s="208"/>
      <c r="E252" s="208"/>
      <c r="G252" s="4"/>
      <c r="H252" s="1"/>
    </row>
    <row r="253" spans="1:8" ht="19.5">
      <c r="A253" s="1"/>
      <c r="B253" s="2"/>
      <c r="C253" s="1"/>
      <c r="D253" s="208"/>
      <c r="E253" s="208"/>
      <c r="G253" s="4"/>
      <c r="H253" s="1"/>
    </row>
    <row r="254" spans="1:8" ht="19.5">
      <c r="A254" s="1"/>
      <c r="B254" s="2"/>
      <c r="C254" s="1"/>
      <c r="D254" s="208"/>
      <c r="E254" s="208"/>
      <c r="G254" s="4"/>
      <c r="H254" s="1"/>
    </row>
    <row r="255" spans="1:8" ht="19.5">
      <c r="A255" s="1"/>
      <c r="B255" s="2"/>
      <c r="C255" s="1"/>
      <c r="D255" s="208"/>
      <c r="E255" s="208"/>
      <c r="G255" s="4"/>
      <c r="H255" s="1"/>
    </row>
    <row r="256" spans="1:8" ht="19.5">
      <c r="A256" s="1"/>
      <c r="B256" s="2"/>
      <c r="C256" s="1"/>
      <c r="D256" s="208"/>
      <c r="E256" s="208"/>
      <c r="G256" s="4"/>
      <c r="H256" s="1"/>
    </row>
    <row r="257" spans="1:8" ht="19.5">
      <c r="A257" s="1"/>
      <c r="B257" s="2"/>
      <c r="C257" s="1"/>
      <c r="D257" s="208"/>
      <c r="E257" s="208"/>
      <c r="G257" s="4"/>
      <c r="H257" s="1"/>
    </row>
    <row r="258" spans="1:8" ht="19.5">
      <c r="A258" s="1"/>
      <c r="B258" s="2"/>
      <c r="C258" s="1"/>
      <c r="D258" s="208"/>
      <c r="E258" s="208"/>
      <c r="G258" s="4"/>
      <c r="H258" s="1"/>
    </row>
    <row r="259" spans="1:8" ht="19.5">
      <c r="A259" s="1"/>
      <c r="B259" s="2"/>
      <c r="C259" s="1"/>
      <c r="D259" s="208"/>
      <c r="E259" s="208"/>
      <c r="G259" s="4"/>
      <c r="H259" s="1"/>
    </row>
    <row r="260" spans="1:8" ht="19.5">
      <c r="A260" s="1"/>
      <c r="B260" s="2"/>
      <c r="C260" s="1"/>
      <c r="D260" s="208"/>
      <c r="E260" s="208"/>
      <c r="G260" s="4"/>
      <c r="H260" s="1"/>
    </row>
    <row r="261" spans="1:8" ht="19.5">
      <c r="A261" s="1"/>
      <c r="B261" s="2"/>
      <c r="C261" s="1"/>
      <c r="D261" s="208"/>
      <c r="E261" s="208"/>
      <c r="G261" s="4"/>
      <c r="H261" s="1"/>
    </row>
    <row r="262" spans="1:8" ht="19.5">
      <c r="A262" s="1"/>
      <c r="B262" s="2"/>
      <c r="C262" s="1"/>
      <c r="D262" s="208"/>
      <c r="E262" s="208"/>
      <c r="G262" s="4"/>
      <c r="H262" s="1"/>
    </row>
    <row r="263" spans="1:8" ht="19.5">
      <c r="A263" s="1"/>
      <c r="B263" s="2"/>
      <c r="C263" s="1"/>
      <c r="D263" s="208"/>
      <c r="E263" s="208"/>
      <c r="G263" s="4"/>
      <c r="H263" s="1"/>
    </row>
    <row r="264" spans="1:8" ht="19.5">
      <c r="A264" s="1"/>
      <c r="B264" s="2"/>
      <c r="C264" s="1"/>
      <c r="D264" s="208"/>
      <c r="E264" s="208"/>
      <c r="G264" s="4"/>
      <c r="H264" s="1"/>
    </row>
    <row r="265" spans="1:8" ht="19.5">
      <c r="A265" s="1"/>
      <c r="B265" s="2"/>
      <c r="C265" s="1"/>
      <c r="D265" s="208"/>
      <c r="E265" s="208"/>
      <c r="G265" s="4"/>
      <c r="H265" s="1"/>
    </row>
    <row r="266" spans="1:8" ht="19.5">
      <c r="A266" s="1"/>
      <c r="B266" s="2"/>
      <c r="C266" s="1"/>
      <c r="D266" s="208"/>
      <c r="E266" s="208"/>
      <c r="G266" s="4"/>
      <c r="H266" s="1"/>
    </row>
    <row r="267" spans="1:8" ht="19.5">
      <c r="A267" s="1"/>
      <c r="B267" s="2"/>
      <c r="C267" s="1"/>
      <c r="D267" s="208"/>
      <c r="E267" s="208"/>
      <c r="G267" s="4"/>
      <c r="H267" s="1"/>
    </row>
    <row r="268" spans="1:8" ht="19.5">
      <c r="A268" s="1"/>
      <c r="B268" s="2"/>
      <c r="C268" s="1"/>
      <c r="D268" s="208"/>
      <c r="E268" s="208"/>
      <c r="G268" s="4"/>
      <c r="H268" s="1"/>
    </row>
    <row r="269" spans="1:8" ht="19.5">
      <c r="A269" s="1"/>
      <c r="B269" s="2"/>
      <c r="C269" s="1"/>
      <c r="D269" s="208"/>
      <c r="E269" s="208"/>
      <c r="G269" s="4"/>
      <c r="H269" s="1"/>
    </row>
    <row r="270" spans="1:8" ht="19.5">
      <c r="A270" s="1"/>
      <c r="B270" s="2"/>
      <c r="C270" s="1"/>
      <c r="D270" s="208"/>
      <c r="E270" s="208"/>
      <c r="G270" s="4"/>
      <c r="H270" s="1"/>
    </row>
    <row r="271" spans="1:8" ht="19.5">
      <c r="A271" s="1"/>
      <c r="B271" s="2"/>
      <c r="C271" s="1"/>
      <c r="D271" s="208"/>
      <c r="E271" s="208"/>
      <c r="G271" s="4"/>
      <c r="H271" s="1"/>
    </row>
    <row r="272" spans="1:8" ht="19.5">
      <c r="A272" s="1"/>
      <c r="B272" s="2"/>
      <c r="C272" s="1"/>
      <c r="D272" s="208"/>
      <c r="E272" s="208"/>
      <c r="G272" s="4"/>
      <c r="H272" s="1"/>
    </row>
    <row r="273" spans="1:8" ht="19.5">
      <c r="A273" s="1"/>
      <c r="B273" s="2"/>
      <c r="C273" s="1"/>
      <c r="D273" s="208"/>
      <c r="E273" s="208"/>
      <c r="G273" s="4"/>
      <c r="H273" s="1"/>
    </row>
    <row r="274" spans="1:8" ht="19.5">
      <c r="A274" s="1"/>
      <c r="B274" s="2"/>
      <c r="C274" s="1"/>
      <c r="D274" s="208"/>
      <c r="E274" s="208"/>
      <c r="G274" s="4"/>
      <c r="H274" s="1"/>
    </row>
    <row r="275" spans="1:8" ht="19.5">
      <c r="A275" s="1"/>
      <c r="B275" s="2"/>
      <c r="C275" s="1"/>
      <c r="D275" s="208"/>
      <c r="E275" s="208"/>
      <c r="G275" s="4"/>
      <c r="H275" s="1"/>
    </row>
    <row r="276" spans="1:8" ht="19.5">
      <c r="A276" s="1"/>
      <c r="B276" s="2"/>
      <c r="C276" s="1"/>
      <c r="D276" s="208"/>
      <c r="E276" s="208"/>
      <c r="G276" s="4"/>
      <c r="H276" s="1"/>
    </row>
    <row r="277" spans="1:8" ht="19.5">
      <c r="A277" s="1"/>
      <c r="B277" s="2"/>
      <c r="C277" s="1"/>
      <c r="D277" s="208"/>
      <c r="E277" s="208"/>
      <c r="G277" s="4"/>
      <c r="H277" s="1"/>
    </row>
    <row r="278" spans="1:8" ht="19.5">
      <c r="A278" s="1"/>
      <c r="B278" s="2"/>
      <c r="C278" s="1"/>
      <c r="D278" s="208"/>
      <c r="E278" s="208"/>
      <c r="G278" s="4"/>
      <c r="H278" s="1"/>
    </row>
    <row r="279" spans="1:8" ht="19.5">
      <c r="A279" s="1"/>
      <c r="B279" s="2"/>
      <c r="C279" s="1"/>
      <c r="D279" s="208"/>
      <c r="E279" s="208"/>
      <c r="G279" s="4"/>
      <c r="H279" s="1"/>
    </row>
    <row r="280" spans="1:8" ht="19.5">
      <c r="A280" s="1"/>
      <c r="B280" s="2"/>
      <c r="C280" s="1"/>
      <c r="D280" s="208"/>
      <c r="E280" s="208"/>
      <c r="G280" s="4"/>
      <c r="H280" s="1"/>
    </row>
    <row r="281" spans="1:8" ht="19.5">
      <c r="A281" s="1"/>
      <c r="B281" s="2"/>
      <c r="C281" s="1"/>
      <c r="D281" s="208"/>
      <c r="E281" s="208"/>
      <c r="G281" s="4"/>
      <c r="H281" s="1"/>
    </row>
    <row r="282" spans="1:8" ht="19.5">
      <c r="A282" s="1"/>
      <c r="B282" s="2"/>
      <c r="C282" s="1"/>
      <c r="D282" s="208"/>
      <c r="E282" s="208"/>
      <c r="G282" s="4"/>
      <c r="H282" s="1"/>
    </row>
    <row r="283" spans="1:8" ht="19.5">
      <c r="A283" s="1"/>
      <c r="B283" s="2"/>
      <c r="C283" s="1"/>
      <c r="D283" s="208"/>
      <c r="E283" s="208"/>
      <c r="G283" s="4"/>
      <c r="H283" s="1"/>
    </row>
    <row r="284" spans="1:8" ht="19.5">
      <c r="A284" s="1"/>
      <c r="B284" s="2"/>
      <c r="C284" s="1"/>
      <c r="D284" s="208"/>
      <c r="E284" s="208"/>
      <c r="G284" s="4"/>
      <c r="H284" s="1"/>
    </row>
    <row r="285" spans="1:8" ht="19.5">
      <c r="A285" s="1"/>
      <c r="B285" s="2"/>
      <c r="C285" s="1"/>
      <c r="D285" s="208"/>
      <c r="E285" s="208"/>
      <c r="G285" s="4"/>
      <c r="H285" s="1"/>
    </row>
    <row r="286" spans="1:8" ht="19.5">
      <c r="A286" s="1"/>
      <c r="B286" s="2"/>
      <c r="C286" s="1"/>
      <c r="D286" s="208"/>
      <c r="E286" s="208"/>
      <c r="G286" s="4"/>
      <c r="H286" s="1"/>
    </row>
    <row r="287" spans="1:8" ht="19.5">
      <c r="A287" s="1"/>
      <c r="B287" s="2"/>
      <c r="C287" s="1"/>
      <c r="D287" s="208"/>
      <c r="E287" s="208"/>
      <c r="G287" s="4"/>
      <c r="H287" s="1"/>
    </row>
    <row r="288" spans="1:8" ht="19.5">
      <c r="A288" s="1"/>
      <c r="B288" s="2"/>
      <c r="C288" s="1"/>
      <c r="D288" s="208"/>
      <c r="E288" s="208"/>
      <c r="G288" s="4"/>
      <c r="H288" s="1"/>
    </row>
    <row r="289" spans="1:8" ht="19.5">
      <c r="A289" s="1"/>
      <c r="B289" s="2"/>
      <c r="C289" s="1"/>
      <c r="D289" s="208"/>
      <c r="E289" s="208"/>
      <c r="G289" s="4"/>
      <c r="H289" s="1"/>
    </row>
    <row r="290" spans="1:8" ht="19.5">
      <c r="A290" s="1"/>
      <c r="B290" s="2"/>
      <c r="C290" s="1"/>
      <c r="D290" s="208"/>
      <c r="E290" s="208"/>
      <c r="G290" s="4"/>
      <c r="H290" s="1"/>
    </row>
    <row r="291" spans="1:8" ht="19.5">
      <c r="A291" s="1"/>
      <c r="B291" s="2"/>
      <c r="C291" s="1"/>
      <c r="D291" s="208"/>
      <c r="E291" s="208"/>
      <c r="G291" s="4"/>
      <c r="H291" s="1"/>
    </row>
    <row r="292" spans="1:8" ht="19.5">
      <c r="A292" s="1"/>
      <c r="B292" s="2"/>
      <c r="C292" s="1"/>
      <c r="D292" s="208"/>
      <c r="E292" s="208"/>
      <c r="G292" s="4"/>
      <c r="H292" s="1"/>
    </row>
    <row r="293" spans="1:8" ht="19.5">
      <c r="A293" s="1"/>
      <c r="B293" s="2"/>
      <c r="C293" s="1"/>
      <c r="D293" s="208"/>
      <c r="E293" s="208"/>
      <c r="G293" s="4"/>
      <c r="H293" s="1"/>
    </row>
    <row r="294" spans="1:8" ht="19.5">
      <c r="A294" s="1"/>
      <c r="B294" s="2"/>
      <c r="C294" s="1"/>
      <c r="D294" s="208"/>
      <c r="E294" s="208"/>
      <c r="G294" s="4"/>
      <c r="H294" s="1"/>
    </row>
    <row r="295" spans="1:8" ht="19.5">
      <c r="A295" s="1"/>
      <c r="B295" s="2"/>
      <c r="C295" s="1"/>
      <c r="D295" s="208"/>
      <c r="E295" s="208"/>
      <c r="G295" s="4"/>
      <c r="H295" s="1"/>
    </row>
    <row r="296" spans="1:8" ht="19.5">
      <c r="A296" s="1"/>
      <c r="B296" s="2"/>
      <c r="C296" s="1"/>
      <c r="D296" s="208"/>
      <c r="E296" s="208"/>
      <c r="G296" s="4"/>
      <c r="H296" s="1"/>
    </row>
    <row r="297" spans="1:8" ht="19.5">
      <c r="A297" s="1"/>
      <c r="B297" s="2"/>
      <c r="C297" s="1"/>
      <c r="D297" s="208"/>
      <c r="E297" s="208"/>
      <c r="G297" s="4"/>
      <c r="H297" s="1"/>
    </row>
    <row r="298" spans="1:8" ht="19.5">
      <c r="A298" s="1"/>
      <c r="B298" s="2"/>
      <c r="C298" s="1"/>
      <c r="D298" s="208"/>
      <c r="E298" s="208"/>
      <c r="G298" s="4"/>
      <c r="H298" s="1"/>
    </row>
    <row r="299" spans="1:8" ht="19.5">
      <c r="A299" s="1"/>
      <c r="B299" s="2"/>
      <c r="C299" s="1"/>
      <c r="D299" s="208"/>
      <c r="E299" s="208"/>
      <c r="G299" s="4"/>
      <c r="H299" s="1"/>
    </row>
    <row r="300" spans="1:8" ht="19.5">
      <c r="A300" s="1"/>
      <c r="B300" s="2"/>
      <c r="C300" s="1"/>
      <c r="D300" s="208"/>
      <c r="E300" s="208"/>
      <c r="G300" s="4"/>
      <c r="H300" s="1"/>
    </row>
    <row r="301" spans="1:8" ht="19.5">
      <c r="A301" s="1"/>
      <c r="B301" s="2"/>
      <c r="C301" s="1"/>
      <c r="D301" s="208"/>
      <c r="E301" s="208"/>
      <c r="G301" s="4"/>
      <c r="H301" s="1"/>
    </row>
    <row r="302" spans="1:8" ht="19.5">
      <c r="A302" s="1"/>
      <c r="B302" s="2"/>
      <c r="C302" s="1"/>
      <c r="D302" s="208"/>
      <c r="E302" s="208"/>
      <c r="G302" s="4"/>
      <c r="H302" s="1"/>
    </row>
    <row r="303" spans="1:8" ht="19.5">
      <c r="A303" s="1"/>
      <c r="B303" s="2"/>
      <c r="C303" s="1"/>
      <c r="D303" s="208"/>
      <c r="E303" s="208"/>
      <c r="G303" s="4"/>
      <c r="H303" s="1"/>
    </row>
    <row r="304" spans="1:8" ht="19.5">
      <c r="A304" s="1"/>
      <c r="B304" s="2"/>
      <c r="C304" s="1"/>
      <c r="D304" s="208"/>
      <c r="E304" s="208"/>
      <c r="G304" s="4"/>
      <c r="H304" s="1"/>
    </row>
    <row r="305" spans="1:8" ht="19.5">
      <c r="A305" s="1"/>
      <c r="B305" s="2"/>
      <c r="C305" s="1"/>
      <c r="D305" s="208"/>
      <c r="E305" s="208"/>
      <c r="G305" s="4"/>
      <c r="H305" s="1"/>
    </row>
    <row r="306" spans="1:8" ht="19.5">
      <c r="A306" s="1"/>
      <c r="B306" s="2"/>
      <c r="C306" s="1"/>
      <c r="D306" s="208"/>
      <c r="E306" s="208"/>
      <c r="G306" s="4"/>
      <c r="H306" s="1"/>
    </row>
    <row r="307" spans="1:8" ht="19.5">
      <c r="A307" s="1"/>
      <c r="B307" s="2"/>
      <c r="C307" s="1"/>
      <c r="D307" s="208"/>
      <c r="E307" s="208"/>
      <c r="G307" s="4"/>
      <c r="H307" s="1"/>
    </row>
    <row r="308" spans="1:8" ht="19.5">
      <c r="A308" s="1"/>
      <c r="B308" s="2"/>
      <c r="C308" s="1"/>
      <c r="D308" s="208"/>
      <c r="E308" s="208"/>
      <c r="G308" s="4"/>
      <c r="H308" s="1"/>
    </row>
    <row r="309" spans="1:8" ht="19.5">
      <c r="A309" s="1"/>
      <c r="B309" s="2"/>
      <c r="C309" s="1"/>
      <c r="D309" s="208"/>
      <c r="E309" s="208"/>
      <c r="G309" s="4"/>
      <c r="H309" s="1"/>
    </row>
    <row r="310" spans="1:8" ht="19.5">
      <c r="A310" s="1"/>
      <c r="B310" s="2"/>
      <c r="C310" s="1"/>
      <c r="D310" s="208"/>
      <c r="E310" s="208"/>
      <c r="G310" s="4"/>
      <c r="H310" s="1"/>
    </row>
    <row r="311" spans="1:8" ht="19.5">
      <c r="A311" s="1"/>
      <c r="B311" s="2"/>
      <c r="C311" s="1"/>
      <c r="D311" s="208"/>
      <c r="E311" s="208"/>
      <c r="G311" s="4"/>
      <c r="H311" s="1"/>
    </row>
    <row r="312" spans="1:8" ht="19.5">
      <c r="A312" s="1"/>
      <c r="B312" s="2"/>
      <c r="C312" s="1"/>
      <c r="D312" s="208"/>
      <c r="E312" s="208"/>
      <c r="G312" s="4"/>
      <c r="H312" s="1"/>
    </row>
    <row r="313" spans="1:8" ht="19.5">
      <c r="A313" s="1"/>
      <c r="B313" s="2"/>
      <c r="C313" s="1"/>
      <c r="D313" s="208"/>
      <c r="E313" s="208"/>
      <c r="G313" s="4"/>
      <c r="H313" s="1"/>
    </row>
    <row r="314" spans="1:8" ht="19.5">
      <c r="A314" s="1"/>
      <c r="B314" s="2"/>
      <c r="C314" s="1"/>
      <c r="D314" s="208"/>
      <c r="E314" s="208"/>
      <c r="G314" s="4"/>
      <c r="H314" s="1"/>
    </row>
    <row r="315" spans="1:8" ht="19.5">
      <c r="A315" s="1"/>
      <c r="B315" s="2"/>
      <c r="C315" s="1"/>
      <c r="D315" s="208"/>
      <c r="E315" s="208"/>
      <c r="G315" s="4"/>
      <c r="H315" s="1"/>
    </row>
    <row r="316" spans="1:8" ht="19.5">
      <c r="A316" s="1"/>
      <c r="B316" s="2"/>
      <c r="C316" s="1"/>
      <c r="D316" s="208"/>
      <c r="E316" s="208"/>
      <c r="G316" s="4"/>
      <c r="H316" s="1"/>
    </row>
    <row r="317" spans="1:8" ht="19.5">
      <c r="A317" s="1"/>
      <c r="B317" s="2"/>
      <c r="C317" s="1"/>
      <c r="D317" s="208"/>
      <c r="E317" s="208"/>
      <c r="G317" s="4"/>
      <c r="H317" s="1"/>
    </row>
    <row r="318" spans="1:8" ht="19.5">
      <c r="A318" s="1"/>
      <c r="B318" s="2"/>
      <c r="C318" s="1"/>
      <c r="D318" s="208"/>
      <c r="E318" s="208"/>
      <c r="G318" s="4"/>
      <c r="H318" s="1"/>
    </row>
    <row r="319" spans="1:8" ht="19.5">
      <c r="A319" s="1"/>
      <c r="B319" s="2"/>
      <c r="C319" s="1"/>
      <c r="D319" s="208"/>
      <c r="E319" s="208"/>
      <c r="G319" s="4"/>
      <c r="H319" s="1"/>
    </row>
    <row r="320" spans="1:8" ht="19.5">
      <c r="A320" s="1"/>
      <c r="B320" s="2"/>
      <c r="C320" s="1"/>
      <c r="D320" s="208"/>
      <c r="E320" s="208"/>
      <c r="G320" s="4"/>
      <c r="H320" s="1"/>
    </row>
    <row r="321" spans="1:8" ht="19.5">
      <c r="A321" s="1"/>
      <c r="B321" s="2"/>
      <c r="C321" s="1"/>
      <c r="D321" s="208"/>
      <c r="E321" s="208"/>
      <c r="G321" s="4"/>
      <c r="H321" s="1"/>
    </row>
    <row r="322" spans="1:8" ht="19.5">
      <c r="A322" s="1"/>
      <c r="B322" s="2"/>
      <c r="C322" s="1"/>
      <c r="D322" s="208"/>
      <c r="E322" s="208"/>
      <c r="G322" s="4"/>
      <c r="H322" s="1"/>
    </row>
    <row r="323" spans="1:8" ht="19.5">
      <c r="A323" s="1"/>
      <c r="B323" s="2"/>
      <c r="C323" s="1"/>
      <c r="D323" s="208"/>
      <c r="E323" s="208"/>
      <c r="G323" s="4"/>
      <c r="H323" s="1"/>
    </row>
    <row r="324" spans="1:8" ht="19.5">
      <c r="A324" s="1"/>
      <c r="B324" s="2"/>
      <c r="C324" s="1"/>
      <c r="D324" s="208"/>
      <c r="E324" s="208"/>
      <c r="G324" s="4"/>
      <c r="H324" s="1"/>
    </row>
    <row r="325" spans="1:8" ht="19.5">
      <c r="A325" s="1"/>
      <c r="B325" s="2"/>
      <c r="C325" s="1"/>
      <c r="D325" s="208"/>
      <c r="E325" s="208"/>
      <c r="G325" s="4"/>
      <c r="H325" s="1"/>
    </row>
    <row r="326" spans="1:8" ht="19.5">
      <c r="A326" s="1"/>
      <c r="B326" s="2"/>
      <c r="C326" s="1"/>
      <c r="D326" s="208"/>
      <c r="E326" s="208"/>
      <c r="G326" s="4"/>
      <c r="H326" s="1"/>
    </row>
    <row r="327" spans="1:8" ht="19.5">
      <c r="A327" s="1"/>
      <c r="B327" s="2"/>
      <c r="C327" s="1"/>
      <c r="D327" s="208"/>
      <c r="E327" s="208"/>
      <c r="G327" s="4"/>
      <c r="H327" s="1"/>
    </row>
    <row r="328" spans="1:8" ht="19.5">
      <c r="A328" s="1"/>
      <c r="B328" s="2"/>
      <c r="C328" s="1"/>
      <c r="D328" s="208"/>
      <c r="E328" s="208"/>
      <c r="G328" s="4"/>
      <c r="H328" s="1"/>
    </row>
    <row r="329" spans="1:8" ht="19.5">
      <c r="A329" s="1"/>
      <c r="B329" s="2"/>
      <c r="C329" s="1"/>
      <c r="D329" s="208"/>
      <c r="E329" s="208"/>
      <c r="G329" s="4"/>
      <c r="H329" s="1"/>
    </row>
    <row r="330" spans="1:8" ht="19.5">
      <c r="A330" s="1"/>
      <c r="B330" s="2"/>
      <c r="C330" s="1"/>
      <c r="D330" s="208"/>
      <c r="E330" s="208"/>
      <c r="G330" s="4"/>
      <c r="H330" s="1"/>
    </row>
    <row r="331" spans="1:8" ht="19.5">
      <c r="A331" s="1"/>
      <c r="B331" s="2"/>
      <c r="C331" s="1"/>
      <c r="D331" s="208"/>
      <c r="E331" s="208"/>
      <c r="G331" s="4"/>
      <c r="H331" s="1"/>
    </row>
    <row r="332" spans="1:8" ht="19.5">
      <c r="A332" s="1"/>
      <c r="B332" s="2"/>
      <c r="C332" s="1"/>
      <c r="D332" s="208"/>
      <c r="E332" s="208"/>
      <c r="G332" s="4"/>
      <c r="H332" s="1"/>
    </row>
    <row r="333" spans="1:8" ht="19.5">
      <c r="A333" s="1"/>
      <c r="B333" s="2"/>
      <c r="C333" s="1"/>
      <c r="D333" s="208"/>
      <c r="E333" s="208"/>
      <c r="G333" s="4"/>
      <c r="H333" s="1"/>
    </row>
    <row r="334" spans="1:8" ht="19.5">
      <c r="A334" s="1"/>
      <c r="B334" s="2"/>
      <c r="C334" s="1"/>
      <c r="D334" s="208"/>
      <c r="E334" s="208"/>
      <c r="G334" s="4"/>
      <c r="H334" s="1"/>
    </row>
    <row r="335" spans="1:8" ht="19.5">
      <c r="A335" s="1"/>
      <c r="B335" s="2"/>
      <c r="C335" s="1"/>
      <c r="D335" s="208"/>
      <c r="E335" s="208"/>
      <c r="G335" s="4"/>
      <c r="H335" s="1"/>
    </row>
    <row r="336" spans="1:8" ht="19.5">
      <c r="A336" s="1"/>
      <c r="B336" s="2"/>
      <c r="C336" s="1"/>
      <c r="D336" s="208"/>
      <c r="E336" s="208"/>
      <c r="G336" s="4"/>
      <c r="H336" s="1"/>
    </row>
    <row r="337" spans="1:8" ht="19.5">
      <c r="A337" s="1"/>
      <c r="B337" s="2"/>
      <c r="C337" s="1"/>
      <c r="D337" s="208"/>
      <c r="E337" s="208"/>
      <c r="G337" s="4"/>
      <c r="H337" s="1"/>
    </row>
    <row r="338" spans="1:8" ht="19.5">
      <c r="A338" s="1"/>
      <c r="B338" s="2"/>
      <c r="C338" s="1"/>
      <c r="D338" s="208"/>
      <c r="E338" s="208"/>
      <c r="G338" s="4"/>
      <c r="H338" s="1"/>
    </row>
    <row r="339" spans="1:8" ht="19.5">
      <c r="A339" s="1"/>
      <c r="B339" s="2"/>
      <c r="C339" s="1"/>
      <c r="D339" s="208"/>
      <c r="E339" s="208"/>
      <c r="G339" s="4"/>
      <c r="H339" s="1"/>
    </row>
    <row r="340" spans="1:8" ht="19.5">
      <c r="A340" s="1"/>
      <c r="B340" s="2"/>
      <c r="C340" s="1"/>
      <c r="D340" s="208"/>
      <c r="E340" s="208"/>
      <c r="G340" s="4"/>
      <c r="H340" s="1"/>
    </row>
    <row r="341" spans="1:8" ht="19.5">
      <c r="A341" s="1"/>
      <c r="B341" s="2"/>
      <c r="C341" s="1"/>
      <c r="D341" s="208"/>
      <c r="E341" s="208"/>
      <c r="G341" s="4"/>
      <c r="H341" s="1"/>
    </row>
    <row r="342" spans="1:8" ht="19.5">
      <c r="A342" s="1"/>
      <c r="B342" s="2"/>
      <c r="C342" s="1"/>
      <c r="D342" s="208"/>
      <c r="E342" s="208"/>
      <c r="G342" s="4"/>
      <c r="H342" s="1"/>
    </row>
    <row r="343" spans="1:8" ht="19.5">
      <c r="A343" s="1"/>
      <c r="B343" s="2"/>
      <c r="C343" s="1"/>
      <c r="D343" s="208"/>
      <c r="E343" s="208"/>
      <c r="G343" s="4"/>
      <c r="H343" s="1"/>
    </row>
    <row r="344" spans="1:8" ht="19.5">
      <c r="A344" s="1"/>
      <c r="B344" s="2"/>
      <c r="C344" s="1"/>
      <c r="D344" s="208"/>
      <c r="E344" s="208"/>
      <c r="G344" s="4"/>
      <c r="H344" s="1"/>
    </row>
    <row r="345" spans="1:8" ht="19.5">
      <c r="A345" s="1"/>
      <c r="B345" s="2"/>
      <c r="C345" s="1"/>
      <c r="D345" s="208"/>
      <c r="E345" s="208"/>
      <c r="G345" s="4"/>
      <c r="H345" s="1"/>
    </row>
    <row r="346" spans="1:8" ht="19.5">
      <c r="A346" s="1"/>
      <c r="B346" s="2"/>
      <c r="C346" s="1"/>
      <c r="D346" s="208"/>
      <c r="E346" s="208"/>
      <c r="G346" s="4"/>
      <c r="H346" s="1"/>
    </row>
    <row r="347" spans="1:8" ht="19.5">
      <c r="A347" s="1"/>
      <c r="B347" s="2"/>
      <c r="C347" s="1"/>
      <c r="D347" s="208"/>
      <c r="E347" s="208"/>
      <c r="G347" s="4"/>
      <c r="H347" s="1"/>
    </row>
    <row r="348" spans="1:8" ht="19.5">
      <c r="A348" s="1"/>
      <c r="B348" s="2"/>
      <c r="C348" s="1"/>
      <c r="D348" s="208"/>
      <c r="E348" s="208"/>
      <c r="G348" s="4"/>
      <c r="H348" s="1"/>
    </row>
    <row r="349" spans="1:8" ht="19.5">
      <c r="A349" s="1"/>
      <c r="B349" s="2"/>
      <c r="C349" s="1"/>
      <c r="D349" s="208"/>
      <c r="E349" s="208"/>
      <c r="G349" s="4"/>
      <c r="H349" s="1"/>
    </row>
    <row r="350" spans="1:8" ht="19.5">
      <c r="A350" s="1"/>
      <c r="B350" s="2"/>
      <c r="C350" s="1"/>
      <c r="D350" s="208"/>
      <c r="E350" s="208"/>
      <c r="G350" s="4"/>
      <c r="H350" s="1"/>
    </row>
    <row r="351" spans="1:8" ht="19.5">
      <c r="A351" s="1"/>
      <c r="B351" s="2"/>
      <c r="C351" s="1"/>
      <c r="D351" s="208"/>
      <c r="E351" s="208"/>
      <c r="G351" s="4"/>
      <c r="H351" s="1"/>
    </row>
    <row r="352" spans="1:8" ht="19.5">
      <c r="A352" s="1"/>
      <c r="B352" s="2"/>
      <c r="C352" s="1"/>
      <c r="D352" s="208"/>
      <c r="E352" s="208"/>
      <c r="G352" s="4"/>
      <c r="H352" s="1"/>
    </row>
    <row r="353" spans="1:8" ht="19.5">
      <c r="A353" s="1"/>
      <c r="B353" s="2"/>
      <c r="C353" s="1"/>
      <c r="D353" s="208"/>
      <c r="E353" s="208"/>
      <c r="G353" s="4"/>
      <c r="H353" s="1"/>
    </row>
    <row r="354" spans="1:8" ht="19.5">
      <c r="A354" s="1"/>
      <c r="B354" s="2"/>
      <c r="C354" s="1"/>
      <c r="D354" s="208"/>
      <c r="E354" s="208"/>
      <c r="G354" s="4"/>
      <c r="H354" s="1"/>
    </row>
    <row r="355" spans="1:8" ht="19.5">
      <c r="A355" s="1"/>
      <c r="B355" s="2"/>
      <c r="C355" s="1"/>
      <c r="D355" s="208"/>
      <c r="E355" s="208"/>
      <c r="G355" s="4"/>
      <c r="H355" s="1"/>
    </row>
    <row r="356" spans="1:8" ht="19.5">
      <c r="A356" s="1"/>
      <c r="B356" s="2"/>
      <c r="C356" s="1"/>
      <c r="D356" s="208"/>
      <c r="E356" s="208"/>
      <c r="G356" s="4"/>
      <c r="H356" s="1"/>
    </row>
    <row r="357" spans="1:8" ht="19.5">
      <c r="A357" s="1"/>
      <c r="B357" s="2"/>
      <c r="C357" s="1"/>
      <c r="D357" s="208"/>
      <c r="E357" s="208"/>
      <c r="G357" s="4"/>
      <c r="H357" s="1"/>
    </row>
    <row r="358" spans="1:8" ht="19.5">
      <c r="A358" s="1"/>
      <c r="B358" s="2"/>
      <c r="C358" s="1"/>
      <c r="D358" s="208"/>
      <c r="E358" s="208"/>
      <c r="G358" s="4"/>
      <c r="H358" s="1"/>
    </row>
    <row r="359" spans="1:8" ht="19.5">
      <c r="A359" s="1"/>
      <c r="B359" s="2"/>
      <c r="C359" s="1"/>
      <c r="D359" s="208"/>
      <c r="E359" s="208"/>
      <c r="G359" s="4"/>
      <c r="H359" s="1"/>
    </row>
    <row r="360" spans="1:8" ht="19.5">
      <c r="A360" s="1"/>
      <c r="B360" s="2"/>
      <c r="C360" s="1"/>
      <c r="D360" s="208"/>
      <c r="E360" s="208"/>
      <c r="G360" s="4"/>
      <c r="H360" s="1"/>
    </row>
    <row r="361" spans="1:8" ht="19.5">
      <c r="A361" s="1"/>
      <c r="B361" s="2"/>
      <c r="C361" s="1"/>
      <c r="D361" s="208"/>
      <c r="E361" s="208"/>
      <c r="G361" s="4"/>
      <c r="H361" s="1"/>
    </row>
    <row r="362" spans="1:8" ht="19.5">
      <c r="A362" s="1"/>
      <c r="B362" s="2"/>
      <c r="C362" s="1"/>
      <c r="D362" s="208"/>
      <c r="E362" s="208"/>
      <c r="G362" s="4"/>
      <c r="H362" s="1"/>
    </row>
    <row r="363" spans="1:8" ht="19.5">
      <c r="A363" s="1"/>
      <c r="B363" s="2"/>
      <c r="C363" s="1"/>
      <c r="D363" s="208"/>
      <c r="E363" s="208"/>
      <c r="G363" s="4"/>
      <c r="H363" s="1"/>
    </row>
    <row r="364" spans="1:8" ht="19.5">
      <c r="A364" s="1"/>
      <c r="B364" s="2"/>
      <c r="C364" s="1"/>
      <c r="D364" s="208"/>
      <c r="E364" s="208"/>
      <c r="G364" s="4"/>
      <c r="H364" s="1"/>
    </row>
    <row r="365" spans="1:8" ht="19.5">
      <c r="A365" s="1"/>
      <c r="B365" s="2"/>
      <c r="C365" s="1"/>
      <c r="D365" s="208"/>
      <c r="E365" s="208"/>
      <c r="G365" s="4"/>
      <c r="H365" s="1"/>
    </row>
    <row r="366" spans="1:8" ht="19.5">
      <c r="A366" s="1"/>
      <c r="B366" s="2"/>
      <c r="C366" s="1"/>
      <c r="D366" s="208"/>
      <c r="E366" s="208"/>
      <c r="G366" s="4"/>
      <c r="H366" s="1"/>
    </row>
    <row r="367" spans="1:8" ht="19.5">
      <c r="A367" s="1"/>
      <c r="B367" s="2"/>
      <c r="C367" s="1"/>
      <c r="D367" s="208"/>
      <c r="E367" s="208"/>
      <c r="G367" s="4"/>
      <c r="H367" s="1"/>
    </row>
    <row r="368" spans="1:8" ht="19.5">
      <c r="A368" s="1"/>
      <c r="B368" s="2"/>
      <c r="C368" s="1"/>
      <c r="D368" s="208"/>
      <c r="E368" s="208"/>
      <c r="G368" s="4"/>
      <c r="H368" s="1"/>
    </row>
    <row r="369" spans="1:8" ht="19.5">
      <c r="A369" s="1"/>
      <c r="B369" s="2"/>
      <c r="C369" s="1"/>
      <c r="D369" s="208"/>
      <c r="E369" s="208"/>
      <c r="G369" s="4"/>
      <c r="H369" s="1"/>
    </row>
    <row r="370" spans="1:8" ht="19.5">
      <c r="A370" s="1"/>
      <c r="B370" s="2"/>
      <c r="C370" s="1"/>
      <c r="D370" s="208"/>
      <c r="E370" s="208"/>
      <c r="G370" s="4"/>
      <c r="H370" s="1"/>
    </row>
    <row r="371" spans="1:8" ht="19.5">
      <c r="A371" s="1"/>
      <c r="B371" s="2"/>
      <c r="C371" s="1"/>
      <c r="D371" s="208"/>
      <c r="E371" s="208"/>
      <c r="G371" s="4"/>
      <c r="H371" s="1"/>
    </row>
    <row r="372" spans="1:8" ht="19.5">
      <c r="A372" s="1"/>
      <c r="B372" s="2"/>
      <c r="C372" s="1"/>
      <c r="D372" s="208"/>
      <c r="E372" s="208"/>
      <c r="G372" s="4"/>
      <c r="H372" s="1"/>
    </row>
    <row r="373" spans="1:8" ht="19.5">
      <c r="A373" s="1"/>
      <c r="B373" s="2"/>
      <c r="C373" s="1"/>
      <c r="D373" s="208"/>
      <c r="E373" s="208"/>
      <c r="G373" s="4"/>
      <c r="H373" s="1"/>
    </row>
    <row r="374" spans="1:8" ht="19.5">
      <c r="A374" s="1"/>
      <c r="B374" s="2"/>
      <c r="C374" s="1"/>
      <c r="D374" s="208"/>
      <c r="E374" s="208"/>
      <c r="G374" s="4"/>
      <c r="H374" s="1"/>
    </row>
    <row r="375" spans="1:8" ht="19.5">
      <c r="A375" s="1"/>
      <c r="B375" s="2"/>
      <c r="C375" s="1"/>
      <c r="D375" s="208"/>
      <c r="E375" s="208"/>
      <c r="G375" s="4"/>
      <c r="H375" s="1"/>
    </row>
    <row r="376" spans="1:8" ht="19.5">
      <c r="A376" s="1"/>
      <c r="B376" s="2"/>
      <c r="C376" s="1"/>
      <c r="D376" s="208"/>
      <c r="E376" s="208"/>
      <c r="G376" s="4"/>
      <c r="H376" s="1"/>
    </row>
    <row r="377" spans="1:8" ht="19.5">
      <c r="A377" s="1"/>
      <c r="B377" s="2"/>
      <c r="C377" s="1"/>
      <c r="D377" s="208"/>
      <c r="E377" s="208"/>
      <c r="G377" s="4"/>
      <c r="H377" s="1"/>
    </row>
    <row r="378" spans="1:8" ht="19.5">
      <c r="A378" s="1"/>
      <c r="B378" s="2"/>
      <c r="C378" s="1"/>
      <c r="D378" s="208"/>
      <c r="E378" s="208"/>
      <c r="G378" s="4"/>
      <c r="H378" s="1"/>
    </row>
    <row r="379" spans="1:8" ht="19.5">
      <c r="A379" s="1"/>
      <c r="B379" s="2"/>
      <c r="C379" s="1"/>
      <c r="D379" s="208"/>
      <c r="E379" s="208"/>
      <c r="G379" s="4"/>
      <c r="H379" s="1"/>
    </row>
    <row r="380" spans="1:8" ht="19.5">
      <c r="A380" s="1"/>
      <c r="B380" s="2"/>
      <c r="C380" s="1"/>
      <c r="D380" s="208"/>
      <c r="E380" s="208"/>
      <c r="G380" s="4"/>
      <c r="H380" s="1"/>
    </row>
    <row r="381" spans="1:8" ht="19.5">
      <c r="A381" s="1"/>
      <c r="B381" s="2"/>
      <c r="C381" s="1"/>
      <c r="D381" s="208"/>
      <c r="E381" s="208"/>
      <c r="G381" s="4"/>
      <c r="H381" s="1"/>
    </row>
    <row r="382" spans="1:8" ht="19.5">
      <c r="A382" s="1"/>
      <c r="B382" s="2"/>
      <c r="C382" s="1"/>
      <c r="D382" s="208"/>
      <c r="E382" s="208"/>
      <c r="G382" s="4"/>
      <c r="H382" s="1"/>
    </row>
    <row r="383" spans="1:8" ht="19.5">
      <c r="A383" s="1"/>
      <c r="B383" s="2"/>
      <c r="C383" s="1"/>
      <c r="D383" s="208"/>
      <c r="E383" s="208"/>
      <c r="G383" s="4"/>
      <c r="H383" s="1"/>
    </row>
    <row r="384" spans="1:8" ht="19.5">
      <c r="A384" s="1"/>
      <c r="B384" s="2"/>
      <c r="C384" s="1"/>
      <c r="D384" s="208"/>
      <c r="E384" s="208"/>
      <c r="G384" s="4"/>
      <c r="H384" s="1"/>
    </row>
    <row r="385" spans="1:8" ht="19.5">
      <c r="A385" s="1"/>
      <c r="B385" s="2"/>
      <c r="C385" s="1"/>
      <c r="D385" s="208"/>
      <c r="E385" s="208"/>
      <c r="G385" s="4"/>
      <c r="H385" s="1"/>
    </row>
    <row r="386" spans="1:8" ht="19.5">
      <c r="A386" s="1"/>
      <c r="B386" s="2"/>
      <c r="C386" s="1"/>
      <c r="D386" s="208"/>
      <c r="E386" s="208"/>
      <c r="G386" s="4"/>
      <c r="H386" s="1"/>
    </row>
    <row r="387" spans="1:8" ht="19.5">
      <c r="A387" s="1"/>
      <c r="B387" s="2"/>
      <c r="C387" s="1"/>
      <c r="D387" s="208"/>
      <c r="E387" s="208"/>
      <c r="G387" s="4"/>
      <c r="H387" s="1"/>
    </row>
    <row r="388" spans="1:8" ht="19.5">
      <c r="A388" s="1"/>
      <c r="B388" s="2"/>
      <c r="C388" s="1"/>
      <c r="D388" s="208"/>
      <c r="E388" s="208"/>
      <c r="G388" s="4"/>
      <c r="H388" s="1"/>
    </row>
    <row r="389" spans="1:8" ht="19.5">
      <c r="A389" s="1"/>
      <c r="B389" s="2"/>
      <c r="C389" s="1"/>
      <c r="D389" s="208"/>
      <c r="E389" s="208"/>
      <c r="G389" s="4"/>
      <c r="H389" s="1"/>
    </row>
    <row r="390" spans="1:8" ht="19.5">
      <c r="A390" s="1"/>
      <c r="B390" s="2"/>
      <c r="C390" s="1"/>
      <c r="D390" s="208"/>
      <c r="E390" s="208"/>
      <c r="G390" s="4"/>
      <c r="H390" s="1"/>
    </row>
    <row r="391" spans="1:8" ht="19.5">
      <c r="A391" s="1"/>
      <c r="B391" s="2"/>
      <c r="C391" s="1"/>
      <c r="D391" s="208"/>
      <c r="E391" s="208"/>
      <c r="G391" s="4"/>
      <c r="H391" s="1"/>
    </row>
    <row r="392" spans="1:8" ht="19.5">
      <c r="A392" s="1"/>
      <c r="B392" s="2"/>
      <c r="C392" s="1"/>
      <c r="D392" s="208"/>
      <c r="E392" s="208"/>
      <c r="G392" s="4"/>
      <c r="H392" s="1"/>
    </row>
    <row r="393" spans="1:8" ht="19.5">
      <c r="A393" s="1"/>
      <c r="B393" s="2"/>
      <c r="C393" s="1"/>
      <c r="D393" s="208"/>
      <c r="E393" s="208"/>
      <c r="G393" s="4"/>
      <c r="H393" s="1"/>
    </row>
    <row r="394" spans="1:8" ht="19.5">
      <c r="A394" s="1"/>
      <c r="B394" s="2"/>
      <c r="C394" s="1"/>
      <c r="D394" s="208"/>
      <c r="E394" s="208"/>
      <c r="G394" s="4"/>
      <c r="H394" s="1"/>
    </row>
    <row r="395" spans="1:8" ht="19.5">
      <c r="A395" s="1"/>
      <c r="B395" s="2"/>
      <c r="C395" s="1"/>
      <c r="D395" s="208"/>
      <c r="E395" s="208"/>
      <c r="G395" s="4"/>
      <c r="H395" s="1"/>
    </row>
    <row r="396" spans="1:8" ht="19.5">
      <c r="A396" s="1"/>
      <c r="B396" s="2"/>
      <c r="C396" s="1"/>
      <c r="D396" s="208"/>
      <c r="E396" s="208"/>
      <c r="G396" s="4"/>
      <c r="H396" s="1"/>
    </row>
    <row r="397" spans="1:8" ht="19.5">
      <c r="A397" s="1"/>
      <c r="B397" s="2"/>
      <c r="C397" s="1"/>
      <c r="D397" s="208"/>
      <c r="E397" s="208"/>
      <c r="G397" s="4"/>
      <c r="H397" s="1"/>
    </row>
    <row r="398" spans="1:8" ht="19.5">
      <c r="A398" s="1"/>
      <c r="B398" s="2"/>
      <c r="C398" s="1"/>
      <c r="D398" s="208"/>
      <c r="E398" s="208"/>
      <c r="G398" s="4"/>
      <c r="H398" s="1"/>
    </row>
    <row r="399" spans="1:8" ht="19.5">
      <c r="A399" s="1"/>
      <c r="B399" s="2"/>
      <c r="C399" s="1"/>
      <c r="D399" s="208"/>
      <c r="E399" s="208"/>
      <c r="G399" s="4"/>
      <c r="H399" s="1"/>
    </row>
    <row r="400" spans="1:8" ht="19.5">
      <c r="A400" s="1"/>
      <c r="B400" s="2"/>
      <c r="C400" s="1"/>
      <c r="D400" s="208"/>
      <c r="E400" s="208"/>
      <c r="G400" s="4"/>
      <c r="H400" s="1"/>
    </row>
    <row r="401" spans="1:8" ht="19.5">
      <c r="A401" s="1"/>
      <c r="B401" s="2"/>
      <c r="C401" s="1"/>
      <c r="D401" s="208"/>
      <c r="E401" s="208"/>
      <c r="G401" s="4"/>
      <c r="H401" s="1"/>
    </row>
    <row r="402" spans="1:8" ht="19.5">
      <c r="A402" s="1"/>
      <c r="B402" s="2"/>
      <c r="C402" s="1"/>
      <c r="D402" s="208"/>
      <c r="E402" s="208"/>
      <c r="G402" s="4"/>
      <c r="H402" s="1"/>
    </row>
    <row r="403" spans="1:8" ht="19.5">
      <c r="A403" s="1"/>
      <c r="B403" s="2"/>
      <c r="C403" s="1"/>
      <c r="D403" s="208"/>
      <c r="E403" s="208"/>
      <c r="G403" s="4"/>
      <c r="H403" s="1"/>
    </row>
    <row r="404" spans="1:8" ht="19.5">
      <c r="A404" s="1"/>
      <c r="B404" s="2"/>
      <c r="C404" s="1"/>
      <c r="D404" s="208"/>
      <c r="E404" s="208"/>
      <c r="G404" s="4"/>
      <c r="H404" s="1"/>
    </row>
    <row r="405" spans="1:8" ht="19.5">
      <c r="A405" s="1"/>
      <c r="B405" s="2"/>
      <c r="C405" s="1"/>
      <c r="D405" s="208"/>
      <c r="E405" s="208"/>
      <c r="G405" s="4"/>
      <c r="H405" s="1"/>
    </row>
    <row r="406" spans="1:8" ht="19.5">
      <c r="A406" s="1"/>
      <c r="B406" s="2"/>
      <c r="C406" s="1"/>
      <c r="D406" s="208"/>
      <c r="E406" s="208"/>
      <c r="G406" s="4"/>
      <c r="H406" s="1"/>
    </row>
    <row r="407" spans="1:8" ht="19.5">
      <c r="A407" s="1"/>
      <c r="B407" s="2"/>
      <c r="C407" s="1"/>
      <c r="D407" s="208"/>
      <c r="E407" s="208"/>
      <c r="G407" s="4"/>
      <c r="H407" s="1"/>
    </row>
    <row r="408" spans="1:8" ht="19.5">
      <c r="A408" s="1"/>
      <c r="B408" s="2"/>
      <c r="C408" s="1"/>
      <c r="D408" s="208"/>
      <c r="E408" s="208"/>
      <c r="G408" s="4"/>
      <c r="H408" s="1"/>
    </row>
    <row r="409" spans="1:8" ht="19.5">
      <c r="A409" s="1"/>
      <c r="B409" s="2"/>
      <c r="C409" s="1"/>
      <c r="D409" s="208"/>
      <c r="E409" s="208"/>
      <c r="G409" s="4"/>
      <c r="H409" s="1"/>
    </row>
    <row r="410" spans="1:8" ht="19.5">
      <c r="A410" s="1"/>
      <c r="B410" s="2"/>
      <c r="C410" s="1"/>
      <c r="D410" s="208"/>
      <c r="E410" s="208"/>
      <c r="G410" s="4"/>
      <c r="H410" s="1"/>
    </row>
    <row r="411" spans="1:8" ht="19.5">
      <c r="A411" s="1"/>
      <c r="B411" s="2"/>
      <c r="C411" s="1"/>
      <c r="D411" s="208"/>
      <c r="E411" s="208"/>
      <c r="G411" s="4"/>
      <c r="H411" s="1"/>
    </row>
    <row r="412" spans="1:8" ht="19.5">
      <c r="A412" s="1"/>
      <c r="B412" s="2"/>
      <c r="C412" s="1"/>
      <c r="D412" s="208"/>
      <c r="E412" s="208"/>
      <c r="G412" s="4"/>
      <c r="H412" s="1"/>
    </row>
    <row r="413" spans="1:8" ht="19.5">
      <c r="A413" s="1"/>
      <c r="B413" s="2"/>
      <c r="C413" s="1"/>
      <c r="D413" s="208"/>
      <c r="E413" s="208"/>
      <c r="G413" s="4"/>
      <c r="H413" s="1"/>
    </row>
    <row r="414" spans="1:8" ht="19.5">
      <c r="A414" s="1"/>
      <c r="B414" s="2"/>
      <c r="C414" s="1"/>
      <c r="D414" s="208"/>
      <c r="E414" s="208"/>
      <c r="G414" s="4"/>
      <c r="H414" s="1"/>
    </row>
    <row r="415" spans="1:8" ht="19.5">
      <c r="A415" s="1"/>
      <c r="B415" s="2"/>
      <c r="C415" s="1"/>
      <c r="D415" s="208"/>
      <c r="E415" s="208"/>
      <c r="G415" s="4"/>
      <c r="H415" s="1"/>
    </row>
    <row r="416" spans="1:8" ht="19.5">
      <c r="A416" s="1"/>
      <c r="B416" s="2"/>
      <c r="C416" s="1"/>
      <c r="D416" s="208"/>
      <c r="E416" s="208"/>
      <c r="G416" s="4"/>
      <c r="H416" s="1"/>
    </row>
    <row r="417" spans="1:8" ht="19.5">
      <c r="A417" s="1"/>
      <c r="B417" s="2"/>
      <c r="C417" s="1"/>
      <c r="D417" s="208"/>
      <c r="E417" s="208"/>
      <c r="G417" s="4"/>
      <c r="H417" s="1"/>
    </row>
    <row r="418" spans="1:8" ht="19.5">
      <c r="A418" s="1"/>
      <c r="B418" s="2"/>
      <c r="C418" s="1"/>
      <c r="D418" s="208"/>
      <c r="E418" s="208"/>
      <c r="G418" s="4"/>
      <c r="H418" s="1"/>
    </row>
    <row r="419" spans="1:8" ht="19.5">
      <c r="A419" s="1"/>
      <c r="B419" s="2"/>
      <c r="C419" s="1"/>
      <c r="D419" s="208"/>
      <c r="E419" s="208"/>
      <c r="G419" s="4"/>
      <c r="H419" s="1"/>
    </row>
    <row r="420" spans="1:8" ht="19.5">
      <c r="A420" s="1"/>
      <c r="B420" s="2"/>
      <c r="C420" s="1"/>
      <c r="D420" s="208"/>
      <c r="E420" s="208"/>
      <c r="G420" s="4"/>
      <c r="H420" s="1"/>
    </row>
    <row r="421" spans="1:8" ht="19.5">
      <c r="A421" s="1"/>
      <c r="B421" s="2"/>
      <c r="C421" s="1"/>
      <c r="D421" s="208"/>
      <c r="E421" s="208"/>
      <c r="G421" s="4"/>
      <c r="H421" s="1"/>
    </row>
    <row r="422" spans="1:8" ht="19.5">
      <c r="A422" s="1"/>
      <c r="B422" s="2"/>
      <c r="C422" s="1"/>
      <c r="D422" s="208"/>
      <c r="E422" s="208"/>
      <c r="G422" s="4"/>
      <c r="H422" s="1"/>
    </row>
    <row r="423" spans="1:8" ht="19.5">
      <c r="A423" s="1"/>
      <c r="B423" s="2"/>
      <c r="C423" s="1"/>
      <c r="D423" s="208"/>
      <c r="E423" s="208"/>
      <c r="G423" s="4"/>
      <c r="H423" s="1"/>
    </row>
    <row r="424" spans="1:8" ht="19.5">
      <c r="A424" s="1"/>
      <c r="B424" s="2"/>
      <c r="C424" s="1"/>
      <c r="D424" s="208"/>
      <c r="E424" s="208"/>
      <c r="G424" s="4"/>
      <c r="H424" s="1"/>
    </row>
    <row r="425" spans="1:8" ht="19.5">
      <c r="A425" s="1"/>
      <c r="B425" s="2"/>
      <c r="C425" s="1"/>
      <c r="D425" s="208"/>
      <c r="E425" s="208"/>
      <c r="G425" s="4"/>
      <c r="H425" s="1"/>
    </row>
    <row r="426" spans="1:8" ht="19.5">
      <c r="A426" s="1"/>
      <c r="B426" s="2"/>
      <c r="C426" s="1"/>
      <c r="D426" s="208"/>
      <c r="E426" s="208"/>
      <c r="G426" s="4"/>
      <c r="H426" s="1"/>
    </row>
    <row r="427" spans="1:8" ht="19.5">
      <c r="A427" s="1"/>
      <c r="B427" s="2"/>
      <c r="C427" s="1"/>
      <c r="D427" s="208"/>
      <c r="E427" s="208"/>
      <c r="G427" s="4"/>
      <c r="H427" s="1"/>
    </row>
    <row r="428" spans="1:8" ht="19.5">
      <c r="A428" s="1"/>
      <c r="B428" s="2"/>
      <c r="C428" s="1"/>
      <c r="D428" s="208"/>
      <c r="E428" s="208"/>
      <c r="G428" s="4"/>
      <c r="H428" s="1"/>
    </row>
    <row r="429" spans="1:8" ht="19.5">
      <c r="A429" s="1"/>
      <c r="B429" s="2"/>
      <c r="C429" s="1"/>
      <c r="D429" s="208"/>
      <c r="E429" s="208"/>
      <c r="G429" s="4"/>
      <c r="H429" s="1"/>
    </row>
    <row r="430" spans="1:8" ht="19.5">
      <c r="A430" s="1"/>
      <c r="B430" s="2"/>
      <c r="C430" s="1"/>
      <c r="D430" s="208"/>
      <c r="E430" s="208"/>
      <c r="G430" s="4"/>
      <c r="H430" s="1"/>
    </row>
    <row r="431" spans="1:8" ht="19.5">
      <c r="A431" s="1"/>
      <c r="B431" s="2"/>
      <c r="C431" s="1"/>
      <c r="D431" s="208"/>
      <c r="E431" s="208"/>
      <c r="G431" s="4"/>
      <c r="H431" s="1"/>
    </row>
    <row r="432" spans="1:8" ht="19.5">
      <c r="A432" s="1"/>
      <c r="B432" s="2"/>
      <c r="C432" s="1"/>
      <c r="D432" s="208"/>
      <c r="E432" s="208"/>
      <c r="G432" s="4"/>
      <c r="H432" s="1"/>
    </row>
    <row r="433" spans="1:8" ht="19.5">
      <c r="A433" s="1"/>
      <c r="B433" s="2"/>
      <c r="C433" s="1"/>
      <c r="D433" s="208"/>
      <c r="E433" s="208"/>
      <c r="G433" s="4"/>
      <c r="H433" s="1"/>
    </row>
    <row r="434" spans="1:8" ht="19.5">
      <c r="A434" s="1"/>
      <c r="B434" s="2"/>
      <c r="C434" s="1"/>
      <c r="D434" s="208"/>
      <c r="E434" s="208"/>
      <c r="G434" s="4"/>
      <c r="H434" s="1"/>
    </row>
    <row r="435" spans="1:8" ht="19.5">
      <c r="A435" s="1"/>
      <c r="B435" s="2"/>
      <c r="C435" s="1"/>
      <c r="D435" s="208"/>
      <c r="E435" s="208"/>
      <c r="G435" s="4"/>
      <c r="H435" s="1"/>
    </row>
    <row r="436" spans="1:8" ht="19.5">
      <c r="A436" s="1"/>
      <c r="B436" s="2"/>
      <c r="C436" s="1"/>
      <c r="D436" s="208"/>
      <c r="E436" s="208"/>
      <c r="G436" s="4"/>
      <c r="H436" s="1"/>
    </row>
    <row r="437" spans="1:8" ht="19.5">
      <c r="A437" s="1"/>
      <c r="B437" s="2"/>
      <c r="C437" s="1"/>
      <c r="D437" s="208"/>
      <c r="E437" s="208"/>
      <c r="G437" s="4"/>
      <c r="H437" s="1"/>
    </row>
    <row r="438" spans="1:8" ht="19.5">
      <c r="A438" s="1"/>
      <c r="B438" s="2"/>
      <c r="C438" s="1"/>
      <c r="D438" s="208"/>
      <c r="E438" s="208"/>
      <c r="G438" s="4"/>
      <c r="H438" s="1"/>
    </row>
    <row r="439" spans="1:8" ht="19.5">
      <c r="A439" s="1"/>
      <c r="B439" s="2"/>
      <c r="C439" s="1"/>
      <c r="D439" s="208"/>
      <c r="E439" s="208"/>
      <c r="G439" s="4"/>
      <c r="H439" s="1"/>
    </row>
    <row r="440" spans="1:8" ht="19.5">
      <c r="A440" s="1"/>
      <c r="B440" s="2"/>
      <c r="C440" s="1"/>
      <c r="D440" s="208"/>
      <c r="E440" s="208"/>
      <c r="G440" s="4"/>
      <c r="H440" s="1"/>
    </row>
    <row r="441" spans="1:8" ht="19.5">
      <c r="A441" s="1"/>
      <c r="B441" s="2"/>
      <c r="C441" s="1"/>
      <c r="D441" s="208"/>
      <c r="E441" s="208"/>
      <c r="G441" s="4"/>
      <c r="H441" s="1"/>
    </row>
    <row r="442" spans="1:8" ht="19.5">
      <c r="A442" s="1"/>
      <c r="B442" s="2"/>
      <c r="C442" s="1"/>
      <c r="D442" s="208"/>
      <c r="E442" s="208"/>
      <c r="G442" s="4"/>
      <c r="H442" s="1"/>
    </row>
    <row r="443" spans="1:8" ht="19.5">
      <c r="A443" s="1"/>
      <c r="B443" s="2"/>
      <c r="C443" s="1"/>
      <c r="D443" s="208"/>
      <c r="E443" s="208"/>
      <c r="G443" s="4"/>
      <c r="H443" s="1"/>
    </row>
    <row r="444" spans="1:8" ht="19.5">
      <c r="A444" s="1"/>
      <c r="B444" s="2"/>
      <c r="C444" s="1"/>
      <c r="D444" s="208"/>
      <c r="E444" s="208"/>
      <c r="G444" s="4"/>
      <c r="H444" s="1"/>
    </row>
    <row r="445" spans="1:8" ht="19.5">
      <c r="A445" s="1"/>
      <c r="B445" s="2"/>
      <c r="C445" s="1"/>
      <c r="D445" s="208"/>
      <c r="E445" s="208"/>
      <c r="G445" s="4"/>
      <c r="H445" s="1"/>
    </row>
    <row r="446" spans="1:8" ht="19.5">
      <c r="A446" s="1"/>
      <c r="B446" s="2"/>
      <c r="C446" s="1"/>
      <c r="D446" s="208"/>
      <c r="E446" s="208"/>
      <c r="G446" s="4"/>
      <c r="H446" s="1"/>
    </row>
    <row r="447" spans="1:8" ht="19.5">
      <c r="A447" s="1"/>
      <c r="B447" s="2"/>
      <c r="C447" s="1"/>
      <c r="D447" s="208"/>
      <c r="E447" s="208"/>
      <c r="G447" s="4"/>
      <c r="H447" s="1"/>
    </row>
    <row r="448" spans="1:8" ht="19.5">
      <c r="A448" s="1"/>
      <c r="B448" s="2"/>
      <c r="C448" s="1"/>
      <c r="D448" s="208"/>
      <c r="E448" s="208"/>
      <c r="G448" s="4"/>
      <c r="H448" s="1"/>
    </row>
    <row r="449" spans="1:8" ht="19.5">
      <c r="A449" s="1"/>
      <c r="B449" s="2"/>
      <c r="C449" s="1"/>
      <c r="D449" s="208"/>
      <c r="E449" s="208"/>
      <c r="G449" s="4"/>
      <c r="H449" s="1"/>
    </row>
    <row r="450" spans="1:8" ht="19.5">
      <c r="A450" s="1"/>
      <c r="B450" s="2"/>
      <c r="C450" s="1"/>
      <c r="D450" s="208"/>
      <c r="E450" s="208"/>
      <c r="G450" s="4"/>
      <c r="H450" s="1"/>
    </row>
    <row r="451" spans="1:8" ht="19.5">
      <c r="A451" s="1"/>
      <c r="B451" s="2"/>
      <c r="C451" s="1"/>
      <c r="D451" s="208"/>
      <c r="E451" s="208"/>
      <c r="G451" s="4"/>
      <c r="H451" s="1"/>
    </row>
    <row r="452" spans="1:8" ht="19.5">
      <c r="A452" s="1"/>
      <c r="B452" s="2"/>
      <c r="C452" s="1"/>
      <c r="D452" s="208"/>
      <c r="E452" s="208"/>
      <c r="G452" s="4"/>
      <c r="H452" s="1"/>
    </row>
    <row r="453" spans="1:8" ht="19.5">
      <c r="A453" s="1"/>
      <c r="B453" s="2"/>
      <c r="C453" s="1"/>
      <c r="D453" s="208"/>
      <c r="E453" s="208"/>
      <c r="G453" s="4"/>
      <c r="H453" s="1"/>
    </row>
    <row r="454" spans="1:8" ht="19.5">
      <c r="A454" s="1"/>
      <c r="B454" s="2"/>
      <c r="C454" s="1"/>
      <c r="D454" s="208"/>
      <c r="E454" s="208"/>
      <c r="G454" s="4"/>
      <c r="H454" s="1"/>
    </row>
    <row r="455" spans="1:8" ht="19.5">
      <c r="A455" s="1"/>
      <c r="B455" s="2"/>
      <c r="C455" s="1"/>
      <c r="D455" s="208"/>
      <c r="E455" s="208"/>
      <c r="G455" s="4"/>
      <c r="H455" s="1"/>
    </row>
    <row r="456" spans="1:8" ht="19.5">
      <c r="A456" s="1"/>
      <c r="B456" s="2"/>
      <c r="C456" s="1"/>
      <c r="D456" s="208"/>
      <c r="E456" s="208"/>
      <c r="G456" s="4"/>
      <c r="H456" s="1"/>
    </row>
    <row r="457" spans="1:8" ht="19.5">
      <c r="A457" s="1"/>
      <c r="B457" s="2"/>
      <c r="C457" s="1"/>
      <c r="D457" s="208"/>
      <c r="E457" s="208"/>
      <c r="G457" s="4"/>
      <c r="H457" s="1"/>
    </row>
    <row r="458" spans="1:8" ht="19.5">
      <c r="A458" s="1"/>
      <c r="B458" s="2"/>
      <c r="C458" s="1"/>
      <c r="D458" s="208"/>
      <c r="E458" s="208"/>
      <c r="G458" s="4"/>
      <c r="H458" s="1"/>
    </row>
    <row r="459" spans="1:8" ht="19.5">
      <c r="A459" s="1"/>
      <c r="B459" s="2"/>
      <c r="C459" s="1"/>
      <c r="D459" s="208"/>
      <c r="E459" s="208"/>
      <c r="G459" s="4"/>
      <c r="H459" s="1"/>
    </row>
    <row r="460" spans="1:8" ht="19.5">
      <c r="A460" s="1"/>
      <c r="B460" s="2"/>
      <c r="C460" s="1"/>
      <c r="D460" s="208"/>
      <c r="E460" s="208"/>
      <c r="G460" s="4"/>
      <c r="H460" s="1"/>
    </row>
    <row r="461" spans="1:8" ht="19.5">
      <c r="A461" s="1"/>
      <c r="B461" s="2"/>
      <c r="C461" s="1"/>
      <c r="D461" s="208"/>
      <c r="E461" s="208"/>
      <c r="G461" s="4"/>
      <c r="H461" s="1"/>
    </row>
    <row r="462" spans="1:8" ht="19.5">
      <c r="A462" s="1"/>
      <c r="B462" s="2"/>
      <c r="C462" s="1"/>
      <c r="D462" s="208"/>
      <c r="E462" s="208"/>
      <c r="G462" s="4"/>
      <c r="H462" s="1"/>
    </row>
    <row r="463" spans="1:8" ht="19.5">
      <c r="A463" s="1"/>
      <c r="B463" s="2"/>
      <c r="C463" s="1"/>
      <c r="D463" s="208"/>
      <c r="E463" s="208"/>
      <c r="G463" s="4"/>
      <c r="H463" s="1"/>
    </row>
    <row r="464" spans="1:8" ht="19.5">
      <c r="A464" s="1"/>
      <c r="B464" s="2"/>
      <c r="C464" s="1"/>
      <c r="D464" s="208"/>
      <c r="E464" s="208"/>
      <c r="G464" s="4"/>
      <c r="H464" s="1"/>
    </row>
    <row r="465" spans="1:8" ht="19.5">
      <c r="A465" s="1"/>
      <c r="B465" s="2"/>
      <c r="C465" s="1"/>
      <c r="D465" s="208"/>
      <c r="E465" s="208"/>
      <c r="G465" s="4"/>
      <c r="H465" s="1"/>
    </row>
    <row r="466" spans="1:8" ht="19.5">
      <c r="A466" s="1"/>
      <c r="B466" s="2"/>
      <c r="C466" s="1"/>
      <c r="D466" s="208"/>
      <c r="E466" s="208"/>
      <c r="G466" s="4"/>
      <c r="H466" s="1"/>
    </row>
    <row r="467" spans="1:8" ht="19.5">
      <c r="A467" s="1"/>
      <c r="B467" s="2"/>
      <c r="C467" s="1"/>
      <c r="D467" s="208"/>
      <c r="E467" s="208"/>
      <c r="G467" s="4"/>
      <c r="H467" s="1"/>
    </row>
    <row r="468" spans="1:8" ht="19.5">
      <c r="A468" s="1"/>
      <c r="B468" s="2"/>
      <c r="C468" s="1"/>
      <c r="D468" s="208"/>
      <c r="E468" s="208"/>
      <c r="G468" s="4"/>
      <c r="H468" s="1"/>
    </row>
    <row r="469" spans="1:8" ht="19.5">
      <c r="A469" s="1"/>
      <c r="B469" s="2"/>
      <c r="C469" s="1"/>
      <c r="D469" s="208"/>
      <c r="E469" s="208"/>
      <c r="G469" s="4"/>
      <c r="H469" s="1"/>
    </row>
    <row r="470" spans="1:8" ht="19.5">
      <c r="A470" s="1"/>
      <c r="B470" s="2"/>
      <c r="C470" s="1"/>
      <c r="D470" s="208"/>
      <c r="E470" s="208"/>
      <c r="G470" s="4"/>
      <c r="H470" s="1"/>
    </row>
    <row r="471" spans="1:8" ht="19.5">
      <c r="A471" s="1"/>
      <c r="B471" s="2"/>
      <c r="C471" s="1"/>
      <c r="D471" s="208"/>
      <c r="E471" s="208"/>
      <c r="G471" s="4"/>
      <c r="H471" s="1"/>
    </row>
    <row r="472" spans="1:8" ht="19.5">
      <c r="A472" s="1"/>
      <c r="B472" s="2"/>
      <c r="C472" s="1"/>
      <c r="D472" s="208"/>
      <c r="E472" s="208"/>
      <c r="G472" s="4"/>
      <c r="H472" s="1"/>
    </row>
    <row r="473" spans="1:8" ht="19.5">
      <c r="A473" s="1"/>
      <c r="B473" s="2"/>
      <c r="C473" s="1"/>
      <c r="D473" s="208"/>
      <c r="E473" s="208"/>
      <c r="G473" s="4"/>
      <c r="H473" s="1"/>
    </row>
    <row r="474" spans="1:8" ht="19.5">
      <c r="A474" s="1"/>
      <c r="B474" s="2"/>
      <c r="C474" s="1"/>
      <c r="D474" s="208"/>
      <c r="E474" s="208"/>
      <c r="G474" s="4"/>
      <c r="H474" s="1"/>
    </row>
    <row r="475" spans="1:8" ht="19.5">
      <c r="A475" s="1"/>
      <c r="B475" s="2"/>
      <c r="C475" s="1"/>
      <c r="D475" s="208"/>
      <c r="E475" s="208"/>
      <c r="G475" s="4"/>
      <c r="H475" s="1"/>
    </row>
    <row r="476" spans="1:8" ht="19.5">
      <c r="A476" s="1"/>
      <c r="B476" s="2"/>
      <c r="C476" s="1"/>
      <c r="D476" s="208"/>
      <c r="E476" s="208"/>
      <c r="G476" s="4"/>
      <c r="H476" s="1"/>
    </row>
    <row r="477" spans="1:8" ht="19.5">
      <c r="A477" s="1"/>
      <c r="B477" s="2"/>
      <c r="C477" s="1"/>
      <c r="D477" s="208"/>
      <c r="E477" s="208"/>
      <c r="G477" s="4"/>
      <c r="H477" s="1"/>
    </row>
    <row r="478" spans="1:8" ht="19.5">
      <c r="A478" s="1"/>
      <c r="B478" s="2"/>
      <c r="C478" s="1"/>
      <c r="D478" s="208"/>
      <c r="E478" s="208"/>
      <c r="G478" s="4"/>
      <c r="H478" s="1"/>
    </row>
    <row r="479" spans="1:8" ht="19.5">
      <c r="A479" s="1"/>
      <c r="B479" s="2"/>
      <c r="C479" s="1"/>
      <c r="D479" s="208"/>
      <c r="E479" s="208"/>
      <c r="G479" s="4"/>
      <c r="H479" s="1"/>
    </row>
    <row r="480" spans="1:8" ht="19.5">
      <c r="A480" s="1"/>
      <c r="B480" s="2"/>
      <c r="C480" s="1"/>
      <c r="D480" s="208"/>
      <c r="E480" s="208"/>
      <c r="G480" s="4"/>
      <c r="H480" s="1"/>
    </row>
    <row r="481" spans="1:8" ht="19.5">
      <c r="A481" s="1"/>
      <c r="B481" s="2"/>
      <c r="C481" s="1"/>
      <c r="D481" s="208"/>
      <c r="E481" s="208"/>
      <c r="G481" s="4"/>
      <c r="H481" s="1"/>
    </row>
    <row r="482" spans="1:8" ht="19.5">
      <c r="A482" s="1"/>
      <c r="B482" s="2"/>
      <c r="C482" s="1"/>
      <c r="D482" s="208"/>
      <c r="E482" s="208"/>
      <c r="G482" s="4"/>
      <c r="H482" s="1"/>
    </row>
    <row r="483" spans="1:8" ht="19.5">
      <c r="A483" s="1"/>
      <c r="B483" s="2"/>
      <c r="C483" s="1"/>
      <c r="D483" s="208"/>
      <c r="E483" s="208"/>
      <c r="G483" s="4"/>
      <c r="H483" s="1"/>
    </row>
    <row r="484" spans="1:8" ht="19.5">
      <c r="A484" s="1"/>
      <c r="B484" s="2"/>
      <c r="C484" s="1"/>
      <c r="D484" s="208"/>
      <c r="E484" s="208"/>
      <c r="G484" s="4"/>
      <c r="H484" s="1"/>
    </row>
    <row r="485" spans="1:8" ht="19.5">
      <c r="A485" s="1"/>
      <c r="B485" s="2"/>
      <c r="C485" s="1"/>
      <c r="D485" s="208"/>
      <c r="E485" s="208"/>
      <c r="G485" s="4"/>
      <c r="H485" s="1"/>
    </row>
    <row r="486" spans="1:8" ht="19.5">
      <c r="A486" s="1"/>
      <c r="B486" s="2"/>
      <c r="C486" s="1"/>
      <c r="D486" s="208"/>
      <c r="E486" s="208"/>
      <c r="G486" s="4"/>
      <c r="H486" s="1"/>
    </row>
    <row r="487" spans="1:8" ht="19.5">
      <c r="A487" s="1"/>
      <c r="B487" s="2"/>
      <c r="C487" s="1"/>
      <c r="D487" s="208"/>
      <c r="E487" s="208"/>
      <c r="G487" s="4"/>
      <c r="H487" s="1"/>
    </row>
    <row r="488" spans="1:8" ht="19.5">
      <c r="A488" s="1"/>
      <c r="B488" s="2"/>
      <c r="C488" s="1"/>
      <c r="D488" s="208"/>
      <c r="E488" s="208"/>
      <c r="G488" s="4"/>
      <c r="H488" s="1"/>
    </row>
    <row r="489" spans="1:8" ht="19.5">
      <c r="A489" s="1"/>
      <c r="B489" s="2"/>
      <c r="C489" s="1"/>
      <c r="D489" s="208"/>
      <c r="E489" s="208"/>
      <c r="G489" s="4"/>
      <c r="H489" s="1"/>
    </row>
    <row r="490" spans="1:8" ht="19.5">
      <c r="A490" s="1"/>
      <c r="B490" s="2"/>
      <c r="C490" s="1"/>
      <c r="D490" s="208"/>
      <c r="E490" s="208"/>
      <c r="G490" s="4"/>
      <c r="H490" s="1"/>
    </row>
    <row r="491" spans="1:8" ht="19.5">
      <c r="A491" s="1"/>
      <c r="B491" s="2"/>
      <c r="C491" s="1"/>
      <c r="D491" s="208"/>
      <c r="E491" s="208"/>
      <c r="G491" s="4"/>
      <c r="H491" s="1"/>
    </row>
    <row r="492" spans="1:8" ht="19.5">
      <c r="A492" s="1"/>
      <c r="B492" s="2"/>
      <c r="C492" s="1"/>
      <c r="D492" s="208"/>
      <c r="E492" s="208"/>
      <c r="G492" s="4"/>
      <c r="H492" s="1"/>
    </row>
    <row r="493" spans="1:8" ht="19.5">
      <c r="A493" s="1"/>
      <c r="B493" s="2"/>
      <c r="C493" s="1"/>
      <c r="D493" s="208"/>
      <c r="E493" s="208"/>
      <c r="G493" s="4"/>
      <c r="H493" s="1"/>
    </row>
    <row r="494" spans="1:8" ht="19.5">
      <c r="A494" s="1"/>
      <c r="B494" s="2"/>
      <c r="C494" s="1"/>
      <c r="D494" s="208"/>
      <c r="E494" s="208"/>
      <c r="G494" s="4"/>
      <c r="H494" s="1"/>
    </row>
    <row r="495" spans="1:8" ht="19.5">
      <c r="A495" s="1"/>
      <c r="B495" s="2"/>
      <c r="C495" s="1"/>
      <c r="D495" s="208"/>
      <c r="E495" s="208"/>
      <c r="G495" s="4"/>
      <c r="H495" s="1"/>
    </row>
    <row r="496" spans="1:8" ht="19.5">
      <c r="A496" s="1"/>
      <c r="B496" s="2"/>
      <c r="C496" s="1"/>
      <c r="D496" s="208"/>
      <c r="E496" s="208"/>
      <c r="G496" s="4"/>
      <c r="H496" s="1"/>
    </row>
    <row r="497" spans="1:8" ht="19.5">
      <c r="A497" s="1"/>
      <c r="B497" s="2"/>
      <c r="C497" s="1"/>
      <c r="D497" s="208"/>
      <c r="E497" s="208"/>
      <c r="G497" s="4"/>
      <c r="H497" s="1"/>
    </row>
    <row r="498" spans="1:8" ht="19.5">
      <c r="A498" s="1"/>
      <c r="B498" s="2"/>
      <c r="C498" s="1"/>
      <c r="D498" s="208"/>
      <c r="E498" s="208"/>
      <c r="G498" s="4"/>
      <c r="H498" s="1"/>
    </row>
    <row r="499" spans="1:8" ht="19.5">
      <c r="A499" s="1"/>
      <c r="B499" s="2"/>
      <c r="C499" s="1"/>
      <c r="D499" s="208"/>
      <c r="E499" s="208"/>
      <c r="G499" s="4"/>
      <c r="H499" s="1"/>
    </row>
    <row r="500" spans="1:8" ht="19.5">
      <c r="A500" s="1"/>
      <c r="B500" s="2"/>
      <c r="C500" s="1"/>
      <c r="D500" s="208"/>
      <c r="E500" s="208"/>
      <c r="G500" s="4"/>
      <c r="H500" s="1"/>
    </row>
    <row r="501" spans="1:8" ht="19.5">
      <c r="A501" s="1"/>
      <c r="B501" s="2"/>
      <c r="C501" s="1"/>
      <c r="D501" s="208"/>
      <c r="E501" s="208"/>
      <c r="G501" s="4"/>
      <c r="H501" s="1"/>
    </row>
    <row r="502" spans="1:8" ht="19.5">
      <c r="A502" s="1"/>
      <c r="B502" s="2"/>
      <c r="C502" s="1"/>
      <c r="D502" s="208"/>
      <c r="E502" s="208"/>
      <c r="G502" s="4"/>
      <c r="H502" s="1"/>
    </row>
    <row r="503" spans="1:8" ht="19.5">
      <c r="A503" s="1"/>
      <c r="B503" s="2"/>
      <c r="C503" s="1"/>
      <c r="D503" s="208"/>
      <c r="E503" s="208"/>
      <c r="G503" s="4"/>
      <c r="H503" s="1"/>
    </row>
    <row r="504" spans="1:8" ht="19.5">
      <c r="A504" s="1"/>
      <c r="B504" s="2"/>
      <c r="C504" s="1"/>
      <c r="D504" s="208"/>
      <c r="E504" s="208"/>
      <c r="G504" s="4"/>
      <c r="H504" s="1"/>
    </row>
    <row r="505" spans="1:8" ht="19.5">
      <c r="A505" s="1"/>
      <c r="B505" s="2"/>
      <c r="C505" s="1"/>
      <c r="D505" s="208"/>
      <c r="E505" s="208"/>
      <c r="G505" s="4"/>
      <c r="H505" s="1"/>
    </row>
    <row r="506" spans="1:8" ht="19.5">
      <c r="A506" s="1"/>
      <c r="B506" s="2"/>
      <c r="C506" s="1"/>
      <c r="D506" s="208"/>
      <c r="E506" s="208"/>
      <c r="G506" s="4"/>
      <c r="H506" s="1"/>
    </row>
    <row r="507" spans="1:8" ht="19.5">
      <c r="A507" s="1"/>
      <c r="B507" s="2"/>
      <c r="C507" s="1"/>
      <c r="D507" s="208"/>
      <c r="E507" s="208"/>
      <c r="G507" s="4"/>
      <c r="H507" s="1"/>
    </row>
    <row r="508" spans="1:8" ht="19.5">
      <c r="A508" s="1"/>
      <c r="B508" s="2"/>
      <c r="C508" s="1"/>
      <c r="D508" s="208"/>
      <c r="E508" s="208"/>
      <c r="G508" s="4"/>
      <c r="H508" s="1"/>
    </row>
    <row r="509" spans="1:8" ht="19.5">
      <c r="A509" s="1"/>
      <c r="B509" s="2"/>
      <c r="C509" s="1"/>
      <c r="D509" s="208"/>
      <c r="E509" s="208"/>
      <c r="G509" s="4"/>
      <c r="H509" s="1"/>
    </row>
    <row r="510" spans="1:8" ht="19.5">
      <c r="A510" s="1"/>
      <c r="B510" s="2"/>
      <c r="C510" s="1"/>
      <c r="D510" s="208"/>
      <c r="E510" s="208"/>
      <c r="G510" s="4"/>
      <c r="H510" s="1"/>
    </row>
    <row r="511" spans="1:8" ht="19.5">
      <c r="A511" s="1"/>
      <c r="B511" s="2"/>
      <c r="C511" s="1"/>
      <c r="D511" s="208"/>
      <c r="E511" s="208"/>
      <c r="G511" s="4"/>
      <c r="H511" s="1"/>
    </row>
    <row r="512" spans="1:8" ht="19.5">
      <c r="A512" s="1"/>
      <c r="B512" s="2"/>
      <c r="C512" s="1"/>
      <c r="D512" s="208"/>
      <c r="E512" s="208"/>
      <c r="G512" s="4"/>
      <c r="H512" s="1"/>
    </row>
    <row r="513" spans="1:8" ht="19.5">
      <c r="A513" s="1"/>
      <c r="B513" s="2"/>
      <c r="C513" s="1"/>
      <c r="D513" s="208"/>
      <c r="E513" s="208"/>
      <c r="G513" s="4"/>
      <c r="H513" s="1"/>
    </row>
    <row r="514" spans="1:8" ht="19.5">
      <c r="A514" s="1"/>
      <c r="B514" s="2"/>
      <c r="C514" s="1"/>
      <c r="D514" s="208"/>
      <c r="E514" s="208"/>
      <c r="G514" s="4"/>
      <c r="H514" s="1"/>
    </row>
    <row r="515" spans="1:8" ht="19.5">
      <c r="A515" s="1"/>
      <c r="B515" s="2"/>
      <c r="C515" s="1"/>
      <c r="D515" s="208"/>
      <c r="E515" s="208"/>
      <c r="G515" s="4"/>
      <c r="H515" s="1"/>
    </row>
    <row r="516" spans="1:8" ht="19.5">
      <c r="A516" s="1"/>
      <c r="B516" s="2"/>
      <c r="C516" s="1"/>
      <c r="D516" s="208"/>
      <c r="E516" s="208"/>
      <c r="G516" s="4"/>
      <c r="H516" s="1"/>
    </row>
    <row r="517" spans="1:8" ht="19.5">
      <c r="A517" s="1"/>
      <c r="B517" s="2"/>
      <c r="C517" s="1"/>
      <c r="D517" s="208"/>
      <c r="E517" s="208"/>
      <c r="G517" s="4"/>
      <c r="H517" s="1"/>
    </row>
    <row r="518" spans="1:8" ht="19.5">
      <c r="A518" s="1"/>
      <c r="B518" s="2"/>
      <c r="C518" s="1"/>
      <c r="D518" s="208"/>
      <c r="E518" s="208"/>
      <c r="G518" s="4"/>
      <c r="H518" s="1"/>
    </row>
    <row r="519" spans="1:8" ht="19.5">
      <c r="A519" s="1"/>
      <c r="B519" s="2"/>
      <c r="C519" s="1"/>
      <c r="D519" s="208"/>
      <c r="E519" s="208"/>
      <c r="G519" s="4"/>
      <c r="H519" s="1"/>
    </row>
    <row r="520" spans="1:8" ht="19.5">
      <c r="A520" s="1"/>
      <c r="B520" s="2"/>
      <c r="C520" s="1"/>
      <c r="D520" s="208"/>
      <c r="E520" s="208"/>
      <c r="G520" s="4"/>
      <c r="H520" s="1"/>
    </row>
    <row r="521" spans="1:8" ht="19.5">
      <c r="A521" s="1"/>
      <c r="B521" s="2"/>
      <c r="C521" s="1"/>
      <c r="D521" s="208"/>
      <c r="E521" s="208"/>
      <c r="G521" s="4"/>
      <c r="H521" s="1"/>
    </row>
    <row r="522" spans="1:8" ht="19.5">
      <c r="A522" s="1"/>
      <c r="B522" s="2"/>
      <c r="C522" s="1"/>
      <c r="D522" s="208"/>
      <c r="E522" s="208"/>
      <c r="G522" s="4"/>
      <c r="H522" s="1"/>
    </row>
    <row r="523" spans="1:8" ht="19.5">
      <c r="A523" s="1"/>
      <c r="B523" s="2"/>
      <c r="C523" s="1"/>
      <c r="D523" s="208"/>
      <c r="E523" s="208"/>
      <c r="G523" s="4"/>
      <c r="H523" s="1"/>
    </row>
    <row r="524" spans="1:8" ht="19.5">
      <c r="A524" s="1"/>
      <c r="B524" s="2"/>
      <c r="C524" s="1"/>
      <c r="D524" s="208"/>
      <c r="E524" s="208"/>
      <c r="G524" s="4"/>
      <c r="H524" s="1"/>
    </row>
    <row r="525" spans="1:8" ht="19.5">
      <c r="A525" s="1"/>
      <c r="B525" s="2"/>
      <c r="C525" s="1"/>
      <c r="D525" s="208"/>
      <c r="E525" s="208"/>
      <c r="G525" s="4"/>
      <c r="H525" s="1"/>
    </row>
    <row r="526" spans="1:8" ht="19.5">
      <c r="A526" s="1"/>
      <c r="B526" s="2"/>
      <c r="C526" s="1"/>
      <c r="D526" s="208"/>
      <c r="E526" s="208"/>
      <c r="G526" s="4"/>
      <c r="H526" s="1"/>
    </row>
    <row r="527" spans="1:8" ht="19.5">
      <c r="A527" s="1"/>
      <c r="B527" s="2"/>
      <c r="C527" s="1"/>
      <c r="D527" s="208"/>
      <c r="E527" s="208"/>
      <c r="G527" s="4"/>
      <c r="H527" s="1"/>
    </row>
    <row r="528" spans="1:8" ht="19.5">
      <c r="A528" s="1"/>
      <c r="B528" s="2"/>
      <c r="C528" s="1"/>
      <c r="D528" s="208"/>
      <c r="E528" s="208"/>
      <c r="G528" s="4"/>
      <c r="H528" s="1"/>
    </row>
    <row r="529" spans="1:8" ht="19.5">
      <c r="A529" s="1"/>
      <c r="B529" s="2"/>
      <c r="C529" s="1"/>
      <c r="D529" s="208"/>
      <c r="E529" s="208"/>
      <c r="G529" s="4"/>
      <c r="H529" s="1"/>
    </row>
    <row r="530" spans="1:8" ht="19.5">
      <c r="A530" s="1"/>
      <c r="B530" s="2"/>
      <c r="C530" s="1"/>
      <c r="D530" s="208"/>
      <c r="E530" s="208"/>
      <c r="G530" s="4"/>
      <c r="H530" s="1"/>
    </row>
    <row r="531" spans="1:8" ht="19.5">
      <c r="A531" s="1"/>
      <c r="B531" s="2"/>
      <c r="C531" s="1"/>
      <c r="D531" s="208"/>
      <c r="E531" s="208"/>
      <c r="G531" s="4"/>
      <c r="H531" s="1"/>
    </row>
    <row r="532" spans="1:8" ht="19.5">
      <c r="A532" s="1"/>
      <c r="B532" s="2"/>
      <c r="C532" s="1"/>
      <c r="D532" s="208"/>
      <c r="E532" s="208"/>
      <c r="G532" s="4"/>
      <c r="H532" s="1"/>
    </row>
    <row r="533" spans="1:8" ht="19.5">
      <c r="A533" s="1"/>
      <c r="B533" s="2"/>
      <c r="C533" s="1"/>
      <c r="D533" s="208"/>
      <c r="E533" s="208"/>
      <c r="G533" s="4"/>
      <c r="H533" s="1"/>
    </row>
    <row r="534" spans="1:8" ht="19.5">
      <c r="A534" s="1"/>
      <c r="B534" s="2"/>
      <c r="C534" s="1"/>
      <c r="D534" s="208"/>
      <c r="E534" s="208"/>
      <c r="G534" s="4"/>
      <c r="H534" s="1"/>
    </row>
    <row r="535" spans="1:8" ht="19.5">
      <c r="A535" s="1"/>
      <c r="B535" s="2"/>
      <c r="C535" s="1"/>
      <c r="D535" s="208"/>
      <c r="E535" s="208"/>
      <c r="G535" s="4"/>
      <c r="H535" s="1"/>
    </row>
    <row r="536" spans="1:8" ht="19.5">
      <c r="A536" s="1"/>
      <c r="B536" s="2"/>
      <c r="C536" s="1"/>
      <c r="D536" s="208"/>
      <c r="E536" s="208"/>
      <c r="G536" s="4"/>
      <c r="H536" s="1"/>
    </row>
    <row r="537" spans="1:8" ht="19.5">
      <c r="A537" s="1"/>
      <c r="B537" s="2"/>
      <c r="C537" s="1"/>
      <c r="D537" s="208"/>
      <c r="E537" s="208"/>
      <c r="G537" s="4"/>
      <c r="H537" s="1"/>
    </row>
    <row r="538" spans="1:8" ht="19.5">
      <c r="A538" s="1"/>
      <c r="B538" s="2"/>
      <c r="C538" s="1"/>
      <c r="D538" s="208"/>
      <c r="E538" s="208"/>
      <c r="G538" s="4"/>
      <c r="H538" s="1"/>
    </row>
    <row r="539" spans="1:8" ht="19.5">
      <c r="A539" s="1"/>
      <c r="B539" s="2"/>
      <c r="C539" s="1"/>
      <c r="D539" s="208"/>
      <c r="E539" s="208"/>
      <c r="G539" s="4"/>
      <c r="H539" s="1"/>
    </row>
    <row r="540" spans="1:8" ht="19.5">
      <c r="A540" s="1"/>
      <c r="B540" s="2"/>
      <c r="C540" s="1"/>
      <c r="D540" s="208"/>
      <c r="E540" s="208"/>
      <c r="G540" s="4"/>
      <c r="H540" s="1"/>
    </row>
    <row r="541" spans="1:8" ht="19.5">
      <c r="A541" s="1"/>
      <c r="B541" s="2"/>
      <c r="C541" s="1"/>
      <c r="D541" s="208"/>
      <c r="E541" s="208"/>
      <c r="G541" s="4"/>
      <c r="H541" s="1"/>
    </row>
    <row r="542" spans="1:8" ht="19.5">
      <c r="A542" s="1"/>
      <c r="B542" s="2"/>
      <c r="C542" s="1"/>
      <c r="D542" s="208"/>
      <c r="E542" s="208"/>
      <c r="G542" s="4"/>
      <c r="H542" s="1"/>
    </row>
    <row r="543" spans="1:8" ht="19.5">
      <c r="A543" s="1"/>
      <c r="B543" s="2"/>
      <c r="C543" s="1"/>
      <c r="D543" s="208"/>
      <c r="E543" s="208"/>
      <c r="G543" s="4"/>
      <c r="H543" s="1"/>
    </row>
    <row r="544" spans="1:8" ht="19.5">
      <c r="A544" s="1"/>
      <c r="B544" s="2"/>
      <c r="C544" s="1"/>
      <c r="D544" s="208"/>
      <c r="E544" s="208"/>
      <c r="G544" s="4"/>
      <c r="H544" s="1"/>
    </row>
    <row r="545" spans="1:8" ht="19.5">
      <c r="A545" s="1"/>
      <c r="B545" s="2"/>
      <c r="C545" s="1"/>
      <c r="D545" s="208"/>
      <c r="E545" s="208"/>
      <c r="G545" s="4"/>
      <c r="H545" s="1"/>
    </row>
    <row r="546" spans="1:8" ht="19.5">
      <c r="A546" s="1"/>
      <c r="B546" s="2"/>
      <c r="C546" s="1"/>
      <c r="D546" s="208"/>
      <c r="E546" s="208"/>
      <c r="G546" s="4"/>
      <c r="H546" s="1"/>
    </row>
    <row r="547" spans="1:8" ht="19.5">
      <c r="A547" s="1"/>
      <c r="B547" s="2"/>
      <c r="C547" s="1"/>
      <c r="D547" s="208"/>
      <c r="E547" s="208"/>
      <c r="G547" s="4"/>
      <c r="H547" s="1"/>
    </row>
    <row r="548" spans="1:8" ht="19.5">
      <c r="A548" s="1"/>
      <c r="B548" s="2"/>
      <c r="C548" s="1"/>
      <c r="D548" s="208"/>
      <c r="E548" s="208"/>
      <c r="G548" s="4"/>
      <c r="H548" s="1"/>
    </row>
    <row r="549" spans="1:8" ht="19.5">
      <c r="A549" s="1"/>
      <c r="B549" s="2"/>
      <c r="C549" s="1"/>
      <c r="D549" s="208"/>
      <c r="E549" s="208"/>
      <c r="G549" s="4"/>
      <c r="H549" s="1"/>
    </row>
    <row r="550" spans="1:8" ht="19.5">
      <c r="A550" s="1"/>
      <c r="B550" s="2"/>
      <c r="C550" s="1"/>
      <c r="D550" s="208"/>
      <c r="E550" s="208"/>
      <c r="G550" s="4"/>
      <c r="H550" s="1"/>
    </row>
    <row r="551" spans="1:8" ht="19.5">
      <c r="A551" s="1"/>
      <c r="B551" s="2"/>
      <c r="C551" s="1"/>
      <c r="D551" s="208"/>
      <c r="E551" s="208"/>
      <c r="G551" s="4"/>
      <c r="H551" s="1"/>
    </row>
    <row r="552" spans="1:8" ht="19.5">
      <c r="A552" s="1"/>
      <c r="B552" s="2"/>
      <c r="C552" s="1"/>
      <c r="D552" s="208"/>
      <c r="E552" s="208"/>
      <c r="G552" s="4"/>
      <c r="H552" s="1"/>
    </row>
    <row r="553" spans="1:8" ht="19.5">
      <c r="A553" s="1"/>
      <c r="B553" s="2"/>
      <c r="C553" s="1"/>
      <c r="D553" s="208"/>
      <c r="E553" s="208"/>
      <c r="G553" s="4"/>
      <c r="H553" s="1"/>
    </row>
    <row r="554" spans="1:8" ht="19.5">
      <c r="A554" s="1"/>
      <c r="B554" s="2"/>
      <c r="C554" s="1"/>
      <c r="D554" s="208"/>
      <c r="E554" s="208"/>
      <c r="G554" s="4"/>
      <c r="H554" s="1"/>
    </row>
    <row r="555" spans="1:8" ht="19.5">
      <c r="A555" s="1"/>
      <c r="B555" s="2"/>
      <c r="C555" s="1"/>
      <c r="D555" s="208"/>
      <c r="E555" s="208"/>
      <c r="G555" s="4"/>
      <c r="H555" s="1"/>
    </row>
    <row r="556" spans="1:8" ht="19.5">
      <c r="A556" s="1"/>
      <c r="B556" s="2"/>
      <c r="C556" s="1"/>
      <c r="D556" s="208"/>
      <c r="E556" s="208"/>
      <c r="G556" s="4"/>
      <c r="H556" s="1"/>
    </row>
    <row r="557" spans="1:8" ht="19.5">
      <c r="A557" s="1"/>
      <c r="B557" s="2"/>
      <c r="C557" s="1"/>
      <c r="D557" s="208"/>
      <c r="E557" s="208"/>
      <c r="G557" s="4"/>
      <c r="H557" s="1"/>
    </row>
    <row r="558" spans="1:8" ht="19.5">
      <c r="A558" s="1"/>
      <c r="B558" s="2"/>
      <c r="C558" s="1"/>
      <c r="D558" s="208"/>
      <c r="E558" s="208"/>
      <c r="G558" s="4"/>
      <c r="H558" s="1"/>
    </row>
    <row r="559" spans="1:8" ht="19.5">
      <c r="A559" s="1"/>
      <c r="B559" s="2"/>
      <c r="C559" s="1"/>
      <c r="D559" s="208"/>
      <c r="E559" s="208"/>
      <c r="G559" s="4"/>
      <c r="H559" s="1"/>
    </row>
    <row r="560" spans="1:8" ht="19.5">
      <c r="A560" s="1"/>
      <c r="B560" s="2"/>
      <c r="C560" s="1"/>
      <c r="D560" s="208"/>
      <c r="E560" s="208"/>
      <c r="G560" s="4"/>
      <c r="H560" s="1"/>
    </row>
    <row r="561" spans="1:8" ht="19.5">
      <c r="A561" s="1"/>
      <c r="B561" s="2"/>
      <c r="C561" s="1"/>
      <c r="D561" s="208"/>
      <c r="E561" s="208"/>
      <c r="G561" s="4"/>
      <c r="H561" s="1"/>
    </row>
    <row r="562" spans="1:8" ht="19.5">
      <c r="A562" s="1"/>
      <c r="B562" s="2"/>
      <c r="C562" s="1"/>
      <c r="D562" s="208"/>
      <c r="E562" s="208"/>
      <c r="G562" s="4"/>
      <c r="H562" s="1"/>
    </row>
    <row r="563" spans="1:8" ht="19.5">
      <c r="A563" s="1"/>
      <c r="B563" s="2"/>
      <c r="C563" s="1"/>
      <c r="D563" s="208"/>
      <c r="E563" s="208"/>
      <c r="G563" s="4"/>
      <c r="H563" s="1"/>
    </row>
    <row r="564" spans="1:8" ht="19.5">
      <c r="A564" s="1"/>
      <c r="B564" s="2"/>
      <c r="C564" s="1"/>
      <c r="D564" s="208"/>
      <c r="E564" s="208"/>
      <c r="G564" s="4"/>
      <c r="H564" s="1"/>
    </row>
    <row r="565" spans="1:8" ht="19.5">
      <c r="A565" s="1"/>
      <c r="B565" s="2"/>
      <c r="C565" s="1"/>
      <c r="D565" s="208"/>
      <c r="E565" s="208"/>
      <c r="G565" s="4"/>
      <c r="H565" s="1"/>
    </row>
    <row r="566" spans="1:8" ht="19.5">
      <c r="A566" s="1"/>
      <c r="B566" s="2"/>
      <c r="C566" s="1"/>
      <c r="D566" s="208"/>
      <c r="E566" s="208"/>
      <c r="G566" s="4"/>
      <c r="H566" s="1"/>
    </row>
    <row r="567" spans="1:8" ht="19.5">
      <c r="A567" s="1"/>
      <c r="B567" s="2"/>
      <c r="C567" s="1"/>
      <c r="D567" s="208"/>
      <c r="E567" s="208"/>
      <c r="G567" s="4"/>
      <c r="H567" s="1"/>
    </row>
    <row r="568" spans="1:8" ht="19.5">
      <c r="A568" s="1"/>
      <c r="B568" s="2"/>
      <c r="C568" s="1"/>
      <c r="D568" s="208"/>
      <c r="E568" s="208"/>
      <c r="G568" s="4"/>
      <c r="H568" s="1"/>
    </row>
    <row r="569" spans="1:8" ht="19.5">
      <c r="A569" s="1"/>
      <c r="B569" s="2"/>
      <c r="C569" s="1"/>
      <c r="D569" s="208"/>
      <c r="E569" s="208"/>
      <c r="G569" s="4"/>
      <c r="H569" s="1"/>
    </row>
    <row r="570" spans="1:8" ht="19.5">
      <c r="A570" s="1"/>
      <c r="B570" s="2"/>
      <c r="C570" s="1"/>
      <c r="D570" s="208"/>
      <c r="E570" s="208"/>
      <c r="G570" s="4"/>
      <c r="H570" s="1"/>
    </row>
    <row r="571" spans="1:8" ht="19.5">
      <c r="A571" s="1"/>
      <c r="B571" s="2"/>
      <c r="C571" s="1"/>
      <c r="D571" s="208"/>
      <c r="E571" s="208"/>
      <c r="G571" s="4"/>
      <c r="H571" s="1"/>
    </row>
    <row r="572" spans="1:8" ht="19.5">
      <c r="A572" s="1"/>
      <c r="B572" s="2"/>
      <c r="C572" s="1"/>
      <c r="D572" s="208"/>
      <c r="E572" s="208"/>
      <c r="G572" s="4"/>
      <c r="H572" s="1"/>
    </row>
    <row r="573" spans="1:8" ht="19.5">
      <c r="A573" s="1"/>
      <c r="B573" s="2"/>
      <c r="C573" s="1"/>
      <c r="D573" s="208"/>
      <c r="E573" s="208"/>
      <c r="G573" s="4"/>
      <c r="H573" s="1"/>
    </row>
    <row r="574" spans="1:8" ht="19.5">
      <c r="A574" s="1"/>
      <c r="B574" s="2"/>
      <c r="C574" s="1"/>
      <c r="D574" s="208"/>
      <c r="E574" s="208"/>
      <c r="G574" s="4"/>
      <c r="H574" s="1"/>
    </row>
    <row r="575" spans="1:8" ht="19.5">
      <c r="A575" s="1"/>
      <c r="B575" s="2"/>
      <c r="C575" s="1"/>
      <c r="D575" s="208"/>
      <c r="E575" s="208"/>
      <c r="G575" s="4"/>
      <c r="H575" s="1"/>
    </row>
    <row r="576" spans="1:8" ht="19.5">
      <c r="A576" s="1"/>
      <c r="B576" s="2"/>
      <c r="C576" s="1"/>
      <c r="D576" s="208"/>
      <c r="E576" s="208"/>
      <c r="G576" s="4"/>
      <c r="H576" s="1"/>
    </row>
    <row r="577" spans="1:8" ht="19.5">
      <c r="A577" s="1"/>
      <c r="B577" s="2"/>
      <c r="C577" s="1"/>
      <c r="D577" s="208"/>
      <c r="E577" s="208"/>
      <c r="G577" s="4"/>
      <c r="H577" s="1"/>
    </row>
    <row r="578" spans="1:8" ht="19.5">
      <c r="A578" s="1"/>
      <c r="B578" s="2"/>
      <c r="C578" s="1"/>
      <c r="D578" s="208"/>
      <c r="E578" s="208"/>
      <c r="G578" s="4"/>
      <c r="H578" s="1"/>
    </row>
    <row r="579" spans="1:8" ht="19.5">
      <c r="A579" s="1"/>
      <c r="B579" s="2"/>
      <c r="C579" s="1"/>
      <c r="D579" s="208"/>
      <c r="E579" s="208"/>
      <c r="G579" s="4"/>
      <c r="H579" s="1"/>
    </row>
    <row r="580" spans="1:8" ht="19.5">
      <c r="A580" s="1"/>
      <c r="B580" s="2"/>
      <c r="C580" s="1"/>
      <c r="D580" s="208"/>
      <c r="E580" s="208"/>
      <c r="G580" s="4"/>
      <c r="H580" s="1"/>
    </row>
    <row r="581" spans="1:8" ht="19.5">
      <c r="A581" s="1"/>
      <c r="B581" s="2"/>
      <c r="C581" s="1"/>
      <c r="D581" s="208"/>
      <c r="E581" s="208"/>
      <c r="G581" s="4"/>
      <c r="H581" s="1"/>
    </row>
    <row r="582" spans="1:8" ht="19.5">
      <c r="A582" s="1"/>
      <c r="B582" s="2"/>
      <c r="C582" s="1"/>
      <c r="D582" s="208"/>
      <c r="E582" s="208"/>
      <c r="G582" s="4"/>
      <c r="H582" s="1"/>
    </row>
    <row r="583" spans="1:8" ht="19.5">
      <c r="A583" s="1"/>
      <c r="B583" s="2"/>
      <c r="C583" s="1"/>
      <c r="D583" s="208"/>
      <c r="E583" s="208"/>
      <c r="G583" s="4"/>
      <c r="H583" s="1"/>
    </row>
    <row r="584" spans="1:8" ht="19.5">
      <c r="A584" s="1"/>
      <c r="B584" s="2"/>
      <c r="C584" s="1"/>
      <c r="D584" s="208"/>
      <c r="E584" s="208"/>
      <c r="G584" s="4"/>
      <c r="H584" s="1"/>
    </row>
    <row r="585" spans="1:8" ht="19.5">
      <c r="A585" s="1"/>
      <c r="B585" s="2"/>
      <c r="C585" s="1"/>
      <c r="D585" s="208"/>
      <c r="E585" s="208"/>
      <c r="G585" s="4"/>
      <c r="H585" s="1"/>
    </row>
    <row r="586" spans="1:8" ht="19.5">
      <c r="A586" s="1"/>
      <c r="B586" s="2"/>
      <c r="C586" s="1"/>
      <c r="D586" s="208"/>
      <c r="E586" s="208"/>
      <c r="G586" s="4"/>
      <c r="H586" s="1"/>
    </row>
    <row r="587" spans="1:8" ht="19.5">
      <c r="A587" s="1"/>
      <c r="B587" s="2"/>
      <c r="C587" s="1"/>
      <c r="D587" s="208"/>
      <c r="E587" s="208"/>
      <c r="G587" s="4"/>
      <c r="H587" s="1"/>
    </row>
    <row r="588" spans="1:8" ht="19.5">
      <c r="A588" s="1"/>
      <c r="B588" s="2"/>
      <c r="C588" s="1"/>
      <c r="D588" s="208"/>
      <c r="E588" s="208"/>
      <c r="G588" s="4"/>
      <c r="H588" s="1"/>
    </row>
    <row r="589" spans="1:8" ht="19.5">
      <c r="A589" s="1"/>
      <c r="B589" s="2"/>
      <c r="C589" s="1"/>
      <c r="D589" s="208"/>
      <c r="E589" s="208"/>
      <c r="G589" s="4"/>
      <c r="H589" s="1"/>
    </row>
    <row r="590" spans="1:8" ht="19.5">
      <c r="A590" s="1"/>
      <c r="B590" s="2"/>
      <c r="C590" s="1"/>
      <c r="D590" s="208"/>
      <c r="E590" s="208"/>
      <c r="G590" s="4"/>
      <c r="H590" s="1"/>
    </row>
    <row r="591" spans="1:8" ht="19.5">
      <c r="A591" s="1"/>
      <c r="B591" s="2"/>
      <c r="C591" s="1"/>
      <c r="D591" s="208"/>
      <c r="E591" s="208"/>
      <c r="G591" s="4"/>
      <c r="H591" s="1"/>
    </row>
    <row r="592" spans="1:8" ht="19.5">
      <c r="A592" s="1"/>
      <c r="B592" s="2"/>
      <c r="C592" s="1"/>
      <c r="D592" s="208"/>
      <c r="E592" s="208"/>
      <c r="G592" s="4"/>
      <c r="H592" s="1"/>
    </row>
    <row r="593" spans="1:8" ht="19.5">
      <c r="A593" s="1"/>
      <c r="B593" s="2"/>
      <c r="C593" s="1"/>
      <c r="D593" s="208"/>
      <c r="E593" s="208"/>
      <c r="G593" s="4"/>
      <c r="H593" s="1"/>
    </row>
    <row r="594" spans="1:8" ht="19.5">
      <c r="A594" s="1"/>
      <c r="B594" s="2"/>
      <c r="C594" s="1"/>
      <c r="D594" s="208"/>
      <c r="E594" s="208"/>
      <c r="G594" s="4"/>
      <c r="H594" s="1"/>
    </row>
    <row r="595" spans="1:8" ht="19.5">
      <c r="A595" s="1"/>
      <c r="B595" s="2"/>
      <c r="C595" s="1"/>
      <c r="D595" s="208"/>
      <c r="E595" s="208"/>
      <c r="G595" s="4"/>
      <c r="H595" s="1"/>
    </row>
    <row r="596" spans="1:8" ht="19.5">
      <c r="A596" s="1"/>
      <c r="B596" s="2"/>
      <c r="C596" s="1"/>
      <c r="D596" s="208"/>
      <c r="E596" s="208"/>
      <c r="G596" s="4"/>
      <c r="H596" s="1"/>
    </row>
    <row r="597" spans="1:8" ht="19.5">
      <c r="A597" s="1"/>
      <c r="B597" s="2"/>
      <c r="C597" s="1"/>
      <c r="D597" s="208"/>
      <c r="E597" s="208"/>
      <c r="G597" s="4"/>
      <c r="H597" s="1"/>
    </row>
    <row r="598" spans="1:8" ht="19.5">
      <c r="A598" s="1"/>
      <c r="B598" s="2"/>
      <c r="C598" s="1"/>
      <c r="D598" s="208"/>
      <c r="E598" s="208"/>
      <c r="G598" s="4"/>
      <c r="H598" s="1"/>
    </row>
    <row r="599" spans="1:8" ht="19.5">
      <c r="A599" s="1"/>
      <c r="B599" s="2"/>
      <c r="C599" s="1"/>
      <c r="D599" s="208"/>
      <c r="E599" s="208"/>
      <c r="G599" s="4"/>
      <c r="H599" s="1"/>
    </row>
    <row r="600" spans="1:8" ht="19.5">
      <c r="A600" s="1"/>
      <c r="B600" s="2"/>
      <c r="C600" s="1"/>
      <c r="D600" s="208"/>
      <c r="E600" s="208"/>
      <c r="G600" s="4"/>
      <c r="H600" s="1"/>
    </row>
    <row r="601" spans="1:8" ht="19.5">
      <c r="A601" s="1"/>
      <c r="B601" s="2"/>
      <c r="C601" s="1"/>
      <c r="D601" s="208"/>
      <c r="E601" s="208"/>
      <c r="G601" s="4"/>
      <c r="H601" s="1"/>
    </row>
    <row r="602" spans="1:8" ht="19.5">
      <c r="A602" s="1"/>
      <c r="B602" s="2"/>
      <c r="C602" s="1"/>
      <c r="D602" s="208"/>
      <c r="E602" s="208"/>
      <c r="G602" s="4"/>
      <c r="H602" s="1"/>
    </row>
    <row r="603" spans="1:8" ht="19.5">
      <c r="A603" s="1"/>
      <c r="B603" s="2"/>
      <c r="C603" s="1"/>
      <c r="D603" s="208"/>
      <c r="E603" s="208"/>
      <c r="G603" s="4"/>
      <c r="H603" s="1"/>
    </row>
    <row r="604" spans="1:8" ht="19.5">
      <c r="A604" s="1"/>
      <c r="B604" s="2"/>
      <c r="C604" s="1"/>
      <c r="D604" s="208"/>
      <c r="E604" s="208"/>
      <c r="G604" s="4"/>
      <c r="H604" s="1"/>
    </row>
    <row r="605" spans="1:8" ht="19.5">
      <c r="A605" s="1"/>
      <c r="B605" s="2"/>
      <c r="C605" s="1"/>
      <c r="D605" s="208"/>
      <c r="E605" s="208"/>
      <c r="G605" s="4"/>
      <c r="H605" s="1"/>
    </row>
    <row r="606" spans="1:8" ht="19.5">
      <c r="A606" s="1"/>
      <c r="B606" s="2"/>
      <c r="C606" s="1"/>
      <c r="D606" s="208"/>
      <c r="E606" s="208"/>
      <c r="G606" s="4"/>
      <c r="H606" s="1"/>
    </row>
    <row r="607" spans="1:8" ht="19.5">
      <c r="A607" s="1"/>
      <c r="B607" s="2"/>
      <c r="C607" s="1"/>
      <c r="D607" s="208"/>
      <c r="E607" s="208"/>
      <c r="G607" s="4"/>
      <c r="H607" s="1"/>
    </row>
    <row r="608" spans="1:8" ht="19.5">
      <c r="A608" s="1"/>
      <c r="B608" s="2"/>
      <c r="C608" s="1"/>
      <c r="D608" s="208"/>
      <c r="E608" s="208"/>
      <c r="G608" s="4"/>
      <c r="H608" s="1"/>
    </row>
    <row r="609" spans="1:8" ht="19.5">
      <c r="A609" s="1"/>
      <c r="B609" s="2"/>
      <c r="C609" s="1"/>
      <c r="D609" s="208"/>
      <c r="E609" s="208"/>
      <c r="G609" s="4"/>
      <c r="H609" s="1"/>
    </row>
    <row r="610" spans="1:8" ht="19.5">
      <c r="A610" s="1"/>
      <c r="B610" s="2"/>
      <c r="C610" s="1"/>
      <c r="D610" s="208"/>
      <c r="E610" s="208"/>
      <c r="G610" s="4"/>
      <c r="H610" s="1"/>
    </row>
    <row r="611" spans="1:8" ht="19.5">
      <c r="A611" s="1"/>
      <c r="B611" s="2"/>
      <c r="C611" s="1"/>
      <c r="D611" s="208"/>
      <c r="E611" s="208"/>
      <c r="G611" s="4"/>
      <c r="H611" s="1"/>
    </row>
    <row r="612" spans="1:8" ht="19.5">
      <c r="A612" s="1"/>
      <c r="B612" s="2"/>
      <c r="C612" s="1"/>
      <c r="D612" s="208"/>
      <c r="E612" s="208"/>
      <c r="G612" s="4"/>
      <c r="H612" s="1"/>
    </row>
    <row r="613" spans="1:8" ht="19.5">
      <c r="A613" s="1"/>
      <c r="B613" s="2"/>
      <c r="C613" s="1"/>
      <c r="D613" s="208"/>
      <c r="E613" s="208"/>
      <c r="G613" s="4"/>
      <c r="H613" s="1"/>
    </row>
    <row r="614" spans="1:8" ht="19.5">
      <c r="A614" s="1"/>
      <c r="B614" s="2"/>
      <c r="C614" s="1"/>
      <c r="D614" s="208"/>
      <c r="E614" s="208"/>
      <c r="G614" s="4"/>
      <c r="H614" s="1"/>
    </row>
    <row r="615" spans="1:8" ht="19.5">
      <c r="A615" s="1"/>
      <c r="B615" s="2"/>
      <c r="C615" s="1"/>
      <c r="D615" s="208"/>
      <c r="E615" s="208"/>
      <c r="G615" s="4"/>
      <c r="H615" s="1"/>
    </row>
    <row r="616" spans="1:8" ht="19.5">
      <c r="A616" s="1"/>
      <c r="B616" s="2"/>
      <c r="C616" s="1"/>
      <c r="D616" s="208"/>
      <c r="E616" s="208"/>
      <c r="G616" s="4"/>
      <c r="H616" s="1"/>
    </row>
    <row r="617" spans="1:8" ht="19.5">
      <c r="A617" s="1"/>
      <c r="B617" s="2"/>
      <c r="C617" s="1"/>
      <c r="D617" s="208"/>
      <c r="E617" s="208"/>
      <c r="G617" s="4"/>
      <c r="H617" s="1"/>
    </row>
    <row r="618" spans="1:8" ht="19.5">
      <c r="A618" s="1"/>
      <c r="B618" s="2"/>
      <c r="C618" s="1"/>
      <c r="D618" s="208"/>
      <c r="E618" s="208"/>
      <c r="G618" s="4"/>
      <c r="H618" s="1"/>
    </row>
    <row r="619" spans="1:8" ht="19.5">
      <c r="A619" s="1"/>
      <c r="B619" s="2"/>
      <c r="C619" s="1"/>
      <c r="D619" s="208"/>
      <c r="E619" s="208"/>
      <c r="G619" s="4"/>
      <c r="H619" s="1"/>
    </row>
    <row r="620" spans="1:8" ht="19.5">
      <c r="A620" s="1"/>
      <c r="B620" s="2"/>
      <c r="C620" s="1"/>
      <c r="D620" s="208"/>
      <c r="E620" s="208"/>
      <c r="G620" s="4"/>
      <c r="H620" s="1"/>
    </row>
    <row r="621" spans="1:8" ht="19.5">
      <c r="A621" s="1"/>
      <c r="B621" s="2"/>
      <c r="C621" s="1"/>
      <c r="D621" s="208"/>
      <c r="E621" s="208"/>
      <c r="G621" s="4"/>
      <c r="H621" s="1"/>
    </row>
    <row r="622" spans="1:8" ht="19.5">
      <c r="A622" s="1"/>
      <c r="B622" s="2"/>
      <c r="C622" s="1"/>
      <c r="D622" s="208"/>
      <c r="E622" s="208"/>
      <c r="G622" s="4"/>
      <c r="H622" s="1"/>
    </row>
    <row r="623" spans="1:8" ht="19.5">
      <c r="A623" s="1"/>
      <c r="B623" s="2"/>
      <c r="C623" s="1"/>
      <c r="D623" s="208"/>
      <c r="E623" s="208"/>
      <c r="G623" s="4"/>
      <c r="H623" s="1"/>
    </row>
    <row r="624" spans="1:8" ht="19.5">
      <c r="A624" s="1"/>
      <c r="B624" s="2"/>
      <c r="C624" s="1"/>
      <c r="D624" s="208"/>
      <c r="E624" s="208"/>
      <c r="G624" s="4"/>
      <c r="H624" s="1"/>
    </row>
    <row r="625" spans="1:8" ht="19.5">
      <c r="A625" s="1"/>
      <c r="B625" s="2"/>
      <c r="C625" s="1"/>
      <c r="D625" s="208"/>
      <c r="E625" s="208"/>
      <c r="G625" s="4"/>
      <c r="H625" s="1"/>
    </row>
    <row r="626" spans="1:8" ht="19.5">
      <c r="A626" s="1"/>
      <c r="B626" s="2"/>
      <c r="C626" s="1"/>
      <c r="D626" s="208"/>
      <c r="E626" s="208"/>
      <c r="G626" s="4"/>
      <c r="H626" s="1"/>
    </row>
    <row r="627" spans="1:8" ht="19.5">
      <c r="A627" s="1"/>
      <c r="B627" s="2"/>
      <c r="C627" s="1"/>
      <c r="D627" s="208"/>
      <c r="E627" s="208"/>
      <c r="G627" s="4"/>
      <c r="H627" s="1"/>
    </row>
    <row r="628" spans="1:8" ht="19.5">
      <c r="A628" s="1"/>
      <c r="B628" s="2"/>
      <c r="C628" s="1"/>
      <c r="D628" s="208"/>
      <c r="E628" s="208"/>
      <c r="G628" s="4"/>
      <c r="H628" s="1"/>
    </row>
    <row r="629" spans="1:8" ht="19.5">
      <c r="A629" s="1"/>
      <c r="B629" s="2"/>
      <c r="C629" s="1"/>
      <c r="D629" s="208"/>
      <c r="E629" s="208"/>
      <c r="G629" s="4"/>
      <c r="H629" s="1"/>
    </row>
    <row r="630" spans="1:8" ht="19.5">
      <c r="A630" s="1"/>
      <c r="B630" s="2"/>
      <c r="C630" s="1"/>
      <c r="D630" s="208"/>
      <c r="E630" s="208"/>
      <c r="G630" s="4"/>
      <c r="H630" s="1"/>
    </row>
    <row r="631" spans="1:8" ht="19.5">
      <c r="A631" s="1"/>
      <c r="B631" s="2"/>
      <c r="C631" s="1"/>
      <c r="D631" s="208"/>
      <c r="E631" s="208"/>
      <c r="G631" s="4"/>
      <c r="H631" s="1"/>
    </row>
    <row r="632" spans="1:8" ht="19.5">
      <c r="A632" s="1"/>
      <c r="B632" s="2"/>
      <c r="C632" s="1"/>
      <c r="D632" s="208"/>
      <c r="E632" s="208"/>
      <c r="G632" s="4"/>
      <c r="H632" s="1"/>
    </row>
    <row r="633" spans="1:8" ht="19.5">
      <c r="A633" s="1"/>
      <c r="B633" s="2"/>
      <c r="C633" s="1"/>
      <c r="D633" s="208"/>
      <c r="E633" s="208"/>
      <c r="G633" s="4"/>
      <c r="H633" s="1"/>
    </row>
    <row r="634" spans="1:8" ht="19.5">
      <c r="A634" s="1"/>
      <c r="B634" s="2"/>
      <c r="C634" s="1"/>
      <c r="D634" s="208"/>
      <c r="E634" s="208"/>
      <c r="G634" s="4"/>
      <c r="H634" s="1"/>
    </row>
    <row r="635" spans="1:8" ht="19.5">
      <c r="A635" s="1"/>
      <c r="B635" s="2"/>
      <c r="C635" s="1"/>
      <c r="D635" s="208"/>
      <c r="E635" s="208"/>
      <c r="G635" s="4"/>
      <c r="H635" s="1"/>
    </row>
    <row r="636" spans="1:8" ht="19.5">
      <c r="A636" s="1"/>
      <c r="B636" s="2"/>
      <c r="C636" s="1"/>
      <c r="D636" s="208"/>
      <c r="E636" s="208"/>
      <c r="G636" s="4"/>
      <c r="H636" s="1"/>
    </row>
    <row r="637" spans="1:8" ht="19.5">
      <c r="A637" s="1"/>
      <c r="B637" s="2"/>
      <c r="C637" s="1"/>
      <c r="D637" s="208"/>
      <c r="E637" s="208"/>
      <c r="G637" s="4"/>
      <c r="H637" s="1"/>
    </row>
    <row r="638" spans="1:8" ht="19.5">
      <c r="A638" s="1"/>
      <c r="B638" s="2"/>
      <c r="C638" s="1"/>
      <c r="D638" s="208"/>
      <c r="E638" s="208"/>
      <c r="G638" s="4"/>
      <c r="H638" s="1"/>
    </row>
    <row r="639" spans="1:8" ht="19.5">
      <c r="A639" s="1"/>
      <c r="B639" s="2"/>
      <c r="C639" s="1"/>
      <c r="D639" s="208"/>
      <c r="E639" s="208"/>
      <c r="G639" s="4"/>
      <c r="H639" s="1"/>
    </row>
    <row r="640" spans="1:8" ht="19.5">
      <c r="A640" s="1"/>
      <c r="B640" s="2"/>
      <c r="C640" s="1"/>
      <c r="D640" s="208"/>
      <c r="E640" s="208"/>
      <c r="G640" s="4"/>
      <c r="H640" s="1"/>
    </row>
    <row r="641" spans="1:8" ht="19.5">
      <c r="A641" s="1"/>
      <c r="B641" s="2"/>
      <c r="C641" s="1"/>
      <c r="D641" s="208"/>
      <c r="E641" s="208"/>
      <c r="G641" s="4"/>
      <c r="H641" s="1"/>
    </row>
    <row r="642" spans="1:8" ht="19.5">
      <c r="A642" s="1"/>
      <c r="B642" s="2"/>
      <c r="C642" s="1"/>
      <c r="D642" s="208"/>
      <c r="E642" s="208"/>
      <c r="G642" s="4"/>
      <c r="H642" s="1"/>
    </row>
    <row r="643" spans="1:8" ht="19.5">
      <c r="A643" s="1"/>
      <c r="B643" s="2"/>
      <c r="C643" s="1"/>
      <c r="D643" s="208"/>
      <c r="E643" s="208"/>
      <c r="G643" s="4"/>
      <c r="H643" s="1"/>
    </row>
    <row r="644" spans="1:8" ht="19.5">
      <c r="A644" s="1"/>
      <c r="B644" s="2"/>
      <c r="C644" s="1"/>
      <c r="D644" s="208"/>
      <c r="E644" s="208"/>
      <c r="G644" s="4"/>
      <c r="H644" s="1"/>
    </row>
    <row r="645" spans="1:8" ht="19.5">
      <c r="A645" s="1"/>
      <c r="B645" s="2"/>
      <c r="C645" s="1"/>
      <c r="D645" s="208"/>
      <c r="E645" s="208"/>
      <c r="G645" s="4"/>
      <c r="H645" s="1"/>
    </row>
    <row r="646" spans="1:8" ht="19.5">
      <c r="A646" s="1"/>
      <c r="B646" s="2"/>
      <c r="C646" s="1"/>
      <c r="D646" s="208"/>
      <c r="E646" s="208"/>
      <c r="G646" s="4"/>
      <c r="H646" s="1"/>
    </row>
    <row r="647" spans="1:8" ht="19.5">
      <c r="A647" s="1"/>
      <c r="B647" s="2"/>
      <c r="C647" s="1"/>
      <c r="D647" s="208"/>
      <c r="E647" s="208"/>
      <c r="G647" s="4"/>
      <c r="H647" s="1"/>
    </row>
    <row r="648" spans="1:8" ht="19.5">
      <c r="A648" s="1"/>
      <c r="B648" s="2"/>
      <c r="C648" s="1"/>
      <c r="D648" s="208"/>
      <c r="E648" s="208"/>
      <c r="G648" s="4"/>
      <c r="H648" s="1"/>
    </row>
    <row r="649" spans="1:8" ht="19.5">
      <c r="A649" s="1"/>
      <c r="B649" s="2"/>
      <c r="C649" s="1"/>
      <c r="D649" s="208"/>
      <c r="E649" s="208"/>
      <c r="G649" s="4"/>
      <c r="H649" s="1"/>
    </row>
    <row r="650" spans="1:8" ht="19.5">
      <c r="A650" s="1"/>
      <c r="B650" s="2"/>
      <c r="C650" s="1"/>
      <c r="D650" s="208"/>
      <c r="E650" s="208"/>
      <c r="G650" s="4"/>
      <c r="H650" s="1"/>
    </row>
    <row r="651" spans="1:8" ht="19.5">
      <c r="A651" s="1"/>
      <c r="B651" s="2"/>
      <c r="C651" s="1"/>
      <c r="D651" s="208"/>
      <c r="E651" s="208"/>
      <c r="G651" s="4"/>
      <c r="H651" s="1"/>
    </row>
    <row r="652" spans="1:8" ht="19.5">
      <c r="A652" s="1"/>
      <c r="B652" s="2"/>
      <c r="C652" s="1"/>
      <c r="D652" s="208"/>
      <c r="E652" s="208"/>
      <c r="G652" s="4"/>
      <c r="H652" s="1"/>
    </row>
    <row r="653" spans="1:8" ht="19.5">
      <c r="A653" s="1"/>
      <c r="B653" s="2"/>
      <c r="C653" s="1"/>
      <c r="D653" s="208"/>
      <c r="E653" s="208"/>
      <c r="G653" s="4"/>
      <c r="H653" s="1"/>
    </row>
    <row r="654" spans="1:8" ht="19.5">
      <c r="A654" s="1"/>
      <c r="B654" s="2"/>
      <c r="C654" s="1"/>
      <c r="D654" s="208"/>
      <c r="E654" s="208"/>
      <c r="G654" s="4"/>
      <c r="H654" s="1"/>
    </row>
    <row r="655" spans="1:8" ht="19.5">
      <c r="A655" s="1"/>
      <c r="B655" s="2"/>
      <c r="C655" s="1"/>
      <c r="D655" s="208"/>
      <c r="E655" s="208"/>
      <c r="G655" s="4"/>
      <c r="H655" s="1"/>
    </row>
    <row r="656" spans="1:8" ht="19.5">
      <c r="A656" s="1"/>
      <c r="B656" s="2"/>
      <c r="C656" s="1"/>
      <c r="D656" s="208"/>
      <c r="E656" s="208"/>
      <c r="G656" s="4"/>
      <c r="H656" s="1"/>
    </row>
    <row r="657" spans="1:8" ht="19.5">
      <c r="A657" s="1"/>
      <c r="B657" s="2"/>
      <c r="C657" s="1"/>
      <c r="D657" s="208"/>
      <c r="E657" s="208"/>
      <c r="G657" s="4"/>
      <c r="H657" s="1"/>
    </row>
    <row r="658" spans="1:8" ht="19.5">
      <c r="A658" s="1"/>
      <c r="B658" s="2"/>
      <c r="C658" s="1"/>
      <c r="D658" s="208"/>
      <c r="E658" s="208"/>
      <c r="G658" s="4"/>
      <c r="H658" s="1"/>
    </row>
    <row r="659" spans="1:8" ht="19.5">
      <c r="A659" s="1"/>
      <c r="B659" s="2"/>
      <c r="C659" s="1"/>
      <c r="D659" s="208"/>
      <c r="E659" s="208"/>
      <c r="G659" s="4"/>
      <c r="H659" s="1"/>
    </row>
    <row r="660" spans="1:8" ht="19.5">
      <c r="A660" s="1"/>
      <c r="B660" s="2"/>
      <c r="C660" s="1"/>
      <c r="D660" s="208"/>
      <c r="E660" s="208"/>
      <c r="G660" s="4"/>
      <c r="H660" s="1"/>
    </row>
    <row r="661" spans="1:8" ht="19.5">
      <c r="A661" s="1"/>
      <c r="B661" s="2"/>
      <c r="C661" s="1"/>
      <c r="D661" s="208"/>
      <c r="E661" s="208"/>
      <c r="G661" s="4"/>
      <c r="H661" s="1"/>
    </row>
    <row r="662" spans="1:8" ht="19.5">
      <c r="A662" s="1"/>
      <c r="B662" s="2"/>
      <c r="C662" s="1"/>
      <c r="D662" s="208"/>
      <c r="E662" s="208"/>
      <c r="G662" s="4"/>
      <c r="H662" s="1"/>
    </row>
    <row r="663" spans="1:8" ht="19.5">
      <c r="A663" s="1"/>
      <c r="B663" s="2"/>
      <c r="C663" s="1"/>
      <c r="D663" s="208"/>
      <c r="E663" s="208"/>
      <c r="G663" s="4"/>
      <c r="H663" s="1"/>
    </row>
    <row r="664" spans="1:8" ht="19.5">
      <c r="A664" s="1"/>
      <c r="B664" s="2"/>
      <c r="C664" s="1"/>
      <c r="D664" s="208"/>
      <c r="E664" s="208"/>
      <c r="G664" s="4"/>
      <c r="H664" s="1"/>
    </row>
    <row r="665" spans="1:8" ht="19.5">
      <c r="A665" s="1"/>
      <c r="B665" s="2"/>
      <c r="C665" s="1"/>
      <c r="D665" s="208"/>
      <c r="E665" s="208"/>
      <c r="G665" s="4"/>
      <c r="H665" s="1"/>
    </row>
    <row r="666" spans="1:8" ht="19.5">
      <c r="A666" s="1"/>
      <c r="B666" s="2"/>
      <c r="C666" s="1"/>
      <c r="D666" s="208"/>
      <c r="E666" s="208"/>
      <c r="G666" s="4"/>
      <c r="H666" s="1"/>
    </row>
    <row r="667" spans="1:8" ht="19.5">
      <c r="A667" s="1"/>
      <c r="B667" s="2"/>
      <c r="C667" s="1"/>
      <c r="D667" s="208"/>
      <c r="E667" s="208"/>
      <c r="G667" s="4"/>
      <c r="H667" s="1"/>
    </row>
    <row r="668" spans="1:8" ht="19.5">
      <c r="A668" s="1"/>
      <c r="B668" s="2"/>
      <c r="C668" s="1"/>
      <c r="D668" s="208"/>
      <c r="E668" s="208"/>
      <c r="G668" s="4"/>
      <c r="H668" s="1"/>
    </row>
    <row r="669" spans="1:8" ht="19.5">
      <c r="A669" s="1"/>
      <c r="B669" s="2"/>
      <c r="C669" s="1"/>
      <c r="D669" s="208"/>
      <c r="E669" s="208"/>
      <c r="G669" s="4"/>
      <c r="H669" s="1"/>
    </row>
    <row r="670" spans="1:8" ht="19.5">
      <c r="A670" s="1"/>
      <c r="B670" s="2"/>
      <c r="C670" s="1"/>
      <c r="D670" s="208"/>
      <c r="E670" s="208"/>
      <c r="G670" s="4"/>
      <c r="H670" s="1"/>
    </row>
    <row r="671" spans="1:8" ht="19.5">
      <c r="A671" s="1"/>
      <c r="B671" s="2"/>
      <c r="C671" s="1"/>
      <c r="D671" s="208"/>
      <c r="E671" s="208"/>
      <c r="G671" s="4"/>
      <c r="H671" s="1"/>
    </row>
    <row r="672" spans="1:8" ht="19.5">
      <c r="A672" s="1"/>
      <c r="B672" s="2"/>
      <c r="C672" s="1"/>
      <c r="D672" s="208"/>
      <c r="E672" s="208"/>
      <c r="G672" s="4"/>
      <c r="H672" s="1"/>
    </row>
    <row r="673" spans="1:8" ht="19.5">
      <c r="A673" s="1"/>
      <c r="B673" s="2"/>
      <c r="C673" s="1"/>
      <c r="D673" s="208"/>
      <c r="E673" s="208"/>
      <c r="G673" s="4"/>
      <c r="H673" s="1"/>
    </row>
    <row r="674" spans="1:8" ht="19.5">
      <c r="A674" s="1"/>
      <c r="B674" s="2"/>
      <c r="C674" s="1"/>
      <c r="D674" s="208"/>
      <c r="E674" s="208"/>
      <c r="G674" s="4"/>
      <c r="H674" s="1"/>
    </row>
    <row r="675" spans="1:8" ht="19.5">
      <c r="A675" s="1"/>
      <c r="B675" s="2"/>
      <c r="C675" s="1"/>
      <c r="D675" s="208"/>
      <c r="E675" s="208"/>
      <c r="G675" s="4"/>
      <c r="H675" s="1"/>
    </row>
    <row r="676" spans="1:8" ht="19.5">
      <c r="A676" s="1"/>
      <c r="B676" s="2"/>
      <c r="C676" s="1"/>
      <c r="D676" s="208"/>
      <c r="E676" s="208"/>
      <c r="G676" s="4"/>
      <c r="H676" s="1"/>
    </row>
    <row r="677" spans="1:8" ht="19.5">
      <c r="A677" s="1"/>
      <c r="B677" s="2"/>
      <c r="C677" s="1"/>
      <c r="D677" s="208"/>
      <c r="E677" s="208"/>
      <c r="G677" s="4"/>
      <c r="H677" s="1"/>
    </row>
    <row r="678" spans="1:8" ht="19.5">
      <c r="A678" s="1"/>
      <c r="B678" s="2"/>
      <c r="C678" s="1"/>
      <c r="D678" s="208"/>
      <c r="E678" s="208"/>
      <c r="G678" s="4"/>
      <c r="H678" s="1"/>
    </row>
    <row r="679" spans="1:8" ht="19.5">
      <c r="A679" s="1"/>
      <c r="B679" s="2"/>
      <c r="C679" s="1"/>
      <c r="D679" s="208"/>
      <c r="E679" s="208"/>
      <c r="G679" s="4"/>
      <c r="H679" s="1"/>
    </row>
    <row r="680" spans="1:8" ht="19.5">
      <c r="A680" s="1"/>
      <c r="B680" s="2"/>
      <c r="C680" s="1"/>
      <c r="D680" s="208"/>
      <c r="E680" s="208"/>
      <c r="G680" s="4"/>
      <c r="H680" s="1"/>
    </row>
    <row r="681" spans="1:8" ht="19.5">
      <c r="A681" s="1"/>
      <c r="B681" s="2"/>
      <c r="C681" s="1"/>
      <c r="D681" s="208"/>
      <c r="E681" s="208"/>
      <c r="G681" s="4"/>
      <c r="H681" s="1"/>
    </row>
    <row r="682" spans="1:8" ht="19.5">
      <c r="A682" s="1"/>
      <c r="B682" s="2"/>
      <c r="C682" s="1"/>
      <c r="D682" s="208"/>
      <c r="E682" s="208"/>
      <c r="G682" s="4"/>
      <c r="H682" s="1"/>
    </row>
    <row r="683" spans="1:8" ht="19.5">
      <c r="A683" s="1"/>
      <c r="B683" s="2"/>
      <c r="C683" s="1"/>
      <c r="D683" s="208"/>
      <c r="E683" s="208"/>
      <c r="G683" s="4"/>
      <c r="H683" s="1"/>
    </row>
    <row r="684" spans="1:8" ht="19.5">
      <c r="A684" s="1"/>
      <c r="B684" s="2"/>
      <c r="C684" s="1"/>
      <c r="D684" s="208"/>
      <c r="E684" s="208"/>
      <c r="G684" s="4"/>
      <c r="H684" s="1"/>
    </row>
    <row r="685" spans="1:8" ht="19.5">
      <c r="A685" s="1"/>
      <c r="B685" s="2"/>
      <c r="C685" s="1"/>
      <c r="D685" s="208"/>
      <c r="E685" s="208"/>
      <c r="G685" s="4"/>
      <c r="H685" s="1"/>
    </row>
    <row r="686" spans="1:8" ht="19.5">
      <c r="A686" s="1"/>
      <c r="B686" s="2"/>
      <c r="C686" s="1"/>
      <c r="D686" s="208"/>
      <c r="E686" s="208"/>
      <c r="G686" s="4"/>
      <c r="H686" s="1"/>
    </row>
    <row r="687" spans="1:8" ht="19.5">
      <c r="A687" s="1"/>
      <c r="B687" s="2"/>
      <c r="C687" s="1"/>
      <c r="D687" s="208"/>
      <c r="E687" s="208"/>
      <c r="G687" s="4"/>
      <c r="H687" s="1"/>
    </row>
    <row r="688" spans="1:8" ht="19.5">
      <c r="A688" s="1"/>
      <c r="B688" s="2"/>
      <c r="C688" s="1"/>
      <c r="D688" s="208"/>
      <c r="E688" s="208"/>
      <c r="G688" s="4"/>
      <c r="H688" s="1"/>
    </row>
    <row r="689" spans="1:8" ht="19.5">
      <c r="A689" s="1"/>
      <c r="B689" s="2"/>
      <c r="C689" s="1"/>
      <c r="D689" s="208"/>
      <c r="E689" s="208"/>
      <c r="G689" s="4"/>
      <c r="H689" s="1"/>
    </row>
    <row r="690" spans="1:8" ht="19.5">
      <c r="A690" s="1"/>
      <c r="B690" s="2"/>
      <c r="C690" s="1"/>
      <c r="D690" s="208"/>
      <c r="E690" s="208"/>
      <c r="G690" s="4"/>
      <c r="H690" s="1"/>
    </row>
    <row r="691" spans="1:8" ht="19.5">
      <c r="A691" s="1"/>
      <c r="B691" s="2"/>
      <c r="C691" s="1"/>
      <c r="D691" s="208"/>
      <c r="E691" s="208"/>
      <c r="G691" s="4"/>
      <c r="H691" s="1"/>
    </row>
    <row r="692" spans="1:8" ht="19.5">
      <c r="A692" s="1"/>
      <c r="B692" s="2"/>
      <c r="C692" s="1"/>
      <c r="D692" s="208"/>
      <c r="E692" s="208"/>
      <c r="G692" s="4"/>
      <c r="H692" s="1"/>
    </row>
    <row r="693" spans="1:8" ht="19.5">
      <c r="A693" s="1"/>
      <c r="B693" s="2"/>
      <c r="C693" s="1"/>
      <c r="D693" s="208"/>
      <c r="E693" s="208"/>
      <c r="G693" s="4"/>
      <c r="H693" s="1"/>
    </row>
    <row r="694" spans="1:8" ht="19.5">
      <c r="A694" s="1"/>
      <c r="B694" s="2"/>
      <c r="C694" s="1"/>
      <c r="D694" s="208"/>
      <c r="E694" s="208"/>
      <c r="G694" s="4"/>
      <c r="H694" s="1"/>
    </row>
    <row r="695" spans="1:8" ht="19.5">
      <c r="A695" s="1"/>
      <c r="B695" s="2"/>
      <c r="C695" s="1"/>
      <c r="D695" s="208"/>
      <c r="E695" s="208"/>
      <c r="G695" s="4"/>
      <c r="H695" s="1"/>
    </row>
    <row r="696" spans="1:8" ht="19.5">
      <c r="A696" s="1"/>
      <c r="B696" s="2"/>
      <c r="C696" s="1"/>
      <c r="D696" s="208"/>
      <c r="E696" s="208"/>
      <c r="G696" s="4"/>
      <c r="H696" s="1"/>
    </row>
    <row r="697" spans="1:8" ht="19.5">
      <c r="A697" s="1"/>
      <c r="B697" s="2"/>
      <c r="C697" s="1"/>
      <c r="D697" s="208"/>
      <c r="E697" s="208"/>
      <c r="G697" s="4"/>
      <c r="H697" s="1"/>
    </row>
    <row r="698" spans="1:8" ht="19.5">
      <c r="A698" s="1"/>
      <c r="B698" s="2"/>
      <c r="C698" s="1"/>
      <c r="D698" s="208"/>
      <c r="E698" s="208"/>
      <c r="G698" s="4"/>
      <c r="H698" s="1"/>
    </row>
    <row r="699" spans="1:8" ht="19.5">
      <c r="A699" s="1"/>
      <c r="B699" s="2"/>
      <c r="C699" s="1"/>
      <c r="D699" s="208"/>
      <c r="E699" s="208"/>
      <c r="G699" s="4"/>
      <c r="H699" s="1"/>
    </row>
    <row r="700" spans="1:8" ht="19.5">
      <c r="A700" s="1"/>
      <c r="B700" s="2"/>
      <c r="C700" s="1"/>
      <c r="D700" s="208"/>
      <c r="E700" s="208"/>
      <c r="G700" s="4"/>
      <c r="H700" s="1"/>
    </row>
    <row r="701" spans="1:8" ht="19.5">
      <c r="A701" s="1"/>
      <c r="B701" s="2"/>
      <c r="C701" s="1"/>
      <c r="D701" s="208"/>
      <c r="E701" s="208"/>
      <c r="G701" s="4"/>
      <c r="H701" s="1"/>
    </row>
    <row r="702" spans="1:8" ht="19.5">
      <c r="A702" s="1"/>
      <c r="B702" s="2"/>
      <c r="C702" s="1"/>
      <c r="D702" s="208"/>
      <c r="E702" s="208"/>
      <c r="G702" s="4"/>
      <c r="H702" s="1"/>
    </row>
    <row r="703" spans="1:8" ht="19.5">
      <c r="A703" s="1"/>
      <c r="B703" s="2"/>
      <c r="C703" s="1"/>
      <c r="D703" s="208"/>
      <c r="E703" s="208"/>
      <c r="G703" s="4"/>
      <c r="H703" s="1"/>
    </row>
    <row r="704" spans="1:8" ht="19.5">
      <c r="A704" s="1"/>
      <c r="B704" s="2"/>
      <c r="C704" s="1"/>
      <c r="D704" s="208"/>
      <c r="E704" s="208"/>
      <c r="G704" s="4"/>
      <c r="H704" s="1"/>
    </row>
    <row r="705" spans="1:8" ht="19.5">
      <c r="A705" s="1"/>
      <c r="B705" s="2"/>
      <c r="C705" s="1"/>
      <c r="D705" s="208"/>
      <c r="E705" s="208"/>
      <c r="G705" s="4"/>
      <c r="H705" s="1"/>
    </row>
    <row r="706" spans="1:8" ht="19.5">
      <c r="A706" s="1"/>
      <c r="B706" s="2"/>
      <c r="C706" s="1"/>
      <c r="D706" s="208"/>
      <c r="E706" s="208"/>
      <c r="G706" s="4"/>
      <c r="H706" s="1"/>
    </row>
    <row r="707" spans="1:8" ht="19.5">
      <c r="A707" s="1"/>
      <c r="B707" s="2"/>
      <c r="C707" s="1"/>
      <c r="D707" s="208"/>
      <c r="E707" s="208"/>
      <c r="G707" s="4"/>
      <c r="H707" s="1"/>
    </row>
    <row r="708" spans="1:8" ht="19.5">
      <c r="A708" s="1"/>
      <c r="B708" s="2"/>
      <c r="C708" s="1"/>
      <c r="D708" s="208"/>
      <c r="E708" s="208"/>
      <c r="G708" s="4"/>
      <c r="H708" s="1"/>
    </row>
    <row r="709" spans="1:8" ht="19.5">
      <c r="A709" s="1"/>
      <c r="B709" s="2"/>
      <c r="C709" s="1"/>
      <c r="D709" s="208"/>
      <c r="E709" s="208"/>
      <c r="G709" s="4"/>
      <c r="H709" s="1"/>
    </row>
    <row r="710" spans="1:8" ht="19.5">
      <c r="A710" s="1"/>
      <c r="B710" s="2"/>
      <c r="C710" s="1"/>
      <c r="D710" s="208"/>
      <c r="E710" s="208"/>
      <c r="G710" s="4"/>
      <c r="H710" s="1"/>
    </row>
    <row r="711" spans="1:8" ht="19.5">
      <c r="A711" s="1"/>
      <c r="B711" s="2"/>
      <c r="C711" s="1"/>
      <c r="D711" s="208"/>
      <c r="E711" s="208"/>
      <c r="G711" s="4"/>
      <c r="H711" s="1"/>
    </row>
    <row r="712" spans="1:8" ht="19.5">
      <c r="A712" s="1"/>
      <c r="B712" s="2"/>
      <c r="C712" s="1"/>
      <c r="D712" s="208"/>
      <c r="E712" s="208"/>
      <c r="G712" s="4"/>
      <c r="H712" s="1"/>
    </row>
    <row r="713" spans="1:8" ht="19.5">
      <c r="A713" s="1"/>
      <c r="B713" s="2"/>
      <c r="C713" s="1"/>
      <c r="D713" s="208"/>
      <c r="E713" s="208"/>
      <c r="G713" s="4"/>
      <c r="H713" s="1"/>
    </row>
    <row r="714" spans="1:8" ht="19.5">
      <c r="A714" s="1"/>
      <c r="B714" s="2"/>
      <c r="C714" s="1"/>
      <c r="D714" s="208"/>
      <c r="E714" s="208"/>
      <c r="G714" s="4"/>
      <c r="H714" s="1"/>
    </row>
    <row r="715" spans="1:8" ht="19.5">
      <c r="A715" s="1"/>
      <c r="B715" s="2"/>
      <c r="C715" s="1"/>
      <c r="D715" s="208"/>
      <c r="E715" s="208"/>
      <c r="G715" s="4"/>
      <c r="H715" s="1"/>
    </row>
    <row r="716" spans="1:8" ht="19.5">
      <c r="A716" s="1"/>
      <c r="B716" s="2"/>
      <c r="C716" s="1"/>
      <c r="D716" s="208"/>
      <c r="E716" s="208"/>
      <c r="G716" s="4"/>
      <c r="H716" s="1"/>
    </row>
    <row r="717" spans="1:8" ht="19.5">
      <c r="A717" s="1"/>
      <c r="B717" s="2"/>
      <c r="C717" s="1"/>
      <c r="D717" s="208"/>
      <c r="E717" s="208"/>
      <c r="G717" s="4"/>
      <c r="H717" s="1"/>
    </row>
    <row r="718" spans="1:8" ht="19.5">
      <c r="A718" s="1"/>
      <c r="B718" s="2"/>
      <c r="C718" s="1"/>
      <c r="D718" s="208"/>
      <c r="E718" s="208"/>
      <c r="G718" s="4"/>
      <c r="H718" s="1"/>
    </row>
    <row r="719" spans="1:8" ht="19.5">
      <c r="A719" s="1"/>
      <c r="B719" s="2"/>
      <c r="C719" s="1"/>
      <c r="D719" s="208"/>
      <c r="E719" s="208"/>
      <c r="G719" s="4"/>
      <c r="H719" s="1"/>
    </row>
    <row r="720" spans="1:8" ht="19.5">
      <c r="A720" s="1"/>
      <c r="B720" s="2"/>
      <c r="C720" s="1"/>
      <c r="D720" s="208"/>
      <c r="E720" s="208"/>
      <c r="G720" s="4"/>
      <c r="H720" s="1"/>
    </row>
    <row r="721" spans="1:8" ht="19.5">
      <c r="A721" s="1"/>
      <c r="B721" s="2"/>
      <c r="C721" s="1"/>
      <c r="D721" s="208"/>
      <c r="E721" s="208"/>
      <c r="G721" s="4"/>
      <c r="H721" s="1"/>
    </row>
    <row r="722" spans="1:8" ht="19.5">
      <c r="A722" s="1"/>
      <c r="B722" s="2"/>
      <c r="C722" s="1"/>
      <c r="D722" s="208"/>
      <c r="E722" s="208"/>
      <c r="G722" s="4"/>
      <c r="H722" s="1"/>
    </row>
    <row r="723" spans="1:8" ht="19.5">
      <c r="A723" s="1"/>
      <c r="B723" s="2"/>
      <c r="C723" s="1"/>
      <c r="D723" s="208"/>
      <c r="E723" s="208"/>
      <c r="G723" s="4"/>
      <c r="H723" s="1"/>
    </row>
    <row r="724" spans="1:8" ht="19.5">
      <c r="A724" s="1"/>
      <c r="B724" s="2"/>
      <c r="C724" s="1"/>
      <c r="D724" s="208"/>
      <c r="E724" s="208"/>
      <c r="G724" s="4"/>
      <c r="H724" s="1"/>
    </row>
    <row r="725" spans="1:8" ht="19.5">
      <c r="A725" s="1"/>
      <c r="B725" s="2"/>
      <c r="C725" s="1"/>
      <c r="D725" s="208"/>
      <c r="E725" s="208"/>
      <c r="G725" s="4"/>
      <c r="H725" s="1"/>
    </row>
    <row r="726" spans="1:8" ht="19.5">
      <c r="A726" s="1"/>
      <c r="B726" s="2"/>
      <c r="C726" s="1"/>
      <c r="D726" s="208"/>
      <c r="E726" s="208"/>
      <c r="G726" s="4"/>
      <c r="H726" s="1"/>
    </row>
    <row r="727" spans="1:8" ht="19.5">
      <c r="A727" s="1"/>
      <c r="B727" s="2"/>
      <c r="C727" s="1"/>
      <c r="D727" s="208"/>
      <c r="E727" s="208"/>
      <c r="G727" s="4"/>
      <c r="H727" s="1"/>
    </row>
    <row r="728" spans="1:8" ht="19.5">
      <c r="A728" s="1"/>
      <c r="B728" s="2"/>
      <c r="C728" s="1"/>
      <c r="D728" s="208"/>
      <c r="E728" s="208"/>
      <c r="G728" s="4"/>
      <c r="H728" s="1"/>
    </row>
    <row r="729" spans="1:8" ht="19.5">
      <c r="A729" s="1"/>
      <c r="B729" s="2"/>
      <c r="C729" s="1"/>
      <c r="D729" s="208"/>
      <c r="E729" s="208"/>
      <c r="G729" s="4"/>
      <c r="H729" s="1"/>
    </row>
    <row r="730" spans="1:8" ht="19.5">
      <c r="A730" s="1"/>
      <c r="B730" s="2"/>
      <c r="C730" s="1"/>
      <c r="D730" s="208"/>
      <c r="E730" s="208"/>
      <c r="G730" s="4"/>
      <c r="H730" s="1"/>
    </row>
    <row r="731" spans="1:8" ht="19.5">
      <c r="A731" s="1"/>
      <c r="B731" s="2"/>
      <c r="C731" s="1"/>
      <c r="D731" s="208"/>
      <c r="E731" s="208"/>
      <c r="G731" s="4"/>
      <c r="H731" s="1"/>
    </row>
    <row r="732" spans="1:8" ht="19.5">
      <c r="A732" s="1"/>
      <c r="B732" s="2"/>
      <c r="C732" s="1"/>
      <c r="D732" s="208"/>
      <c r="E732" s="208"/>
      <c r="G732" s="4"/>
      <c r="H732" s="1"/>
    </row>
    <row r="733" spans="1:8" ht="19.5">
      <c r="A733" s="1"/>
      <c r="B733" s="2"/>
      <c r="C733" s="1"/>
      <c r="D733" s="208"/>
      <c r="E733" s="208"/>
      <c r="G733" s="4"/>
      <c r="H733" s="1"/>
    </row>
    <row r="734" spans="1:8" ht="19.5">
      <c r="A734" s="1"/>
      <c r="B734" s="2"/>
      <c r="C734" s="1"/>
      <c r="D734" s="208"/>
      <c r="E734" s="208"/>
      <c r="G734" s="4"/>
      <c r="H734" s="1"/>
    </row>
    <row r="735" spans="1:8" ht="19.5">
      <c r="A735" s="1"/>
      <c r="B735" s="2"/>
      <c r="C735" s="1"/>
      <c r="D735" s="208"/>
      <c r="E735" s="208"/>
      <c r="G735" s="4"/>
      <c r="H735" s="1"/>
    </row>
    <row r="736" spans="1:8" ht="19.5">
      <c r="A736" s="1"/>
      <c r="B736" s="2"/>
      <c r="C736" s="1"/>
      <c r="D736" s="208"/>
      <c r="E736" s="208"/>
      <c r="G736" s="4"/>
      <c r="H736" s="1"/>
    </row>
    <row r="737" spans="1:8" ht="19.5">
      <c r="A737" s="1"/>
      <c r="B737" s="2"/>
      <c r="C737" s="1"/>
      <c r="D737" s="208"/>
      <c r="E737" s="208"/>
      <c r="G737" s="4"/>
      <c r="H737" s="1"/>
    </row>
    <row r="738" spans="1:8" ht="19.5">
      <c r="A738" s="1"/>
      <c r="B738" s="2"/>
      <c r="C738" s="1"/>
      <c r="D738" s="208"/>
      <c r="E738" s="208"/>
      <c r="G738" s="4"/>
      <c r="H738" s="1"/>
    </row>
    <row r="739" spans="1:8" ht="19.5">
      <c r="A739" s="1"/>
      <c r="B739" s="2"/>
      <c r="C739" s="1"/>
      <c r="D739" s="208"/>
      <c r="E739" s="208"/>
      <c r="G739" s="4"/>
      <c r="H739" s="1"/>
    </row>
    <row r="740" spans="1:8" ht="19.5">
      <c r="A740" s="1"/>
      <c r="B740" s="2"/>
      <c r="C740" s="1"/>
      <c r="D740" s="208"/>
      <c r="E740" s="208"/>
      <c r="G740" s="4"/>
      <c r="H740" s="1"/>
    </row>
    <row r="741" spans="1:8" ht="19.5">
      <c r="A741" s="1"/>
      <c r="B741" s="2"/>
      <c r="C741" s="1"/>
      <c r="D741" s="208"/>
      <c r="E741" s="208"/>
      <c r="G741" s="4"/>
      <c r="H741" s="1"/>
    </row>
    <row r="742" spans="1:8" ht="19.5">
      <c r="A742" s="1"/>
      <c r="B742" s="2"/>
      <c r="C742" s="1"/>
      <c r="D742" s="208"/>
      <c r="E742" s="208"/>
      <c r="G742" s="4"/>
      <c r="H742" s="1"/>
    </row>
    <row r="743" spans="1:8" ht="19.5">
      <c r="A743" s="1"/>
      <c r="B743" s="2"/>
      <c r="C743" s="1"/>
      <c r="D743" s="208"/>
      <c r="E743" s="208"/>
      <c r="G743" s="4"/>
      <c r="H743" s="1"/>
    </row>
    <row r="744" spans="1:8" ht="19.5">
      <c r="A744" s="1"/>
      <c r="B744" s="2"/>
      <c r="C744" s="1"/>
      <c r="D744" s="208"/>
      <c r="E744" s="208"/>
      <c r="G744" s="4"/>
      <c r="H744" s="1"/>
    </row>
    <row r="745" spans="1:8" ht="19.5">
      <c r="A745" s="1"/>
      <c r="B745" s="2"/>
      <c r="C745" s="1"/>
      <c r="D745" s="208"/>
      <c r="E745" s="208"/>
      <c r="G745" s="4"/>
      <c r="H745" s="1"/>
    </row>
    <row r="746" spans="1:8" ht="19.5">
      <c r="A746" s="1"/>
      <c r="B746" s="2"/>
      <c r="C746" s="1"/>
      <c r="D746" s="208"/>
      <c r="E746" s="208"/>
      <c r="G746" s="4"/>
      <c r="H746" s="1"/>
    </row>
    <row r="747" spans="1:8" ht="19.5">
      <c r="A747" s="1"/>
      <c r="B747" s="2"/>
      <c r="C747" s="1"/>
      <c r="D747" s="208"/>
      <c r="E747" s="208"/>
      <c r="G747" s="4"/>
      <c r="H747" s="1"/>
    </row>
    <row r="748" spans="1:8" ht="19.5">
      <c r="A748" s="1"/>
      <c r="B748" s="2"/>
      <c r="C748" s="1"/>
      <c r="D748" s="208"/>
      <c r="E748" s="208"/>
      <c r="G748" s="4"/>
      <c r="H748" s="1"/>
    </row>
    <row r="749" spans="1:8" ht="19.5">
      <c r="A749" s="1"/>
      <c r="B749" s="2"/>
      <c r="C749" s="1"/>
      <c r="D749" s="208"/>
      <c r="E749" s="208"/>
      <c r="G749" s="4"/>
      <c r="H749" s="1"/>
    </row>
    <row r="750" spans="1:8" ht="19.5">
      <c r="A750" s="1"/>
      <c r="B750" s="2"/>
      <c r="C750" s="1"/>
      <c r="D750" s="208"/>
      <c r="E750" s="208"/>
      <c r="G750" s="4"/>
      <c r="H750" s="1"/>
    </row>
    <row r="751" spans="1:8" ht="19.5">
      <c r="A751" s="1"/>
      <c r="B751" s="2"/>
      <c r="C751" s="1"/>
      <c r="D751" s="208"/>
      <c r="E751" s="208"/>
      <c r="G751" s="4"/>
      <c r="H751" s="1"/>
    </row>
    <row r="752" spans="1:8" ht="19.5">
      <c r="A752" s="1"/>
      <c r="B752" s="2"/>
      <c r="C752" s="1"/>
      <c r="D752" s="208"/>
      <c r="E752" s="208"/>
      <c r="G752" s="4"/>
      <c r="H752" s="1"/>
    </row>
    <row r="753" spans="1:8" ht="19.5">
      <c r="A753" s="1"/>
      <c r="B753" s="2"/>
      <c r="C753" s="1"/>
      <c r="D753" s="208"/>
      <c r="E753" s="208"/>
      <c r="G753" s="4"/>
      <c r="H753" s="1"/>
    </row>
    <row r="754" spans="1:8" ht="19.5">
      <c r="A754" s="1"/>
      <c r="B754" s="2"/>
      <c r="C754" s="1"/>
      <c r="D754" s="208"/>
      <c r="E754" s="208"/>
      <c r="G754" s="4"/>
      <c r="H754" s="1"/>
    </row>
    <row r="755" spans="1:8" ht="19.5">
      <c r="A755" s="1"/>
      <c r="B755" s="2"/>
      <c r="C755" s="1"/>
      <c r="D755" s="208"/>
      <c r="E755" s="208"/>
      <c r="G755" s="4"/>
      <c r="H755" s="1"/>
    </row>
    <row r="756" spans="1:8" ht="19.5">
      <c r="A756" s="1"/>
      <c r="B756" s="2"/>
      <c r="C756" s="1"/>
      <c r="D756" s="208"/>
      <c r="E756" s="208"/>
      <c r="G756" s="4"/>
      <c r="H756" s="1"/>
    </row>
    <row r="757" spans="1:8" ht="19.5">
      <c r="A757" s="1"/>
      <c r="B757" s="2"/>
      <c r="C757" s="1"/>
      <c r="D757" s="208"/>
      <c r="E757" s="208"/>
      <c r="G757" s="4"/>
      <c r="H757" s="1"/>
    </row>
    <row r="758" spans="1:8" ht="19.5">
      <c r="A758" s="1"/>
      <c r="B758" s="2"/>
      <c r="C758" s="1"/>
      <c r="D758" s="208"/>
      <c r="E758" s="208"/>
      <c r="G758" s="4"/>
      <c r="H758" s="1"/>
    </row>
    <row r="759" spans="1:8" ht="19.5">
      <c r="A759" s="1"/>
      <c r="B759" s="2"/>
      <c r="C759" s="1"/>
      <c r="D759" s="208"/>
      <c r="E759" s="208"/>
      <c r="G759" s="4"/>
      <c r="H759" s="1"/>
    </row>
    <row r="760" spans="1:8" ht="19.5">
      <c r="A760" s="1"/>
      <c r="B760" s="2"/>
      <c r="C760" s="1"/>
      <c r="D760" s="208"/>
      <c r="E760" s="208"/>
      <c r="G760" s="4"/>
      <c r="H760" s="1"/>
    </row>
    <row r="761" spans="1:8" ht="19.5">
      <c r="A761" s="1"/>
      <c r="B761" s="2"/>
      <c r="C761" s="1"/>
      <c r="D761" s="208"/>
      <c r="E761" s="208"/>
      <c r="G761" s="4"/>
      <c r="H761" s="1"/>
    </row>
    <row r="762" spans="1:8" ht="19.5">
      <c r="A762" s="1"/>
      <c r="B762" s="2"/>
      <c r="C762" s="1"/>
      <c r="D762" s="208"/>
      <c r="E762" s="208"/>
      <c r="G762" s="4"/>
      <c r="H762" s="1"/>
    </row>
    <row r="763" spans="1:8" ht="19.5">
      <c r="A763" s="1"/>
      <c r="B763" s="2"/>
      <c r="C763" s="1"/>
      <c r="D763" s="208"/>
      <c r="E763" s="208"/>
      <c r="G763" s="4"/>
      <c r="H763" s="1"/>
    </row>
    <row r="764" spans="1:8" ht="19.5">
      <c r="A764" s="1"/>
      <c r="B764" s="2"/>
      <c r="C764" s="1"/>
      <c r="D764" s="208"/>
      <c r="E764" s="208"/>
      <c r="G764" s="4"/>
      <c r="H764" s="1"/>
    </row>
    <row r="765" spans="1:8" ht="19.5">
      <c r="A765" s="1"/>
      <c r="B765" s="2"/>
      <c r="C765" s="1"/>
      <c r="D765" s="208"/>
      <c r="E765" s="208"/>
      <c r="G765" s="4"/>
      <c r="H765" s="1"/>
    </row>
    <row r="766" spans="1:8" ht="19.5">
      <c r="A766" s="1"/>
      <c r="B766" s="2"/>
      <c r="C766" s="1"/>
      <c r="D766" s="208"/>
      <c r="E766" s="208"/>
      <c r="G766" s="4"/>
      <c r="H766" s="1"/>
    </row>
    <row r="767" spans="1:8" ht="19.5">
      <c r="A767" s="1"/>
      <c r="B767" s="2"/>
      <c r="C767" s="1"/>
      <c r="D767" s="208"/>
      <c r="E767" s="208"/>
      <c r="G767" s="4"/>
      <c r="H767" s="1"/>
    </row>
    <row r="768" spans="1:8" ht="19.5">
      <c r="A768" s="1"/>
      <c r="B768" s="2"/>
      <c r="C768" s="1"/>
      <c r="D768" s="208"/>
      <c r="E768" s="208"/>
      <c r="G768" s="4"/>
      <c r="H768" s="1"/>
    </row>
    <row r="769" spans="1:8" ht="19.5">
      <c r="A769" s="1"/>
      <c r="B769" s="2"/>
      <c r="C769" s="1"/>
      <c r="D769" s="208"/>
      <c r="E769" s="208"/>
      <c r="G769" s="4"/>
      <c r="H769" s="1"/>
    </row>
    <row r="770" spans="1:8" ht="19.5">
      <c r="A770" s="1"/>
      <c r="B770" s="2"/>
      <c r="C770" s="1"/>
      <c r="D770" s="208"/>
      <c r="E770" s="208"/>
      <c r="G770" s="4"/>
      <c r="H770" s="1"/>
    </row>
    <row r="771" spans="1:8" ht="19.5">
      <c r="A771" s="1"/>
      <c r="B771" s="2"/>
      <c r="C771" s="1"/>
      <c r="D771" s="208"/>
      <c r="E771" s="208"/>
      <c r="G771" s="4"/>
      <c r="H771" s="1"/>
    </row>
    <row r="772" spans="1:8" ht="19.5">
      <c r="A772" s="1"/>
      <c r="B772" s="2"/>
      <c r="C772" s="1"/>
      <c r="D772" s="208"/>
      <c r="E772" s="208"/>
      <c r="G772" s="4"/>
      <c r="H772" s="1"/>
    </row>
    <row r="773" spans="1:8" ht="19.5">
      <c r="A773" s="1"/>
      <c r="B773" s="2"/>
      <c r="C773" s="1"/>
      <c r="D773" s="208"/>
      <c r="E773" s="208"/>
      <c r="G773" s="4"/>
      <c r="H773" s="1"/>
    </row>
    <row r="774" spans="1:8" ht="19.5">
      <c r="A774" s="1"/>
      <c r="B774" s="2"/>
      <c r="C774" s="1"/>
      <c r="D774" s="208"/>
      <c r="E774" s="208"/>
      <c r="G774" s="4"/>
      <c r="H774" s="1"/>
    </row>
    <row r="775" spans="1:8" ht="19.5">
      <c r="A775" s="1"/>
      <c r="B775" s="2"/>
      <c r="C775" s="1"/>
      <c r="D775" s="208"/>
      <c r="E775" s="208"/>
      <c r="G775" s="4"/>
      <c r="H775" s="1"/>
    </row>
    <row r="776" spans="1:8" ht="19.5">
      <c r="A776" s="1"/>
      <c r="B776" s="2"/>
      <c r="C776" s="1"/>
      <c r="D776" s="208"/>
      <c r="E776" s="208"/>
      <c r="G776" s="4"/>
      <c r="H776" s="1"/>
    </row>
    <row r="777" spans="1:8" ht="19.5">
      <c r="A777" s="1"/>
      <c r="B777" s="2"/>
      <c r="C777" s="1"/>
      <c r="D777" s="208"/>
      <c r="E777" s="208"/>
      <c r="G777" s="4"/>
      <c r="H777" s="1"/>
    </row>
    <row r="778" spans="1:8" ht="19.5">
      <c r="A778" s="1"/>
      <c r="B778" s="2"/>
      <c r="C778" s="1"/>
      <c r="D778" s="208"/>
      <c r="E778" s="208"/>
      <c r="G778" s="4"/>
      <c r="H778" s="1"/>
    </row>
    <row r="779" spans="1:8" ht="19.5">
      <c r="A779" s="1"/>
      <c r="B779" s="2"/>
      <c r="C779" s="1"/>
      <c r="D779" s="208"/>
      <c r="E779" s="208"/>
      <c r="G779" s="4"/>
      <c r="H779" s="1"/>
    </row>
    <row r="780" spans="1:8" ht="19.5">
      <c r="A780" s="1"/>
      <c r="B780" s="2"/>
      <c r="C780" s="1"/>
      <c r="D780" s="208"/>
      <c r="E780" s="208"/>
      <c r="G780" s="4"/>
      <c r="H780" s="1"/>
    </row>
    <row r="781" spans="1:8" ht="19.5">
      <c r="A781" s="1"/>
      <c r="B781" s="2"/>
      <c r="C781" s="1"/>
      <c r="D781" s="208"/>
      <c r="E781" s="208"/>
      <c r="G781" s="4"/>
      <c r="H781" s="1"/>
    </row>
    <row r="782" spans="1:8" ht="19.5">
      <c r="A782" s="1"/>
      <c r="B782" s="2"/>
      <c r="C782" s="1"/>
      <c r="D782" s="208"/>
      <c r="E782" s="208"/>
      <c r="G782" s="4"/>
      <c r="H782" s="1"/>
    </row>
    <row r="783" spans="1:8" ht="19.5">
      <c r="A783" s="1"/>
      <c r="B783" s="2"/>
      <c r="C783" s="1"/>
      <c r="D783" s="208"/>
      <c r="E783" s="208"/>
      <c r="G783" s="4"/>
      <c r="H783" s="1"/>
    </row>
    <row r="784" spans="1:8" ht="19.5">
      <c r="A784" s="1"/>
      <c r="B784" s="2"/>
      <c r="C784" s="1"/>
      <c r="D784" s="208"/>
      <c r="E784" s="208"/>
      <c r="G784" s="4"/>
      <c r="H784" s="1"/>
    </row>
    <row r="785" spans="1:8" ht="19.5">
      <c r="A785" s="1"/>
      <c r="B785" s="2"/>
      <c r="C785" s="1"/>
      <c r="D785" s="208"/>
      <c r="E785" s="208"/>
      <c r="G785" s="4"/>
      <c r="H785" s="1"/>
    </row>
    <row r="786" spans="1:8" ht="19.5">
      <c r="A786" s="1"/>
      <c r="B786" s="2"/>
      <c r="C786" s="1"/>
      <c r="D786" s="208"/>
      <c r="E786" s="208"/>
      <c r="G786" s="4"/>
      <c r="H786" s="1"/>
    </row>
    <row r="787" spans="1:8" ht="19.5">
      <c r="A787" s="1"/>
      <c r="B787" s="2"/>
      <c r="C787" s="1"/>
      <c r="D787" s="208"/>
      <c r="E787" s="208"/>
      <c r="G787" s="4"/>
      <c r="H787" s="1"/>
    </row>
    <row r="788" spans="1:8" ht="19.5">
      <c r="A788" s="1"/>
      <c r="B788" s="2"/>
      <c r="C788" s="1"/>
      <c r="D788" s="208"/>
      <c r="E788" s="208"/>
      <c r="G788" s="4"/>
      <c r="H788" s="1"/>
    </row>
    <row r="789" spans="1:8" ht="19.5">
      <c r="A789" s="1"/>
      <c r="B789" s="2"/>
      <c r="C789" s="1"/>
      <c r="D789" s="208"/>
      <c r="E789" s="208"/>
      <c r="G789" s="4"/>
      <c r="H789" s="1"/>
    </row>
    <row r="790" spans="1:8" ht="19.5">
      <c r="A790" s="1"/>
      <c r="B790" s="2"/>
      <c r="C790" s="1"/>
      <c r="D790" s="208"/>
      <c r="E790" s="208"/>
      <c r="G790" s="4"/>
      <c r="H790" s="1"/>
    </row>
    <row r="791" spans="1:8" ht="19.5">
      <c r="A791" s="1"/>
      <c r="B791" s="2"/>
      <c r="C791" s="1"/>
      <c r="D791" s="208"/>
      <c r="E791" s="208"/>
      <c r="G791" s="4"/>
      <c r="H791" s="1"/>
    </row>
    <row r="792" spans="1:8" ht="19.5">
      <c r="A792" s="1"/>
      <c r="B792" s="2"/>
      <c r="C792" s="1"/>
      <c r="D792" s="208"/>
      <c r="E792" s="208"/>
      <c r="G792" s="4"/>
      <c r="H792" s="1"/>
    </row>
    <row r="793" spans="1:8" ht="19.5">
      <c r="A793" s="1"/>
      <c r="B793" s="2"/>
      <c r="C793" s="1"/>
      <c r="D793" s="208"/>
      <c r="E793" s="208"/>
      <c r="G793" s="4"/>
      <c r="H793" s="1"/>
    </row>
    <row r="794" spans="1:8" ht="19.5">
      <c r="A794" s="1"/>
      <c r="B794" s="2"/>
      <c r="C794" s="1"/>
      <c r="D794" s="208"/>
      <c r="E794" s="208"/>
      <c r="G794" s="4"/>
      <c r="H794" s="1"/>
    </row>
    <row r="795" spans="1:8" ht="19.5">
      <c r="A795" s="1"/>
      <c r="B795" s="2"/>
      <c r="C795" s="1"/>
      <c r="D795" s="208"/>
      <c r="E795" s="208"/>
      <c r="G795" s="4"/>
      <c r="H795" s="1"/>
    </row>
    <row r="796" spans="1:8" ht="19.5">
      <c r="A796" s="1"/>
      <c r="B796" s="2"/>
      <c r="C796" s="1"/>
      <c r="D796" s="208"/>
      <c r="E796" s="208"/>
      <c r="G796" s="4"/>
      <c r="H796" s="1"/>
    </row>
    <row r="797" spans="1:8" ht="19.5">
      <c r="A797" s="1"/>
      <c r="B797" s="2"/>
      <c r="C797" s="1"/>
      <c r="D797" s="208"/>
      <c r="E797" s="208"/>
      <c r="G797" s="4"/>
      <c r="H797" s="1"/>
    </row>
    <row r="798" spans="1:8" ht="19.5">
      <c r="A798" s="1"/>
      <c r="B798" s="2"/>
      <c r="C798" s="1"/>
      <c r="D798" s="208"/>
      <c r="E798" s="208"/>
      <c r="G798" s="4"/>
      <c r="H798" s="1"/>
    </row>
    <row r="799" spans="1:8" ht="19.5">
      <c r="A799" s="1"/>
      <c r="B799" s="2"/>
      <c r="C799" s="1"/>
      <c r="D799" s="208"/>
      <c r="E799" s="208"/>
      <c r="G799" s="4"/>
      <c r="H799" s="1"/>
    </row>
    <row r="800" spans="1:8" ht="19.5">
      <c r="A800" s="1"/>
      <c r="B800" s="2"/>
      <c r="C800" s="1"/>
      <c r="D800" s="208"/>
      <c r="E800" s="208"/>
      <c r="G800" s="4"/>
      <c r="H800" s="1"/>
    </row>
    <row r="801" spans="1:8" ht="19.5">
      <c r="A801" s="1"/>
      <c r="B801" s="2"/>
      <c r="C801" s="1"/>
      <c r="D801" s="208"/>
      <c r="E801" s="208"/>
      <c r="G801" s="4"/>
      <c r="H801" s="1"/>
    </row>
    <row r="802" spans="1:8" ht="19.5">
      <c r="A802" s="1"/>
      <c r="B802" s="2"/>
      <c r="C802" s="1"/>
      <c r="D802" s="208"/>
      <c r="E802" s="208"/>
      <c r="G802" s="4"/>
      <c r="H802" s="1"/>
    </row>
    <row r="803" spans="1:8" ht="19.5">
      <c r="A803" s="1"/>
      <c r="B803" s="2"/>
      <c r="C803" s="1"/>
      <c r="D803" s="208"/>
      <c r="E803" s="208"/>
      <c r="G803" s="4"/>
      <c r="H803" s="1"/>
    </row>
    <row r="804" spans="1:8" ht="19.5">
      <c r="A804" s="1"/>
      <c r="B804" s="2"/>
      <c r="C804" s="1"/>
      <c r="D804" s="208"/>
      <c r="E804" s="208"/>
      <c r="G804" s="4"/>
      <c r="H804" s="1"/>
    </row>
    <row r="805" spans="1:8" ht="19.5">
      <c r="A805" s="1"/>
      <c r="B805" s="2"/>
      <c r="C805" s="1"/>
      <c r="D805" s="208"/>
      <c r="E805" s="208"/>
      <c r="G805" s="4"/>
      <c r="H805" s="1"/>
    </row>
    <row r="806" spans="1:8" ht="19.5">
      <c r="A806" s="1"/>
      <c r="B806" s="2"/>
      <c r="C806" s="1"/>
      <c r="D806" s="208"/>
      <c r="E806" s="208"/>
      <c r="G806" s="4"/>
      <c r="H806" s="1"/>
    </row>
    <row r="807" spans="1:8" ht="19.5">
      <c r="A807" s="1"/>
      <c r="B807" s="2"/>
      <c r="C807" s="1"/>
      <c r="D807" s="208"/>
      <c r="E807" s="208"/>
      <c r="G807" s="4"/>
      <c r="H807" s="1"/>
    </row>
    <row r="808" spans="1:8" ht="19.5">
      <c r="A808" s="1"/>
      <c r="B808" s="2"/>
      <c r="C808" s="1"/>
      <c r="D808" s="208"/>
      <c r="E808" s="208"/>
      <c r="G808" s="4"/>
      <c r="H808" s="1"/>
    </row>
    <row r="809" spans="1:8" ht="19.5">
      <c r="A809" s="1"/>
      <c r="B809" s="2"/>
      <c r="C809" s="1"/>
      <c r="D809" s="208"/>
      <c r="E809" s="208"/>
      <c r="G809" s="4"/>
      <c r="H809" s="1"/>
    </row>
    <row r="810" spans="1:8" ht="19.5">
      <c r="A810" s="1"/>
      <c r="B810" s="2"/>
      <c r="C810" s="1"/>
      <c r="D810" s="208"/>
      <c r="E810" s="208"/>
      <c r="G810" s="4"/>
      <c r="H810" s="1"/>
    </row>
    <row r="811" spans="1:8" ht="19.5">
      <c r="A811" s="1"/>
      <c r="B811" s="2"/>
      <c r="C811" s="1"/>
      <c r="D811" s="208"/>
      <c r="E811" s="208"/>
      <c r="G811" s="4"/>
      <c r="H811" s="1"/>
    </row>
    <row r="812" spans="1:8" ht="19.5">
      <c r="A812" s="1"/>
      <c r="B812" s="2"/>
      <c r="C812" s="1"/>
      <c r="D812" s="208"/>
      <c r="E812" s="208"/>
      <c r="G812" s="4"/>
      <c r="H812" s="1"/>
    </row>
    <row r="813" spans="1:8" ht="19.5">
      <c r="A813" s="1"/>
      <c r="B813" s="2"/>
      <c r="C813" s="1"/>
      <c r="D813" s="208"/>
      <c r="E813" s="208"/>
      <c r="G813" s="4"/>
      <c r="H813" s="1"/>
    </row>
    <row r="814" spans="1:8" ht="19.5">
      <c r="A814" s="1"/>
      <c r="B814" s="2"/>
      <c r="C814" s="1"/>
      <c r="D814" s="208"/>
      <c r="E814" s="208"/>
      <c r="G814" s="4"/>
      <c r="H814" s="1"/>
    </row>
    <row r="815" spans="1:8" ht="19.5">
      <c r="A815" s="1"/>
      <c r="B815" s="2"/>
      <c r="C815" s="1"/>
      <c r="D815" s="208"/>
      <c r="E815" s="208"/>
      <c r="G815" s="4"/>
      <c r="H815" s="1"/>
    </row>
    <row r="816" spans="1:8" ht="19.5">
      <c r="A816" s="1"/>
      <c r="B816" s="2"/>
      <c r="C816" s="1"/>
      <c r="D816" s="208"/>
      <c r="E816" s="208"/>
      <c r="G816" s="4"/>
      <c r="H816" s="1"/>
    </row>
    <row r="817" spans="1:8" ht="19.5">
      <c r="A817" s="1"/>
      <c r="B817" s="2"/>
      <c r="C817" s="1"/>
      <c r="D817" s="208"/>
      <c r="E817" s="208"/>
      <c r="G817" s="4"/>
      <c r="H817" s="1"/>
    </row>
    <row r="818" spans="1:8" ht="19.5">
      <c r="A818" s="1"/>
      <c r="B818" s="2"/>
      <c r="C818" s="1"/>
      <c r="D818" s="208"/>
      <c r="E818" s="208"/>
      <c r="G818" s="4"/>
      <c r="H818" s="1"/>
    </row>
    <row r="819" spans="1:8" ht="19.5">
      <c r="A819" s="1"/>
      <c r="B819" s="2"/>
      <c r="C819" s="1"/>
      <c r="D819" s="208"/>
      <c r="E819" s="208"/>
      <c r="G819" s="4"/>
      <c r="H819" s="1"/>
    </row>
    <row r="820" spans="1:8" ht="19.5">
      <c r="A820" s="1"/>
      <c r="B820" s="2"/>
      <c r="C820" s="1"/>
      <c r="D820" s="208"/>
      <c r="E820" s="208"/>
      <c r="G820" s="4"/>
      <c r="H820" s="1"/>
    </row>
    <row r="821" spans="1:8" ht="19.5">
      <c r="A821" s="1"/>
      <c r="B821" s="2"/>
      <c r="C821" s="1"/>
      <c r="D821" s="208"/>
      <c r="E821" s="208"/>
      <c r="G821" s="4"/>
      <c r="H821" s="1"/>
    </row>
    <row r="822" spans="1:8" ht="19.5">
      <c r="A822" s="1"/>
      <c r="B822" s="2"/>
      <c r="C822" s="1"/>
      <c r="D822" s="208"/>
      <c r="E822" s="208"/>
      <c r="G822" s="4"/>
      <c r="H822" s="1"/>
    </row>
    <row r="823" spans="1:8" ht="19.5">
      <c r="A823" s="1"/>
      <c r="B823" s="2"/>
      <c r="C823" s="1"/>
      <c r="D823" s="208"/>
      <c r="E823" s="208"/>
      <c r="G823" s="4"/>
      <c r="H823" s="1"/>
    </row>
    <row r="824" spans="1:8" ht="19.5">
      <c r="A824" s="1"/>
      <c r="B824" s="2"/>
      <c r="C824" s="1"/>
      <c r="D824" s="208"/>
      <c r="E824" s="208"/>
      <c r="G824" s="4"/>
      <c r="H824" s="1"/>
    </row>
    <row r="825" spans="1:8" ht="19.5">
      <c r="A825" s="1"/>
      <c r="B825" s="2"/>
      <c r="C825" s="1"/>
      <c r="D825" s="208"/>
      <c r="E825" s="208"/>
      <c r="G825" s="4"/>
      <c r="H825" s="1"/>
    </row>
    <row r="826" spans="1:8" ht="19.5">
      <c r="A826" s="1"/>
      <c r="B826" s="2"/>
      <c r="C826" s="1"/>
      <c r="D826" s="208"/>
      <c r="E826" s="208"/>
      <c r="G826" s="4"/>
      <c r="H826" s="1"/>
    </row>
    <row r="827" spans="1:8" ht="19.5">
      <c r="A827" s="1"/>
      <c r="B827" s="2"/>
      <c r="C827" s="1"/>
      <c r="D827" s="208"/>
      <c r="E827" s="208"/>
      <c r="G827" s="4"/>
      <c r="H827" s="1"/>
    </row>
    <row r="828" spans="1:8" ht="19.5">
      <c r="A828" s="1"/>
      <c r="B828" s="2"/>
      <c r="C828" s="1"/>
      <c r="D828" s="208"/>
      <c r="E828" s="208"/>
      <c r="G828" s="4"/>
      <c r="H828" s="1"/>
    </row>
    <row r="829" spans="1:8" ht="19.5">
      <c r="A829" s="1"/>
      <c r="B829" s="2"/>
      <c r="C829" s="1"/>
      <c r="D829" s="208"/>
      <c r="E829" s="208"/>
      <c r="G829" s="4"/>
      <c r="H829" s="1"/>
    </row>
    <row r="830" spans="1:8" ht="19.5">
      <c r="A830" s="1"/>
      <c r="B830" s="2"/>
      <c r="C830" s="1"/>
      <c r="D830" s="208"/>
      <c r="E830" s="208"/>
      <c r="G830" s="4"/>
      <c r="H830" s="1"/>
    </row>
    <row r="831" spans="1:8" ht="19.5">
      <c r="A831" s="1"/>
      <c r="B831" s="2"/>
      <c r="C831" s="1"/>
      <c r="D831" s="208"/>
      <c r="E831" s="208"/>
      <c r="G831" s="4"/>
      <c r="H831" s="1"/>
    </row>
    <row r="832" spans="1:8" ht="19.5">
      <c r="A832" s="1"/>
      <c r="B832" s="2"/>
      <c r="C832" s="1"/>
      <c r="D832" s="208"/>
      <c r="E832" s="208"/>
      <c r="G832" s="4"/>
      <c r="H832" s="1"/>
    </row>
    <row r="833" spans="1:8" ht="19.5">
      <c r="A833" s="1"/>
      <c r="B833" s="2"/>
      <c r="C833" s="1"/>
      <c r="D833" s="208"/>
      <c r="E833" s="208"/>
      <c r="G833" s="4"/>
      <c r="H833" s="1"/>
    </row>
    <row r="834" spans="1:8" ht="19.5">
      <c r="A834" s="1"/>
      <c r="B834" s="2"/>
      <c r="C834" s="1"/>
      <c r="D834" s="208"/>
      <c r="E834" s="208"/>
      <c r="G834" s="4"/>
      <c r="H834" s="1"/>
    </row>
    <row r="835" spans="1:8" ht="19.5">
      <c r="A835" s="1"/>
      <c r="B835" s="2"/>
      <c r="C835" s="1"/>
      <c r="D835" s="208"/>
      <c r="E835" s="208"/>
      <c r="G835" s="4"/>
      <c r="H835" s="1"/>
    </row>
    <row r="836" spans="1:8" ht="19.5">
      <c r="A836" s="1"/>
      <c r="B836" s="2"/>
      <c r="C836" s="1"/>
      <c r="D836" s="208"/>
      <c r="E836" s="208"/>
      <c r="G836" s="4"/>
      <c r="H836" s="1"/>
    </row>
    <row r="837" spans="1:8" ht="19.5">
      <c r="A837" s="1"/>
      <c r="B837" s="2"/>
      <c r="C837" s="1"/>
      <c r="D837" s="208"/>
      <c r="E837" s="208"/>
      <c r="G837" s="4"/>
      <c r="H837" s="1"/>
    </row>
    <row r="838" spans="1:8" ht="19.5">
      <c r="A838" s="1"/>
      <c r="B838" s="2"/>
      <c r="C838" s="1"/>
      <c r="D838" s="208"/>
      <c r="E838" s="208"/>
      <c r="G838" s="4"/>
      <c r="H838" s="1"/>
    </row>
    <row r="839" spans="1:8" ht="19.5">
      <c r="A839" s="1"/>
      <c r="B839" s="2"/>
      <c r="C839" s="1"/>
      <c r="D839" s="208"/>
      <c r="E839" s="208"/>
      <c r="G839" s="4"/>
      <c r="H839" s="1"/>
    </row>
    <row r="840" spans="1:8" ht="19.5">
      <c r="A840" s="1"/>
      <c r="B840" s="2"/>
      <c r="C840" s="1"/>
      <c r="D840" s="208"/>
      <c r="E840" s="208"/>
      <c r="G840" s="4"/>
      <c r="H840" s="1"/>
    </row>
    <row r="841" spans="1:8" ht="19.5">
      <c r="A841" s="1"/>
      <c r="B841" s="2"/>
      <c r="C841" s="1"/>
      <c r="D841" s="208"/>
      <c r="E841" s="208"/>
      <c r="G841" s="4"/>
      <c r="H841" s="1"/>
    </row>
    <row r="842" spans="1:8" ht="19.5">
      <c r="A842" s="1"/>
      <c r="B842" s="2"/>
      <c r="C842" s="1"/>
      <c r="D842" s="208"/>
      <c r="E842" s="208"/>
      <c r="G842" s="4"/>
      <c r="H842" s="1"/>
    </row>
    <row r="843" spans="1:8" ht="19.5">
      <c r="A843" s="1"/>
      <c r="B843" s="2"/>
      <c r="C843" s="1"/>
      <c r="D843" s="208"/>
      <c r="E843" s="208"/>
      <c r="G843" s="4"/>
      <c r="H843" s="1"/>
    </row>
    <row r="844" spans="1:8" ht="19.5">
      <c r="A844" s="1"/>
      <c r="B844" s="2"/>
      <c r="C844" s="1"/>
      <c r="D844" s="208"/>
      <c r="E844" s="208"/>
      <c r="G844" s="4"/>
      <c r="H844" s="1"/>
    </row>
    <row r="845" spans="1:8" ht="19.5">
      <c r="A845" s="1"/>
      <c r="B845" s="2"/>
      <c r="C845" s="1"/>
      <c r="D845" s="208"/>
      <c r="E845" s="208"/>
      <c r="G845" s="4"/>
      <c r="H845" s="1"/>
    </row>
    <row r="846" spans="1:8" ht="19.5">
      <c r="A846" s="1"/>
      <c r="B846" s="2"/>
      <c r="C846" s="1"/>
      <c r="D846" s="208"/>
      <c r="E846" s="208"/>
      <c r="G846" s="4"/>
      <c r="H846" s="1"/>
    </row>
    <row r="847" spans="1:8" ht="19.5">
      <c r="A847" s="1"/>
      <c r="B847" s="2"/>
      <c r="C847" s="1"/>
      <c r="D847" s="208"/>
      <c r="E847" s="208"/>
      <c r="G847" s="4"/>
      <c r="H847" s="1"/>
    </row>
    <row r="848" spans="1:8" ht="19.5">
      <c r="A848" s="1"/>
      <c r="B848" s="2"/>
      <c r="C848" s="1"/>
      <c r="D848" s="208"/>
      <c r="E848" s="208"/>
      <c r="G848" s="4"/>
      <c r="H848" s="1"/>
    </row>
    <row r="849" spans="1:8" ht="19.5">
      <c r="A849" s="1"/>
      <c r="B849" s="2"/>
      <c r="C849" s="1"/>
      <c r="D849" s="208"/>
      <c r="E849" s="208"/>
      <c r="G849" s="4"/>
      <c r="H849" s="1"/>
    </row>
    <row r="850" spans="1:8" ht="19.5">
      <c r="A850" s="1"/>
      <c r="B850" s="2"/>
      <c r="C850" s="1"/>
      <c r="D850" s="208"/>
      <c r="E850" s="208"/>
      <c r="G850" s="4"/>
      <c r="H850" s="1"/>
    </row>
    <row r="851" spans="1:8" ht="19.5">
      <c r="A851" s="1"/>
      <c r="B851" s="2"/>
      <c r="C851" s="1"/>
      <c r="D851" s="208"/>
      <c r="E851" s="208"/>
      <c r="G851" s="4"/>
      <c r="H851" s="1"/>
    </row>
    <row r="852" spans="1:8" ht="19.5">
      <c r="A852" s="1"/>
      <c r="B852" s="2"/>
      <c r="C852" s="1"/>
      <c r="D852" s="208"/>
      <c r="E852" s="208"/>
      <c r="G852" s="4"/>
      <c r="H852" s="1"/>
    </row>
    <row r="853" spans="1:8" ht="19.5">
      <c r="A853" s="1"/>
      <c r="B853" s="2"/>
      <c r="C853" s="1"/>
      <c r="D853" s="208"/>
      <c r="E853" s="208"/>
      <c r="G853" s="4"/>
      <c r="H853" s="1"/>
    </row>
    <row r="854" spans="1:8" ht="19.5">
      <c r="A854" s="1"/>
      <c r="B854" s="2"/>
      <c r="C854" s="1"/>
      <c r="D854" s="208"/>
      <c r="E854" s="208"/>
      <c r="G854" s="4"/>
      <c r="H854" s="1"/>
    </row>
    <row r="855" spans="1:8" ht="19.5">
      <c r="A855" s="1"/>
      <c r="B855" s="2"/>
      <c r="C855" s="1"/>
      <c r="D855" s="208"/>
      <c r="E855" s="208"/>
      <c r="G855" s="4"/>
      <c r="H855" s="1"/>
    </row>
    <row r="856" spans="1:8" ht="19.5">
      <c r="A856" s="1"/>
      <c r="B856" s="2"/>
      <c r="C856" s="1"/>
      <c r="D856" s="208"/>
      <c r="E856" s="208"/>
      <c r="G856" s="4"/>
      <c r="H856" s="1"/>
    </row>
    <row r="857" spans="1:8" ht="19.5">
      <c r="A857" s="1"/>
      <c r="B857" s="2"/>
      <c r="C857" s="1"/>
      <c r="D857" s="208"/>
      <c r="E857" s="208"/>
      <c r="G857" s="4"/>
      <c r="H857" s="1"/>
    </row>
    <row r="858" spans="1:8" ht="19.5">
      <c r="A858" s="1"/>
      <c r="B858" s="2"/>
      <c r="C858" s="1"/>
      <c r="D858" s="208"/>
      <c r="E858" s="208"/>
      <c r="G858" s="4"/>
      <c r="H858" s="1"/>
    </row>
    <row r="859" spans="1:8" ht="19.5">
      <c r="A859" s="1"/>
      <c r="B859" s="2"/>
      <c r="C859" s="1"/>
      <c r="D859" s="208"/>
      <c r="E859" s="208"/>
      <c r="G859" s="4"/>
      <c r="H859" s="1"/>
    </row>
    <row r="860" spans="1:8" ht="19.5">
      <c r="A860" s="1"/>
      <c r="B860" s="2"/>
      <c r="C860" s="1"/>
      <c r="D860" s="208"/>
      <c r="E860" s="208"/>
      <c r="G860" s="4"/>
      <c r="H860" s="1"/>
    </row>
    <row r="861" spans="1:8" ht="19.5">
      <c r="A861" s="1"/>
      <c r="B861" s="2"/>
      <c r="C861" s="1"/>
      <c r="D861" s="208"/>
      <c r="E861" s="208"/>
      <c r="G861" s="4"/>
      <c r="H861" s="1"/>
    </row>
    <row r="862" spans="1:8" ht="19.5">
      <c r="A862" s="1"/>
      <c r="B862" s="2"/>
      <c r="C862" s="1"/>
      <c r="D862" s="208"/>
      <c r="E862" s="208"/>
      <c r="G862" s="4"/>
      <c r="H862" s="1"/>
    </row>
    <row r="863" spans="1:8" ht="19.5">
      <c r="A863" s="1"/>
      <c r="B863" s="2"/>
      <c r="C863" s="1"/>
      <c r="D863" s="208"/>
      <c r="E863" s="208"/>
      <c r="G863" s="4"/>
      <c r="H863" s="1"/>
    </row>
    <row r="864" spans="1:8" ht="19.5">
      <c r="A864" s="1"/>
      <c r="B864" s="2"/>
      <c r="C864" s="1"/>
      <c r="D864" s="208"/>
      <c r="E864" s="208"/>
      <c r="G864" s="4"/>
      <c r="H864" s="1"/>
    </row>
    <row r="865" spans="1:8" ht="19.5">
      <c r="A865" s="1"/>
      <c r="B865" s="2"/>
      <c r="C865" s="1"/>
      <c r="D865" s="208"/>
      <c r="E865" s="208"/>
      <c r="G865" s="4"/>
      <c r="H865" s="1"/>
    </row>
    <row r="866" spans="1:8" ht="19.5">
      <c r="A866" s="1"/>
      <c r="B866" s="2"/>
      <c r="C866" s="1"/>
      <c r="D866" s="208"/>
      <c r="E866" s="208"/>
      <c r="G866" s="4"/>
      <c r="H866" s="1"/>
    </row>
    <row r="867" spans="1:8" ht="19.5">
      <c r="A867" s="1"/>
      <c r="B867" s="2"/>
      <c r="C867" s="1"/>
      <c r="D867" s="208"/>
      <c r="E867" s="208"/>
      <c r="G867" s="4"/>
      <c r="H867" s="1"/>
    </row>
    <row r="868" spans="1:8" ht="19.5">
      <c r="A868" s="1"/>
      <c r="B868" s="2"/>
      <c r="C868" s="1"/>
      <c r="D868" s="208"/>
      <c r="E868" s="208"/>
      <c r="G868" s="4"/>
      <c r="H868" s="1"/>
    </row>
    <row r="869" spans="1:8" ht="19.5">
      <c r="A869" s="1"/>
      <c r="B869" s="2"/>
      <c r="C869" s="1"/>
      <c r="D869" s="208"/>
      <c r="E869" s="208"/>
      <c r="G869" s="4"/>
      <c r="H869" s="1"/>
    </row>
    <row r="870" spans="1:8" ht="19.5">
      <c r="A870" s="1"/>
      <c r="B870" s="2"/>
      <c r="C870" s="1"/>
      <c r="D870" s="208"/>
      <c r="E870" s="208"/>
      <c r="G870" s="4"/>
      <c r="H870" s="1"/>
    </row>
    <row r="871" spans="1:8" ht="19.5">
      <c r="A871" s="1"/>
      <c r="B871" s="2"/>
      <c r="C871" s="1"/>
      <c r="D871" s="208"/>
      <c r="E871" s="208"/>
      <c r="G871" s="4"/>
      <c r="H871" s="1"/>
    </row>
    <row r="872" spans="1:8" ht="19.5">
      <c r="A872" s="1"/>
      <c r="B872" s="2"/>
      <c r="C872" s="1"/>
      <c r="D872" s="208"/>
      <c r="E872" s="208"/>
      <c r="G872" s="4"/>
      <c r="H872" s="1"/>
    </row>
    <row r="873" spans="1:8" ht="19.5">
      <c r="A873" s="1"/>
      <c r="B873" s="2"/>
      <c r="C873" s="1"/>
      <c r="D873" s="208"/>
      <c r="E873" s="208"/>
      <c r="G873" s="4"/>
      <c r="H873" s="1"/>
    </row>
    <row r="874" spans="1:8" ht="19.5">
      <c r="A874" s="1"/>
      <c r="B874" s="2"/>
      <c r="C874" s="1"/>
      <c r="D874" s="208"/>
      <c r="E874" s="208"/>
      <c r="G874" s="4"/>
      <c r="H874" s="1"/>
    </row>
    <row r="875" spans="1:8" ht="19.5">
      <c r="A875" s="1"/>
      <c r="B875" s="2"/>
      <c r="C875" s="1"/>
      <c r="D875" s="208"/>
      <c r="E875" s="208"/>
      <c r="G875" s="4"/>
      <c r="H875" s="1"/>
    </row>
    <row r="876" spans="1:8" ht="19.5">
      <c r="A876" s="1"/>
      <c r="B876" s="2"/>
      <c r="C876" s="1"/>
      <c r="D876" s="208"/>
      <c r="E876" s="208"/>
      <c r="G876" s="4"/>
      <c r="H876" s="1"/>
    </row>
    <row r="877" spans="1:8" ht="19.5">
      <c r="A877" s="1"/>
      <c r="B877" s="2"/>
      <c r="C877" s="1"/>
      <c r="D877" s="208"/>
      <c r="E877" s="208"/>
      <c r="G877" s="4"/>
      <c r="H877" s="1"/>
    </row>
    <row r="878" spans="1:8" ht="19.5">
      <c r="A878" s="1"/>
      <c r="B878" s="2"/>
      <c r="C878" s="1"/>
      <c r="D878" s="208"/>
      <c r="E878" s="208"/>
      <c r="G878" s="4"/>
      <c r="H878" s="1"/>
    </row>
    <row r="879" spans="1:8" ht="19.5">
      <c r="A879" s="1"/>
      <c r="B879" s="2"/>
      <c r="C879" s="1"/>
      <c r="D879" s="208"/>
      <c r="E879" s="208"/>
      <c r="G879" s="4"/>
      <c r="H879" s="1"/>
    </row>
    <row r="880" spans="1:8" ht="19.5">
      <c r="A880" s="1"/>
      <c r="B880" s="2"/>
      <c r="C880" s="1"/>
      <c r="D880" s="208"/>
      <c r="E880" s="208"/>
      <c r="G880" s="4"/>
      <c r="H880" s="1"/>
    </row>
    <row r="881" spans="1:8" ht="19.5">
      <c r="A881" s="1"/>
      <c r="B881" s="2"/>
      <c r="C881" s="1"/>
      <c r="D881" s="208"/>
      <c r="E881" s="208"/>
      <c r="G881" s="4"/>
      <c r="H881" s="1"/>
    </row>
    <row r="882" spans="1:8" ht="19.5">
      <c r="A882" s="1"/>
      <c r="B882" s="2"/>
      <c r="C882" s="1"/>
      <c r="D882" s="208"/>
      <c r="E882" s="208"/>
      <c r="G882" s="4"/>
      <c r="H882" s="1"/>
    </row>
    <row r="883" spans="1:8" ht="19.5">
      <c r="A883" s="1"/>
      <c r="B883" s="2"/>
      <c r="C883" s="1"/>
      <c r="D883" s="208"/>
      <c r="E883" s="208"/>
      <c r="G883" s="4"/>
      <c r="H883" s="1"/>
    </row>
    <row r="884" spans="1:8" ht="19.5">
      <c r="A884" s="1"/>
      <c r="B884" s="2"/>
      <c r="C884" s="1"/>
      <c r="D884" s="208"/>
      <c r="E884" s="208"/>
      <c r="G884" s="4"/>
      <c r="H884" s="1"/>
    </row>
    <row r="885" spans="1:8" ht="19.5">
      <c r="A885" s="1"/>
      <c r="B885" s="2"/>
      <c r="C885" s="1"/>
      <c r="D885" s="208"/>
      <c r="E885" s="208"/>
      <c r="G885" s="4"/>
      <c r="H885" s="1"/>
    </row>
    <row r="886" spans="1:8" ht="19.5">
      <c r="A886" s="1"/>
      <c r="B886" s="2"/>
      <c r="C886" s="1"/>
      <c r="D886" s="208"/>
      <c r="E886" s="208"/>
      <c r="G886" s="4"/>
      <c r="H886" s="1"/>
    </row>
    <row r="887" spans="1:8" ht="19.5">
      <c r="A887" s="1"/>
      <c r="B887" s="2"/>
      <c r="C887" s="1"/>
      <c r="D887" s="208"/>
      <c r="E887" s="208"/>
      <c r="G887" s="4"/>
      <c r="H887" s="1"/>
    </row>
    <row r="888" spans="1:8" ht="19.5">
      <c r="A888" s="1"/>
      <c r="B888" s="2"/>
      <c r="C888" s="1"/>
      <c r="D888" s="208"/>
      <c r="E888" s="208"/>
      <c r="G888" s="4"/>
      <c r="H888" s="1"/>
    </row>
    <row r="889" spans="1:8" ht="19.5">
      <c r="A889" s="1"/>
      <c r="B889" s="2"/>
      <c r="C889" s="1"/>
      <c r="D889" s="208"/>
      <c r="E889" s="208"/>
      <c r="G889" s="4"/>
      <c r="H889" s="1"/>
    </row>
    <row r="890" spans="1:8" ht="19.5">
      <c r="A890" s="1"/>
      <c r="B890" s="2"/>
      <c r="C890" s="1"/>
      <c r="D890" s="208"/>
      <c r="E890" s="208"/>
      <c r="G890" s="4"/>
      <c r="H890" s="1"/>
    </row>
    <row r="891" spans="1:8" ht="19.5">
      <c r="A891" s="1"/>
      <c r="B891" s="2"/>
      <c r="C891" s="1"/>
      <c r="D891" s="208"/>
      <c r="E891" s="208"/>
      <c r="G891" s="4"/>
      <c r="H891" s="1"/>
    </row>
    <row r="892" spans="1:8" ht="19.5">
      <c r="A892" s="1"/>
      <c r="B892" s="2"/>
      <c r="C892" s="1"/>
      <c r="D892" s="208"/>
      <c r="E892" s="208"/>
      <c r="G892" s="4"/>
      <c r="H892" s="1"/>
    </row>
    <row r="893" spans="1:8" ht="19.5">
      <c r="A893" s="1"/>
      <c r="B893" s="2"/>
      <c r="C893" s="1"/>
      <c r="D893" s="208"/>
      <c r="E893" s="208"/>
      <c r="G893" s="4"/>
      <c r="H893" s="1"/>
    </row>
    <row r="894" spans="1:8" ht="19.5">
      <c r="A894" s="1"/>
      <c r="B894" s="2"/>
      <c r="C894" s="1"/>
      <c r="D894" s="208"/>
      <c r="E894" s="208"/>
      <c r="G894" s="4"/>
      <c r="H894" s="1"/>
    </row>
    <row r="895" spans="1:8" ht="19.5">
      <c r="A895" s="1"/>
      <c r="B895" s="2"/>
      <c r="C895" s="1"/>
      <c r="D895" s="208"/>
      <c r="E895" s="208"/>
      <c r="G895" s="4"/>
      <c r="H895" s="1"/>
    </row>
    <row r="896" spans="1:8" ht="19.5">
      <c r="A896" s="1"/>
      <c r="B896" s="2"/>
      <c r="C896" s="1"/>
      <c r="D896" s="208"/>
      <c r="E896" s="208"/>
      <c r="G896" s="4"/>
      <c r="H896" s="1"/>
    </row>
    <row r="897" spans="1:8" ht="19.5">
      <c r="A897" s="1"/>
      <c r="B897" s="2"/>
      <c r="C897" s="1"/>
      <c r="D897" s="208"/>
      <c r="E897" s="208"/>
      <c r="G897" s="4"/>
      <c r="H897" s="1"/>
    </row>
    <row r="898" spans="1:8" ht="19.5">
      <c r="A898" s="1"/>
      <c r="B898" s="2"/>
      <c r="C898" s="1"/>
      <c r="D898" s="208"/>
      <c r="E898" s="208"/>
      <c r="G898" s="4"/>
      <c r="H898" s="1"/>
    </row>
    <row r="899" spans="1:8" ht="19.5">
      <c r="A899" s="1"/>
      <c r="B899" s="2"/>
      <c r="C899" s="1"/>
      <c r="D899" s="208"/>
      <c r="E899" s="208"/>
      <c r="G899" s="4"/>
      <c r="H899" s="1"/>
    </row>
    <row r="900" spans="1:8" ht="19.5">
      <c r="A900" s="1"/>
      <c r="B900" s="2"/>
      <c r="C900" s="1"/>
      <c r="D900" s="208"/>
      <c r="E900" s="208"/>
      <c r="G900" s="4"/>
      <c r="H900" s="1"/>
    </row>
    <row r="901" spans="1:8" ht="19.5">
      <c r="A901" s="1"/>
      <c r="B901" s="2"/>
      <c r="C901" s="1"/>
      <c r="D901" s="208"/>
      <c r="E901" s="208"/>
      <c r="G901" s="4"/>
      <c r="H901" s="1"/>
    </row>
    <row r="902" spans="1:8" ht="19.5">
      <c r="A902" s="1"/>
      <c r="B902" s="2"/>
      <c r="C902" s="1"/>
      <c r="D902" s="208"/>
      <c r="E902" s="208"/>
      <c r="G902" s="4"/>
      <c r="H902" s="1"/>
    </row>
    <row r="903" spans="1:8" ht="19.5">
      <c r="A903" s="1"/>
      <c r="B903" s="2"/>
      <c r="C903" s="1"/>
      <c r="D903" s="208"/>
      <c r="E903" s="208"/>
      <c r="G903" s="4"/>
      <c r="H903" s="1"/>
    </row>
    <row r="904" spans="1:8" ht="19.5">
      <c r="A904" s="1"/>
      <c r="B904" s="2"/>
      <c r="C904" s="1"/>
      <c r="D904" s="208"/>
      <c r="E904" s="208"/>
      <c r="G904" s="4"/>
      <c r="H904" s="1"/>
    </row>
    <row r="905" spans="1:8" ht="19.5">
      <c r="A905" s="1"/>
      <c r="B905" s="2"/>
      <c r="C905" s="1"/>
      <c r="D905" s="208"/>
      <c r="E905" s="208"/>
      <c r="G905" s="4"/>
      <c r="H905" s="1"/>
    </row>
    <row r="906" spans="1:8" ht="19.5">
      <c r="A906" s="1"/>
      <c r="B906" s="2"/>
      <c r="C906" s="1"/>
      <c r="D906" s="208"/>
      <c r="E906" s="208"/>
      <c r="G906" s="4"/>
      <c r="H906" s="1"/>
    </row>
    <row r="907" spans="1:8" ht="19.5">
      <c r="A907" s="1"/>
      <c r="B907" s="2"/>
      <c r="C907" s="1"/>
      <c r="D907" s="208"/>
      <c r="E907" s="208"/>
      <c r="G907" s="4"/>
      <c r="H907" s="1"/>
    </row>
    <row r="908" spans="1:8" ht="19.5">
      <c r="A908" s="1"/>
      <c r="B908" s="2"/>
      <c r="C908" s="1"/>
      <c r="D908" s="208"/>
      <c r="E908" s="208"/>
      <c r="G908" s="4"/>
      <c r="H908" s="1"/>
    </row>
    <row r="909" spans="1:8" ht="19.5">
      <c r="A909" s="1"/>
      <c r="B909" s="2"/>
      <c r="C909" s="1"/>
      <c r="D909" s="208"/>
      <c r="E909" s="208"/>
      <c r="G909" s="4"/>
      <c r="H909" s="1"/>
    </row>
    <row r="910" spans="1:8" ht="19.5">
      <c r="A910" s="1"/>
      <c r="B910" s="2"/>
      <c r="C910" s="1"/>
      <c r="D910" s="208"/>
      <c r="E910" s="208"/>
      <c r="G910" s="4"/>
      <c r="H910" s="1"/>
    </row>
    <row r="911" spans="1:8" ht="19.5">
      <c r="A911" s="1"/>
      <c r="B911" s="2"/>
      <c r="C911" s="1"/>
      <c r="D911" s="208"/>
      <c r="E911" s="208"/>
      <c r="G911" s="4"/>
      <c r="H911" s="1"/>
    </row>
    <row r="912" spans="1:8" ht="19.5">
      <c r="A912" s="1"/>
      <c r="B912" s="2"/>
      <c r="C912" s="1"/>
      <c r="D912" s="208"/>
      <c r="E912" s="208"/>
      <c r="G912" s="4"/>
      <c r="H912" s="1"/>
    </row>
    <row r="913" spans="1:8" ht="19.5">
      <c r="A913" s="1"/>
      <c r="B913" s="2"/>
      <c r="C913" s="1"/>
      <c r="D913" s="208"/>
      <c r="E913" s="208"/>
      <c r="G913" s="4"/>
      <c r="H913" s="1"/>
    </row>
    <row r="914" spans="1:8" ht="19.5">
      <c r="A914" s="1"/>
      <c r="B914" s="2"/>
      <c r="C914" s="1"/>
      <c r="D914" s="208"/>
      <c r="E914" s="208"/>
      <c r="G914" s="4"/>
      <c r="H914" s="1"/>
    </row>
    <row r="915" spans="1:8" ht="19.5">
      <c r="A915" s="1"/>
      <c r="B915" s="2"/>
      <c r="C915" s="1"/>
      <c r="D915" s="208"/>
      <c r="E915" s="208"/>
      <c r="G915" s="4"/>
      <c r="H915" s="1"/>
    </row>
    <row r="916" spans="1:8" ht="19.5">
      <c r="A916" s="1"/>
      <c r="B916" s="2"/>
      <c r="C916" s="1"/>
      <c r="D916" s="208"/>
      <c r="E916" s="208"/>
      <c r="G916" s="4"/>
      <c r="H916" s="1"/>
    </row>
    <row r="917" spans="1:8" ht="19.5">
      <c r="A917" s="1"/>
      <c r="B917" s="2"/>
      <c r="C917" s="1"/>
      <c r="D917" s="208"/>
      <c r="E917" s="208"/>
      <c r="G917" s="4"/>
      <c r="H917" s="1"/>
    </row>
    <row r="918" spans="1:8" ht="19.5">
      <c r="A918" s="1"/>
      <c r="B918" s="2"/>
      <c r="C918" s="1"/>
      <c r="D918" s="208"/>
      <c r="E918" s="208"/>
      <c r="G918" s="4"/>
      <c r="H918" s="1"/>
    </row>
    <row r="919" spans="1:8" ht="19.5">
      <c r="A919" s="1"/>
      <c r="B919" s="2"/>
      <c r="C919" s="1"/>
      <c r="D919" s="208"/>
      <c r="E919" s="208"/>
      <c r="G919" s="4"/>
      <c r="H919" s="1"/>
    </row>
    <row r="920" spans="1:8" ht="19.5">
      <c r="A920" s="1"/>
      <c r="B920" s="2"/>
      <c r="C920" s="1"/>
      <c r="D920" s="208"/>
      <c r="E920" s="208"/>
      <c r="G920" s="4"/>
      <c r="H920" s="1"/>
    </row>
    <row r="921" spans="1:8" ht="19.5">
      <c r="A921" s="1"/>
      <c r="B921" s="2"/>
      <c r="C921" s="1"/>
      <c r="D921" s="208"/>
      <c r="E921" s="208"/>
      <c r="G921" s="4"/>
      <c r="H921" s="1"/>
    </row>
    <row r="922" spans="1:8" ht="19.5">
      <c r="A922" s="1"/>
      <c r="B922" s="2"/>
      <c r="C922" s="1"/>
      <c r="D922" s="208"/>
      <c r="E922" s="208"/>
      <c r="G922" s="4"/>
      <c r="H922" s="1"/>
    </row>
    <row r="923" spans="1:8" ht="19.5">
      <c r="A923" s="1"/>
      <c r="B923" s="2"/>
      <c r="C923" s="1"/>
      <c r="D923" s="208"/>
      <c r="E923" s="208"/>
      <c r="G923" s="4"/>
      <c r="H923" s="1"/>
    </row>
    <row r="924" spans="1:8" ht="19.5">
      <c r="A924" s="1"/>
      <c r="B924" s="2"/>
      <c r="C924" s="1"/>
      <c r="D924" s="208"/>
      <c r="E924" s="208"/>
      <c r="G924" s="4"/>
      <c r="H924" s="1"/>
    </row>
    <row r="925" spans="1:8" ht="19.5">
      <c r="A925" s="1"/>
      <c r="B925" s="2"/>
      <c r="C925" s="1"/>
      <c r="D925" s="208"/>
      <c r="E925" s="208"/>
      <c r="G925" s="4"/>
      <c r="H925" s="1"/>
    </row>
    <row r="926" spans="1:8" ht="19.5">
      <c r="A926" s="1"/>
      <c r="B926" s="2"/>
      <c r="C926" s="1"/>
      <c r="D926" s="208"/>
      <c r="E926" s="208"/>
      <c r="G926" s="4"/>
      <c r="H926" s="1"/>
    </row>
    <row r="927" spans="1:8" ht="19.5">
      <c r="A927" s="1"/>
      <c r="B927" s="2"/>
      <c r="C927" s="1"/>
      <c r="D927" s="208"/>
      <c r="E927" s="208"/>
      <c r="G927" s="4"/>
      <c r="H927" s="1"/>
    </row>
    <row r="928" spans="1:8" ht="19.5">
      <c r="A928" s="1"/>
      <c r="B928" s="2"/>
      <c r="C928" s="1"/>
      <c r="D928" s="208"/>
      <c r="E928" s="208"/>
      <c r="G928" s="4"/>
      <c r="H928" s="1"/>
    </row>
    <row r="929" spans="1:8" ht="19.5">
      <c r="A929" s="1"/>
      <c r="B929" s="2"/>
      <c r="C929" s="1"/>
      <c r="D929" s="208"/>
      <c r="E929" s="208"/>
      <c r="G929" s="4"/>
      <c r="H929" s="1"/>
    </row>
    <row r="930" spans="1:8" ht="19.5">
      <c r="A930" s="1"/>
      <c r="B930" s="2"/>
      <c r="C930" s="1"/>
      <c r="D930" s="208"/>
      <c r="E930" s="208"/>
      <c r="G930" s="4"/>
      <c r="H930" s="1"/>
    </row>
    <row r="931" spans="1:8" ht="19.5">
      <c r="A931" s="1"/>
      <c r="B931" s="2"/>
      <c r="C931" s="1"/>
      <c r="D931" s="208"/>
      <c r="E931" s="208"/>
      <c r="G931" s="4"/>
      <c r="H931" s="1"/>
    </row>
    <row r="932" spans="1:8" ht="19.5">
      <c r="A932" s="1"/>
      <c r="B932" s="2"/>
      <c r="C932" s="1"/>
      <c r="D932" s="208"/>
      <c r="E932" s="208"/>
      <c r="G932" s="4"/>
      <c r="H932" s="1"/>
    </row>
    <row r="933" spans="1:8" ht="19.5">
      <c r="A933" s="1"/>
      <c r="B933" s="2"/>
      <c r="C933" s="1"/>
      <c r="D933" s="208"/>
      <c r="E933" s="208"/>
      <c r="G933" s="4"/>
      <c r="H933" s="1"/>
    </row>
    <row r="934" spans="1:8" ht="19.5">
      <c r="A934" s="1"/>
      <c r="B934" s="2"/>
      <c r="C934" s="1"/>
      <c r="D934" s="208"/>
      <c r="E934" s="208"/>
      <c r="G934" s="4"/>
      <c r="H934" s="1"/>
    </row>
    <row r="935" spans="1:8" ht="19.5">
      <c r="A935" s="1"/>
      <c r="B935" s="2"/>
      <c r="C935" s="1"/>
      <c r="D935" s="208"/>
      <c r="E935" s="208"/>
      <c r="G935" s="4"/>
      <c r="H935" s="1"/>
    </row>
    <row r="936" spans="1:8" ht="19.5">
      <c r="A936" s="1"/>
      <c r="B936" s="2"/>
      <c r="C936" s="1"/>
      <c r="D936" s="208"/>
      <c r="E936" s="208"/>
      <c r="G936" s="4"/>
      <c r="H936" s="1"/>
    </row>
    <row r="937" spans="1:8" ht="19.5">
      <c r="A937" s="1"/>
      <c r="B937" s="2"/>
      <c r="C937" s="1"/>
      <c r="D937" s="208"/>
      <c r="E937" s="208"/>
      <c r="G937" s="4"/>
      <c r="H937" s="1"/>
    </row>
    <row r="938" spans="1:8" ht="19.5">
      <c r="A938" s="1"/>
      <c r="B938" s="2"/>
      <c r="C938" s="1"/>
      <c r="D938" s="208"/>
      <c r="E938" s="208"/>
      <c r="G938" s="4"/>
      <c r="H938" s="1"/>
    </row>
    <row r="939" spans="1:8" ht="19.5">
      <c r="A939" s="1"/>
      <c r="B939" s="2"/>
      <c r="C939" s="1"/>
      <c r="D939" s="208"/>
      <c r="E939" s="208"/>
      <c r="G939" s="4"/>
      <c r="H939" s="1"/>
    </row>
    <row r="940" spans="1:8" ht="19.5">
      <c r="A940" s="1"/>
      <c r="B940" s="2"/>
      <c r="C940" s="1"/>
      <c r="D940" s="208"/>
      <c r="E940" s="208"/>
      <c r="G940" s="4"/>
      <c r="H940" s="1"/>
    </row>
    <row r="941" spans="1:8" ht="19.5">
      <c r="A941" s="1"/>
      <c r="B941" s="2"/>
      <c r="C941" s="1"/>
      <c r="D941" s="208"/>
      <c r="E941" s="208"/>
      <c r="G941" s="4"/>
      <c r="H941" s="1"/>
    </row>
    <row r="942" spans="1:8" ht="19.5">
      <c r="A942" s="1"/>
      <c r="B942" s="2"/>
      <c r="C942" s="1"/>
      <c r="D942" s="208"/>
      <c r="E942" s="208"/>
      <c r="G942" s="4"/>
      <c r="H942" s="1"/>
    </row>
    <row r="943" spans="1:8" ht="19.5">
      <c r="A943" s="1"/>
      <c r="B943" s="2"/>
      <c r="C943" s="1"/>
      <c r="D943" s="208"/>
      <c r="E943" s="208"/>
      <c r="G943" s="4"/>
      <c r="H943" s="1"/>
    </row>
    <row r="944" spans="1:8" ht="19.5">
      <c r="A944" s="1"/>
      <c r="B944" s="2"/>
      <c r="C944" s="1"/>
      <c r="D944" s="208"/>
      <c r="E944" s="208"/>
      <c r="G944" s="4"/>
      <c r="H944" s="1"/>
    </row>
    <row r="945" spans="1:8" ht="19.5">
      <c r="A945" s="1"/>
      <c r="B945" s="2"/>
      <c r="C945" s="1"/>
      <c r="D945" s="208"/>
      <c r="E945" s="208"/>
      <c r="G945" s="4"/>
      <c r="H945" s="1"/>
    </row>
    <row r="946" spans="1:8" ht="19.5">
      <c r="A946" s="1"/>
      <c r="B946" s="2"/>
      <c r="C946" s="1"/>
      <c r="D946" s="208"/>
      <c r="E946" s="208"/>
      <c r="G946" s="4"/>
      <c r="H946" s="1"/>
    </row>
    <row r="947" spans="1:8" ht="19.5">
      <c r="A947" s="1"/>
      <c r="B947" s="2"/>
      <c r="C947" s="1"/>
      <c r="D947" s="208"/>
      <c r="E947" s="208"/>
      <c r="G947" s="4"/>
      <c r="H947" s="1"/>
    </row>
    <row r="948" spans="1:8" ht="19.5">
      <c r="A948" s="1"/>
      <c r="B948" s="2"/>
      <c r="C948" s="1"/>
      <c r="D948" s="208"/>
      <c r="E948" s="208"/>
      <c r="G948" s="4"/>
      <c r="H948" s="1"/>
    </row>
    <row r="949" spans="1:8" ht="19.5">
      <c r="A949" s="1"/>
      <c r="B949" s="2"/>
      <c r="C949" s="1"/>
      <c r="D949" s="208"/>
      <c r="E949" s="208"/>
      <c r="G949" s="4"/>
      <c r="H949" s="1"/>
    </row>
    <row r="950" spans="1:8" ht="19.5">
      <c r="A950" s="1"/>
      <c r="B950" s="2"/>
      <c r="C950" s="1"/>
      <c r="D950" s="208"/>
      <c r="E950" s="208"/>
      <c r="G950" s="4"/>
      <c r="H950" s="1"/>
    </row>
    <row r="951" spans="1:8" ht="19.5">
      <c r="A951" s="1"/>
      <c r="B951" s="2"/>
      <c r="C951" s="1"/>
      <c r="D951" s="208"/>
      <c r="E951" s="208"/>
      <c r="G951" s="4"/>
      <c r="H951" s="1"/>
    </row>
    <row r="952" spans="1:8" ht="19.5">
      <c r="A952" s="1"/>
      <c r="B952" s="2"/>
      <c r="C952" s="1"/>
      <c r="D952" s="208"/>
      <c r="E952" s="208"/>
      <c r="G952" s="4"/>
      <c r="H952" s="1"/>
    </row>
    <row r="953" spans="1:8" ht="19.5">
      <c r="A953" s="1"/>
      <c r="B953" s="2"/>
      <c r="C953" s="1"/>
      <c r="D953" s="208"/>
      <c r="E953" s="208"/>
      <c r="G953" s="4"/>
      <c r="H953" s="1"/>
    </row>
    <row r="954" spans="1:8" ht="19.5">
      <c r="A954" s="1"/>
      <c r="B954" s="2"/>
      <c r="C954" s="1"/>
      <c r="D954" s="208"/>
      <c r="E954" s="208"/>
      <c r="G954" s="4"/>
      <c r="H954" s="1"/>
    </row>
    <row r="955" spans="1:8" ht="19.5">
      <c r="A955" s="1"/>
      <c r="B955" s="2"/>
      <c r="C955" s="1"/>
      <c r="D955" s="208"/>
      <c r="E955" s="208"/>
      <c r="G955" s="4"/>
      <c r="H955" s="1"/>
    </row>
    <row r="956" spans="1:8" ht="19.5">
      <c r="A956" s="1"/>
      <c r="B956" s="2"/>
      <c r="C956" s="1"/>
      <c r="D956" s="208"/>
      <c r="E956" s="208"/>
      <c r="G956" s="4"/>
      <c r="H956" s="1"/>
    </row>
    <row r="957" spans="1:8" ht="19.5">
      <c r="A957" s="1"/>
      <c r="B957" s="2"/>
      <c r="C957" s="1"/>
      <c r="D957" s="208"/>
      <c r="E957" s="208"/>
      <c r="G957" s="4"/>
      <c r="H957" s="1"/>
    </row>
    <row r="958" spans="1:8" ht="19.5">
      <c r="A958" s="1"/>
      <c r="B958" s="2"/>
      <c r="C958" s="1"/>
      <c r="D958" s="208"/>
      <c r="E958" s="208"/>
      <c r="G958" s="4"/>
      <c r="H958" s="1"/>
    </row>
    <row r="959" spans="1:8" ht="19.5">
      <c r="A959" s="1"/>
      <c r="B959" s="2"/>
      <c r="C959" s="1"/>
      <c r="D959" s="208"/>
      <c r="E959" s="208"/>
      <c r="G959" s="4"/>
      <c r="H959" s="1"/>
    </row>
    <row r="960" spans="1:8" ht="19.5">
      <c r="A960" s="1"/>
      <c r="B960" s="2"/>
      <c r="C960" s="1"/>
      <c r="D960" s="208"/>
      <c r="E960" s="208"/>
      <c r="G960" s="4"/>
      <c r="H960" s="1"/>
    </row>
    <row r="961" spans="1:8" ht="19.5">
      <c r="A961" s="1"/>
      <c r="B961" s="2"/>
      <c r="C961" s="1"/>
      <c r="D961" s="208"/>
      <c r="E961" s="208"/>
      <c r="G961" s="4"/>
      <c r="H961" s="1"/>
    </row>
    <row r="962" spans="1:8" ht="19.5">
      <c r="A962" s="1"/>
      <c r="B962" s="2"/>
      <c r="C962" s="1"/>
      <c r="D962" s="208"/>
      <c r="E962" s="208"/>
      <c r="G962" s="4"/>
      <c r="H962" s="1"/>
    </row>
    <row r="963" spans="1:8" ht="19.5">
      <c r="A963" s="1"/>
      <c r="B963" s="2"/>
      <c r="C963" s="1"/>
      <c r="D963" s="208"/>
      <c r="E963" s="208"/>
      <c r="G963" s="4"/>
      <c r="H963" s="1"/>
    </row>
    <row r="964" spans="1:8" ht="19.5">
      <c r="A964" s="1"/>
      <c r="B964" s="2"/>
      <c r="C964" s="1"/>
      <c r="D964" s="208"/>
      <c r="E964" s="208"/>
      <c r="G964" s="4"/>
      <c r="H964" s="1"/>
    </row>
    <row r="965" spans="1:8" ht="19.5">
      <c r="A965" s="1"/>
      <c r="B965" s="2"/>
      <c r="C965" s="1"/>
      <c r="D965" s="208"/>
      <c r="E965" s="208"/>
      <c r="G965" s="4"/>
      <c r="H965" s="1"/>
    </row>
    <row r="966" spans="1:8" ht="19.5">
      <c r="A966" s="1"/>
      <c r="B966" s="2"/>
      <c r="C966" s="1"/>
      <c r="D966" s="208"/>
      <c r="E966" s="208"/>
      <c r="G966" s="4"/>
      <c r="H966" s="1"/>
    </row>
    <row r="967" spans="1:8" ht="19.5">
      <c r="A967" s="1"/>
      <c r="B967" s="2"/>
      <c r="C967" s="1"/>
      <c r="D967" s="208"/>
      <c r="E967" s="208"/>
      <c r="G967" s="4"/>
      <c r="H967" s="1"/>
    </row>
    <row r="968" spans="1:8" ht="19.5">
      <c r="A968" s="1"/>
      <c r="B968" s="2"/>
      <c r="C968" s="1"/>
      <c r="D968" s="208"/>
      <c r="E968" s="208"/>
      <c r="G968" s="4"/>
      <c r="H968" s="1"/>
    </row>
    <row r="969" spans="1:8" ht="19.5">
      <c r="A969" s="1"/>
      <c r="B969" s="2"/>
      <c r="C969" s="1"/>
      <c r="D969" s="208"/>
      <c r="E969" s="208"/>
      <c r="G969" s="4"/>
      <c r="H969" s="1"/>
    </row>
    <row r="970" spans="1:8" ht="19.5">
      <c r="A970" s="1"/>
      <c r="B970" s="2"/>
      <c r="C970" s="1"/>
      <c r="D970" s="208"/>
      <c r="E970" s="208"/>
      <c r="G970" s="4"/>
      <c r="H970" s="1"/>
    </row>
    <row r="971" spans="1:8" ht="19.5">
      <c r="A971" s="1"/>
      <c r="B971" s="2"/>
      <c r="C971" s="1"/>
      <c r="D971" s="208"/>
      <c r="E971" s="208"/>
      <c r="G971" s="4"/>
      <c r="H971" s="1"/>
    </row>
    <row r="972" spans="1:8" ht="19.5">
      <c r="A972" s="1"/>
      <c r="B972" s="2"/>
      <c r="C972" s="1"/>
      <c r="D972" s="208"/>
      <c r="E972" s="208"/>
      <c r="G972" s="4"/>
      <c r="H972" s="1"/>
    </row>
    <row r="973" spans="1:8" ht="19.5">
      <c r="A973" s="1"/>
      <c r="B973" s="2"/>
      <c r="C973" s="1"/>
      <c r="D973" s="208"/>
      <c r="E973" s="208"/>
      <c r="G973" s="4"/>
      <c r="H973" s="1"/>
    </row>
    <row r="974" spans="1:8" ht="19.5">
      <c r="A974" s="1"/>
      <c r="B974" s="2"/>
      <c r="C974" s="1"/>
      <c r="D974" s="208"/>
      <c r="E974" s="208"/>
      <c r="G974" s="4"/>
      <c r="H974" s="1"/>
    </row>
    <row r="975" spans="1:8" ht="19.5">
      <c r="A975" s="1"/>
      <c r="B975" s="2"/>
      <c r="C975" s="1"/>
      <c r="D975" s="208"/>
      <c r="E975" s="208"/>
      <c r="G975" s="4"/>
      <c r="H975" s="1"/>
    </row>
    <row r="976" spans="1:8" ht="19.5">
      <c r="A976" s="1"/>
      <c r="B976" s="2"/>
      <c r="C976" s="1"/>
      <c r="D976" s="208"/>
      <c r="E976" s="208"/>
      <c r="G976" s="4"/>
      <c r="H976" s="1"/>
    </row>
    <row r="977" spans="1:8" ht="19.5">
      <c r="A977" s="1"/>
      <c r="B977" s="2"/>
      <c r="C977" s="1"/>
      <c r="D977" s="208"/>
      <c r="E977" s="208"/>
      <c r="G977" s="4"/>
      <c r="H977" s="1"/>
    </row>
    <row r="978" spans="1:8" ht="19.5">
      <c r="A978" s="1"/>
      <c r="B978" s="2"/>
      <c r="C978" s="1"/>
      <c r="D978" s="208"/>
      <c r="E978" s="208"/>
      <c r="G978" s="4"/>
      <c r="H978" s="1"/>
    </row>
    <row r="979" spans="1:8" ht="19.5">
      <c r="A979" s="1"/>
      <c r="B979" s="2"/>
      <c r="C979" s="1"/>
      <c r="D979" s="208"/>
      <c r="E979" s="208"/>
      <c r="G979" s="4"/>
      <c r="H979" s="1"/>
    </row>
    <row r="980" spans="1:8" ht="19.5">
      <c r="A980" s="1"/>
      <c r="B980" s="2"/>
      <c r="C980" s="1"/>
      <c r="D980" s="208"/>
      <c r="E980" s="208"/>
      <c r="G980" s="4"/>
      <c r="H980" s="1"/>
    </row>
    <row r="981" spans="1:8" ht="19.5">
      <c r="A981" s="1"/>
      <c r="B981" s="2"/>
      <c r="C981" s="1"/>
      <c r="D981" s="208"/>
      <c r="E981" s="208"/>
      <c r="G981" s="4"/>
      <c r="H981" s="1"/>
    </row>
    <row r="982" spans="1:8" ht="19.5">
      <c r="A982" s="1"/>
      <c r="B982" s="2"/>
      <c r="C982" s="1"/>
      <c r="D982" s="208"/>
      <c r="E982" s="208"/>
      <c r="G982" s="4"/>
      <c r="H982" s="1"/>
    </row>
    <row r="983" spans="1:8" ht="19.5">
      <c r="A983" s="1"/>
      <c r="B983" s="2"/>
      <c r="C983" s="1"/>
      <c r="D983" s="208"/>
      <c r="E983" s="208"/>
      <c r="G983" s="4"/>
      <c r="H983" s="1"/>
    </row>
    <row r="984" spans="1:8" ht="19.5">
      <c r="A984" s="1"/>
      <c r="B984" s="2"/>
      <c r="C984" s="1"/>
      <c r="D984" s="208"/>
      <c r="E984" s="208"/>
      <c r="G984" s="4"/>
      <c r="H984" s="1"/>
    </row>
    <row r="985" spans="1:8" ht="19.5">
      <c r="A985" s="1"/>
      <c r="B985" s="2"/>
      <c r="C985" s="1"/>
      <c r="D985" s="208"/>
      <c r="E985" s="208"/>
      <c r="G985" s="4"/>
      <c r="H985" s="1"/>
    </row>
    <row r="986" spans="1:8" ht="19.5">
      <c r="A986" s="1"/>
      <c r="B986" s="2"/>
      <c r="C986" s="1"/>
      <c r="D986" s="208"/>
      <c r="E986" s="208"/>
      <c r="G986" s="4"/>
      <c r="H986" s="1"/>
    </row>
    <row r="987" spans="1:8" ht="19.5">
      <c r="A987" s="1"/>
      <c r="B987" s="2"/>
      <c r="C987" s="1"/>
      <c r="D987" s="208"/>
      <c r="E987" s="208"/>
      <c r="G987" s="4"/>
      <c r="H987" s="1"/>
    </row>
    <row r="988" spans="1:8" ht="19.5">
      <c r="A988" s="1"/>
      <c r="B988" s="2"/>
      <c r="C988" s="1"/>
      <c r="D988" s="208"/>
      <c r="E988" s="208"/>
      <c r="G988" s="4"/>
      <c r="H988" s="1"/>
    </row>
    <row r="989" spans="1:8" ht="19.5">
      <c r="A989" s="1"/>
      <c r="B989" s="2"/>
      <c r="C989" s="1"/>
      <c r="D989" s="208"/>
      <c r="E989" s="208"/>
      <c r="G989" s="4"/>
      <c r="H989" s="1"/>
    </row>
    <row r="990" spans="1:8" ht="19.5">
      <c r="A990" s="1"/>
      <c r="B990" s="2"/>
      <c r="C990" s="1"/>
      <c r="D990" s="208"/>
      <c r="E990" s="208"/>
      <c r="G990" s="4"/>
      <c r="H990" s="1"/>
    </row>
    <row r="991" spans="1:8" ht="19.5">
      <c r="A991" s="1"/>
      <c r="B991" s="2"/>
      <c r="C991" s="1"/>
      <c r="D991" s="208"/>
      <c r="E991" s="208"/>
      <c r="G991" s="4"/>
      <c r="H991" s="1"/>
    </row>
    <row r="992" spans="1:8" ht="19.5">
      <c r="A992" s="1"/>
      <c r="B992" s="2"/>
      <c r="C992" s="1"/>
      <c r="D992" s="208"/>
      <c r="E992" s="208"/>
      <c r="G992" s="4"/>
      <c r="H992" s="1"/>
    </row>
    <row r="993" spans="1:8" ht="19.5">
      <c r="A993" s="1"/>
      <c r="B993" s="2"/>
      <c r="C993" s="1"/>
      <c r="D993" s="208"/>
      <c r="E993" s="208"/>
      <c r="G993" s="4"/>
      <c r="H993" s="1"/>
    </row>
    <row r="994" spans="1:8" ht="19.5">
      <c r="A994" s="1"/>
      <c r="B994" s="2"/>
      <c r="C994" s="1"/>
      <c r="D994" s="208"/>
      <c r="E994" s="208"/>
      <c r="G994" s="4"/>
      <c r="H994" s="1"/>
    </row>
    <row r="995" spans="1:8" ht="19.5">
      <c r="A995" s="1"/>
      <c r="B995" s="2"/>
      <c r="C995" s="1"/>
      <c r="D995" s="208"/>
      <c r="E995" s="208"/>
      <c r="G995" s="4"/>
      <c r="H995" s="1"/>
    </row>
  </sheetData>
  <mergeCells count="6">
    <mergeCell ref="I43:J43"/>
    <mergeCell ref="C1:E1"/>
    <mergeCell ref="B2:C2"/>
    <mergeCell ref="I37:J37"/>
    <mergeCell ref="I38:J38"/>
    <mergeCell ref="I42:J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008"/>
  <sheetViews>
    <sheetView workbookViewId="0"/>
  </sheetViews>
  <sheetFormatPr baseColWidth="10" defaultColWidth="14.42578125" defaultRowHeight="15" customHeight="1"/>
  <cols>
    <col min="1" max="1" width="7" customWidth="1"/>
    <col min="2" max="2" width="13.85546875" customWidth="1"/>
    <col min="3" max="3" width="91.5703125" customWidth="1"/>
    <col min="4" max="4" width="11.7109375" customWidth="1"/>
    <col min="5" max="5" width="11.42578125" customWidth="1"/>
    <col min="6" max="6" width="13.42578125" customWidth="1"/>
    <col min="7" max="7" width="18.5703125" customWidth="1"/>
    <col min="8" max="8" width="14.28515625" customWidth="1"/>
    <col min="9" max="9" width="13.85546875" customWidth="1"/>
    <col min="11" max="11" width="21" customWidth="1"/>
  </cols>
  <sheetData>
    <row r="1" spans="1:39" ht="23.25" customHeight="1">
      <c r="A1" s="1"/>
      <c r="B1" s="1"/>
      <c r="C1" s="506" t="s">
        <v>96</v>
      </c>
      <c r="D1" s="507"/>
      <c r="E1" s="508"/>
      <c r="F1" s="3" t="s">
        <v>0</v>
      </c>
      <c r="G1" s="4"/>
      <c r="H1" s="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1.5" customHeight="1">
      <c r="A2" s="6"/>
      <c r="B2" s="514" t="s">
        <v>97</v>
      </c>
      <c r="C2" s="510"/>
      <c r="D2" s="7">
        <f>SUM(D4:D55)</f>
        <v>1332500</v>
      </c>
      <c r="E2" s="7">
        <f>SUM(E4:E74)</f>
        <v>1323080</v>
      </c>
      <c r="F2" s="227">
        <f>SUM(D2-E2)</f>
        <v>9420</v>
      </c>
      <c r="G2" s="228"/>
      <c r="H2" s="6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39" ht="23.25" customHeight="1">
      <c r="A3" s="1"/>
      <c r="B3" s="12" t="s">
        <v>2</v>
      </c>
      <c r="C3" s="12" t="s">
        <v>3</v>
      </c>
      <c r="D3" s="13" t="s">
        <v>4</v>
      </c>
      <c r="E3" s="13" t="s">
        <v>5</v>
      </c>
      <c r="F3" s="13" t="s">
        <v>0</v>
      </c>
      <c r="G3" s="229"/>
      <c r="H3" s="1"/>
      <c r="I3" s="5"/>
    </row>
    <row r="4" spans="1:39" ht="15" customHeight="1">
      <c r="A4" s="15"/>
      <c r="B4" s="16"/>
      <c r="C4" s="17" t="s">
        <v>98</v>
      </c>
      <c r="D4" s="18"/>
      <c r="E4" s="230"/>
      <c r="F4" s="20">
        <v>0</v>
      </c>
      <c r="G4" s="21"/>
      <c r="H4" s="15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1:39" ht="15" customHeight="1">
      <c r="A5" s="15"/>
      <c r="B5" s="16"/>
      <c r="C5" s="23"/>
      <c r="D5" s="24"/>
      <c r="E5" s="231"/>
      <c r="F5" s="26"/>
      <c r="G5" s="21"/>
      <c r="H5" s="15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</row>
    <row r="6" spans="1:39" ht="15" customHeight="1">
      <c r="A6" s="15"/>
      <c r="B6" s="27"/>
      <c r="C6" s="232" t="s">
        <v>7</v>
      </c>
      <c r="D6" s="233"/>
      <c r="E6" s="234"/>
      <c r="F6" s="235"/>
      <c r="G6" s="236">
        <f>SUM(D7:D9)</f>
        <v>113000</v>
      </c>
      <c r="H6" s="15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pans="1:39" ht="15" customHeight="1">
      <c r="A7" s="15"/>
      <c r="B7" s="237">
        <v>46153</v>
      </c>
      <c r="C7" s="238" t="s">
        <v>99</v>
      </c>
      <c r="D7" s="239">
        <v>60000</v>
      </c>
      <c r="E7" s="240"/>
      <c r="F7" s="119"/>
      <c r="G7" s="217"/>
      <c r="H7" s="15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15" customHeight="1">
      <c r="A8" s="15"/>
      <c r="B8" s="237">
        <v>46168</v>
      </c>
      <c r="C8" s="241" t="s">
        <v>100</v>
      </c>
      <c r="D8" s="101">
        <v>3000</v>
      </c>
      <c r="E8" s="242"/>
      <c r="F8" s="37"/>
      <c r="G8" s="38"/>
      <c r="H8" s="15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pans="1:39" ht="15" customHeight="1">
      <c r="A9" s="15"/>
      <c r="B9" s="237">
        <v>46168</v>
      </c>
      <c r="C9" s="84" t="s">
        <v>101</v>
      </c>
      <c r="D9" s="105">
        <v>50000</v>
      </c>
      <c r="E9" s="230"/>
      <c r="F9" s="20"/>
      <c r="G9" s="38"/>
      <c r="H9" s="15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pans="1:39" ht="15" customHeight="1">
      <c r="A10" s="15"/>
      <c r="B10" s="243"/>
      <c r="C10" s="244"/>
      <c r="D10" s="245"/>
      <c r="E10" s="246"/>
      <c r="F10" s="247"/>
      <c r="G10" s="248"/>
      <c r="H10" s="49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</row>
    <row r="11" spans="1:39" ht="15" customHeight="1">
      <c r="A11" s="15"/>
      <c r="B11" s="249"/>
      <c r="C11" s="244" t="s">
        <v>12</v>
      </c>
      <c r="D11" s="250"/>
      <c r="E11" s="251"/>
      <c r="F11" s="252"/>
      <c r="G11" s="253">
        <f>SUM(E12:E17)</f>
        <v>0</v>
      </c>
      <c r="H11" s="49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39" ht="15" customHeight="1">
      <c r="A12" s="73"/>
      <c r="B12" s="254"/>
      <c r="C12" s="68" t="s">
        <v>13</v>
      </c>
      <c r="D12" s="69"/>
      <c r="E12" s="255"/>
      <c r="F12" s="71"/>
      <c r="G12" s="72"/>
      <c r="H12" s="73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</row>
    <row r="13" spans="1:39" ht="15" customHeight="1">
      <c r="A13" s="15"/>
      <c r="B13" s="237"/>
      <c r="C13" s="256"/>
      <c r="D13" s="178"/>
      <c r="E13" s="257"/>
      <c r="F13" s="81"/>
      <c r="G13" s="77"/>
      <c r="H13" s="15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39" ht="15" customHeight="1">
      <c r="A14" s="15"/>
      <c r="B14" s="258"/>
      <c r="C14" s="259"/>
      <c r="D14" s="178"/>
      <c r="E14" s="260"/>
      <c r="F14" s="81"/>
      <c r="G14" s="77"/>
      <c r="H14" s="15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39" ht="15" customHeight="1">
      <c r="A15" s="15"/>
      <c r="B15" s="258"/>
      <c r="C15" s="79" t="s">
        <v>14</v>
      </c>
      <c r="D15" s="46"/>
      <c r="E15" s="260"/>
      <c r="F15" s="82"/>
      <c r="G15" s="77"/>
      <c r="H15" s="15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15" customHeight="1">
      <c r="A16" s="15"/>
      <c r="B16" s="83"/>
      <c r="C16" s="84"/>
      <c r="D16" s="260"/>
      <c r="E16" s="261"/>
      <c r="F16" s="20"/>
      <c r="G16" s="85"/>
      <c r="H16" s="262"/>
      <c r="I16" s="87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1:39" ht="15" customHeight="1">
      <c r="A17" s="15"/>
      <c r="B17" s="83"/>
      <c r="C17" s="88"/>
      <c r="D17" s="260"/>
      <c r="E17" s="230"/>
      <c r="F17" s="20"/>
      <c r="G17" s="85" t="s">
        <v>102</v>
      </c>
      <c r="H17" s="262" t="s">
        <v>16</v>
      </c>
      <c r="I17" s="87" t="s">
        <v>18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" customHeight="1">
      <c r="A18" s="15"/>
      <c r="B18" s="90"/>
      <c r="C18" s="263" t="s">
        <v>19</v>
      </c>
      <c r="D18" s="264"/>
      <c r="E18" s="265"/>
      <c r="F18" s="266"/>
      <c r="G18" s="267">
        <f>SUM(D19:D29)</f>
        <v>1219500</v>
      </c>
      <c r="H18" s="96">
        <v>1293500</v>
      </c>
      <c r="I18" s="97">
        <f>SUM(G18-H18)</f>
        <v>-74000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39" ht="18" customHeight="1">
      <c r="A19" s="15"/>
      <c r="B19" s="268"/>
      <c r="C19" s="99"/>
      <c r="D19" s="269"/>
      <c r="E19" s="260"/>
      <c r="F19" s="82"/>
      <c r="H19" s="15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39" ht="18" customHeight="1">
      <c r="A20" s="15"/>
      <c r="B20" s="254">
        <v>46149</v>
      </c>
      <c r="C20" s="101" t="s">
        <v>103</v>
      </c>
      <c r="D20" s="270">
        <v>63000</v>
      </c>
      <c r="E20" s="271"/>
      <c r="F20" s="81"/>
      <c r="G20" s="104"/>
      <c r="H20" s="15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39" ht="16.5" customHeight="1">
      <c r="A21" s="15"/>
      <c r="B21" s="254">
        <v>46145</v>
      </c>
      <c r="C21" s="105" t="s">
        <v>21</v>
      </c>
      <c r="D21" s="270">
        <v>100000</v>
      </c>
      <c r="E21" s="260"/>
      <c r="F21" s="82"/>
      <c r="G21" s="106"/>
      <c r="H21" s="15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39" ht="17.25" customHeight="1">
      <c r="A22" s="15"/>
      <c r="B22" s="254">
        <v>46148</v>
      </c>
      <c r="C22" s="105" t="s">
        <v>22</v>
      </c>
      <c r="D22" s="272">
        <v>126000</v>
      </c>
      <c r="E22" s="260"/>
      <c r="F22" s="82"/>
      <c r="G22" s="106"/>
      <c r="H22" s="15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 ht="17.25" customHeight="1">
      <c r="A23" s="15"/>
      <c r="B23" s="254">
        <v>46149</v>
      </c>
      <c r="C23" s="105" t="s">
        <v>23</v>
      </c>
      <c r="D23" s="272">
        <v>53000</v>
      </c>
      <c r="E23" s="260"/>
      <c r="F23" s="82"/>
      <c r="G23" s="106"/>
      <c r="H23" s="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 ht="17.25" customHeight="1">
      <c r="A24" s="15"/>
      <c r="B24" s="254">
        <v>46149</v>
      </c>
      <c r="C24" s="105" t="s">
        <v>24</v>
      </c>
      <c r="D24" s="108">
        <v>90000</v>
      </c>
      <c r="E24" s="260"/>
      <c r="F24" s="82"/>
      <c r="G24" s="106"/>
      <c r="H24" s="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</row>
    <row r="25" spans="1:39" ht="17.25" customHeight="1">
      <c r="A25" s="15"/>
      <c r="B25" s="254">
        <v>46152</v>
      </c>
      <c r="C25" s="108" t="s">
        <v>25</v>
      </c>
      <c r="D25" s="108">
        <v>85000</v>
      </c>
      <c r="E25" s="260"/>
      <c r="F25" s="82"/>
      <c r="G25" s="106"/>
      <c r="H25" s="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39" ht="17.25" customHeight="1">
      <c r="A26" s="15"/>
      <c r="B26" s="254">
        <v>46152</v>
      </c>
      <c r="C26" s="105" t="s">
        <v>67</v>
      </c>
      <c r="D26" s="108">
        <v>85000</v>
      </c>
      <c r="E26" s="260"/>
      <c r="F26" s="82"/>
      <c r="G26" s="106"/>
      <c r="H26" s="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39" ht="17.25" customHeight="1">
      <c r="A27" s="15"/>
      <c r="B27" s="254"/>
      <c r="C27" s="273" t="s">
        <v>104</v>
      </c>
      <c r="D27" s="108">
        <v>0</v>
      </c>
      <c r="E27" s="260"/>
      <c r="F27" s="82"/>
      <c r="G27" s="106"/>
      <c r="H27" s="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39" ht="17.25" customHeight="1">
      <c r="A28" s="15"/>
      <c r="B28" s="254">
        <v>46150</v>
      </c>
      <c r="C28" s="109" t="s">
        <v>105</v>
      </c>
      <c r="D28" s="108">
        <v>617500</v>
      </c>
      <c r="E28" s="260"/>
      <c r="F28" s="82"/>
      <c r="G28" s="106"/>
      <c r="H28" s="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39" ht="17.25" customHeight="1">
      <c r="A29" s="15"/>
      <c r="B29" s="83"/>
      <c r="C29" s="111"/>
      <c r="D29" s="20"/>
      <c r="E29" s="260"/>
      <c r="F29" s="20"/>
      <c r="G29" s="77"/>
      <c r="H29" s="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 ht="17.25" customHeight="1">
      <c r="A30" s="15"/>
      <c r="B30" s="113"/>
      <c r="C30" s="274" t="s">
        <v>29</v>
      </c>
      <c r="D30" s="233"/>
      <c r="E30" s="234"/>
      <c r="F30" s="235"/>
      <c r="G30" s="267">
        <f>SUM(E31)</f>
        <v>700000</v>
      </c>
      <c r="H30" s="115">
        <v>700000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</row>
    <row r="31" spans="1:39" ht="33.75" customHeight="1">
      <c r="A31" s="15"/>
      <c r="B31" s="254">
        <v>46153</v>
      </c>
      <c r="C31" s="116" t="s">
        <v>106</v>
      </c>
      <c r="D31" s="117"/>
      <c r="E31" s="275">
        <v>700000</v>
      </c>
      <c r="F31" s="119"/>
      <c r="G31" s="77"/>
      <c r="H31" s="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 ht="17.25" customHeight="1">
      <c r="A32" s="15"/>
      <c r="B32" s="83"/>
      <c r="C32" s="120"/>
      <c r="D32" s="26"/>
      <c r="E32" s="276"/>
      <c r="F32" s="26"/>
      <c r="G32" s="77"/>
      <c r="H32" s="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</row>
    <row r="33" spans="1:39" ht="17.25" customHeight="1">
      <c r="A33" s="15"/>
      <c r="B33" s="123"/>
      <c r="C33" s="277" t="s">
        <v>31</v>
      </c>
      <c r="D33" s="233"/>
      <c r="E33" s="234"/>
      <c r="F33" s="235"/>
      <c r="G33" s="267">
        <f>SUM(E34:E37)</f>
        <v>163390</v>
      </c>
      <c r="H33" s="125">
        <v>178040</v>
      </c>
      <c r="I33" s="22" t="s">
        <v>107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39" ht="15" customHeight="1">
      <c r="A34" s="15"/>
      <c r="B34" s="237">
        <v>46150</v>
      </c>
      <c r="C34" s="126" t="s">
        <v>108</v>
      </c>
      <c r="D34" s="127"/>
      <c r="E34" s="278">
        <v>12490</v>
      </c>
      <c r="F34" s="119"/>
      <c r="G34" s="77"/>
      <c r="H34" s="1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 ht="15" customHeight="1">
      <c r="A35" s="15"/>
      <c r="B35" s="237">
        <v>46162</v>
      </c>
      <c r="C35" s="130" t="s">
        <v>109</v>
      </c>
      <c r="D35" s="46"/>
      <c r="E35" s="279">
        <v>92200</v>
      </c>
      <c r="F35" s="82"/>
      <c r="G35" s="77"/>
      <c r="H35" s="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39" ht="15" customHeight="1">
      <c r="A36" s="15"/>
      <c r="B36" s="237">
        <v>46162</v>
      </c>
      <c r="C36" s="131" t="s">
        <v>110</v>
      </c>
      <c r="D36" s="46"/>
      <c r="E36" s="279">
        <v>58700</v>
      </c>
      <c r="F36" s="82"/>
      <c r="G36" s="77"/>
      <c r="H36" s="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</row>
    <row r="37" spans="1:39" ht="15" customHeight="1">
      <c r="A37" s="15"/>
      <c r="B37" s="132"/>
      <c r="C37" s="133"/>
      <c r="D37" s="46"/>
      <c r="E37" s="260"/>
      <c r="F37" s="82"/>
      <c r="G37" s="77"/>
      <c r="H37" s="1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39" ht="15" customHeight="1">
      <c r="A38" s="15"/>
      <c r="B38" s="27"/>
      <c r="C38" s="232" t="s">
        <v>37</v>
      </c>
      <c r="D38" s="233"/>
      <c r="E38" s="234"/>
      <c r="F38" s="235"/>
      <c r="G38" s="267">
        <f>SUM(E39:E46)</f>
        <v>80000</v>
      </c>
      <c r="H38" s="125">
        <v>90000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39" ht="15" customHeight="1">
      <c r="A39" s="15"/>
      <c r="B39" s="237">
        <v>46144</v>
      </c>
      <c r="C39" s="134" t="s">
        <v>111</v>
      </c>
      <c r="D39" s="80"/>
      <c r="E39" s="42">
        <v>10000</v>
      </c>
      <c r="F39" s="20"/>
      <c r="G39" s="77"/>
      <c r="H39" s="1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</row>
    <row r="40" spans="1:39" ht="15" customHeight="1">
      <c r="A40" s="15"/>
      <c r="B40" s="237">
        <v>46146</v>
      </c>
      <c r="C40" s="134" t="s">
        <v>112</v>
      </c>
      <c r="D40" s="80"/>
      <c r="E40" s="280">
        <v>10000</v>
      </c>
      <c r="F40" s="20"/>
      <c r="G40" s="77"/>
      <c r="H40" s="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</row>
    <row r="41" spans="1:39" ht="15" customHeight="1">
      <c r="A41" s="15"/>
      <c r="B41" s="237">
        <v>46147</v>
      </c>
      <c r="C41" s="134" t="s">
        <v>113</v>
      </c>
      <c r="D41" s="136"/>
      <c r="E41" s="280">
        <v>10000</v>
      </c>
      <c r="F41" s="82"/>
      <c r="G41" s="77"/>
      <c r="H41" s="1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</row>
    <row r="42" spans="1:39" ht="15" customHeight="1">
      <c r="A42" s="15"/>
      <c r="B42" s="237">
        <v>46150</v>
      </c>
      <c r="C42" s="134" t="s">
        <v>114</v>
      </c>
      <c r="D42" s="136"/>
      <c r="E42" s="280">
        <v>10000</v>
      </c>
      <c r="F42" s="20"/>
      <c r="G42" s="22"/>
      <c r="H42" s="15"/>
      <c r="I42" s="22"/>
      <c r="J42" s="15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</row>
    <row r="43" spans="1:39" ht="15" customHeight="1">
      <c r="A43" s="15"/>
      <c r="B43" s="237">
        <v>46153</v>
      </c>
      <c r="C43" s="134" t="s">
        <v>115</v>
      </c>
      <c r="D43" s="80"/>
      <c r="E43" s="280">
        <v>10000</v>
      </c>
      <c r="F43" s="20"/>
      <c r="G43" s="22"/>
      <c r="H43" s="1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39" ht="15" customHeight="1">
      <c r="A44" s="15"/>
      <c r="B44" s="237">
        <v>46157</v>
      </c>
      <c r="C44" s="134" t="s">
        <v>116</v>
      </c>
      <c r="D44" s="137"/>
      <c r="E44" s="280">
        <v>10000</v>
      </c>
      <c r="F44" s="139"/>
      <c r="G44" s="77"/>
      <c r="H44" s="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39" ht="15" customHeight="1">
      <c r="A45" s="15"/>
      <c r="B45" s="237">
        <v>46158</v>
      </c>
      <c r="C45" s="134" t="s">
        <v>117</v>
      </c>
      <c r="D45" s="80"/>
      <c r="E45" s="146">
        <v>10000</v>
      </c>
      <c r="F45" s="139"/>
      <c r="G45" s="77"/>
      <c r="H45" s="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</row>
    <row r="46" spans="1:39" ht="15" customHeight="1">
      <c r="A46" s="59"/>
      <c r="B46" s="237">
        <v>46161</v>
      </c>
      <c r="C46" s="134" t="s">
        <v>118</v>
      </c>
      <c r="D46" s="46"/>
      <c r="E46" s="146">
        <v>10000</v>
      </c>
      <c r="F46" s="20"/>
      <c r="G46" s="140"/>
      <c r="H46" s="141"/>
      <c r="I46" s="40"/>
      <c r="J46" s="40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</row>
    <row r="47" spans="1:39" ht="15" customHeight="1">
      <c r="A47" s="59"/>
      <c r="B47" s="237">
        <v>46165</v>
      </c>
      <c r="C47" s="134" t="s">
        <v>119</v>
      </c>
      <c r="D47" s="46"/>
      <c r="E47" s="146">
        <v>10000</v>
      </c>
      <c r="F47" s="20"/>
      <c r="G47" s="142"/>
      <c r="H47" s="143"/>
      <c r="I47" s="141"/>
      <c r="J47" s="144"/>
      <c r="K47" s="145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</row>
    <row r="48" spans="1:39" ht="15" customHeight="1">
      <c r="A48" s="59"/>
      <c r="B48" s="237">
        <v>46167</v>
      </c>
      <c r="C48" s="134" t="s">
        <v>120</v>
      </c>
      <c r="D48" s="46"/>
      <c r="E48" s="146">
        <v>10000</v>
      </c>
      <c r="F48" s="20"/>
      <c r="G48" s="142"/>
      <c r="H48" s="143"/>
      <c r="I48" s="141"/>
      <c r="J48" s="144"/>
      <c r="K48" s="145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</row>
    <row r="49" spans="1:39" ht="15" customHeight="1">
      <c r="A49" s="59"/>
      <c r="B49" s="237">
        <v>46169</v>
      </c>
      <c r="C49" s="134" t="s">
        <v>121</v>
      </c>
      <c r="D49" s="46"/>
      <c r="E49" s="146">
        <v>10000</v>
      </c>
      <c r="F49" s="157"/>
      <c r="G49" s="142"/>
      <c r="H49" s="143"/>
      <c r="I49" s="141"/>
      <c r="J49" s="144"/>
      <c r="K49" s="145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</row>
    <row r="50" spans="1:39" ht="15" customHeight="1">
      <c r="A50" s="59"/>
      <c r="B50" s="75"/>
      <c r="C50" s="17"/>
      <c r="D50" s="46"/>
      <c r="E50" s="242"/>
      <c r="F50" s="20"/>
      <c r="G50" s="104"/>
      <c r="H50" s="153"/>
      <c r="I50" s="15"/>
      <c r="J50" s="154"/>
      <c r="K50" s="145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39" ht="15" customHeight="1">
      <c r="A51" s="59"/>
      <c r="B51" s="75"/>
      <c r="C51" s="17" t="s">
        <v>43</v>
      </c>
      <c r="D51" s="46"/>
      <c r="E51" s="230"/>
      <c r="F51" s="20"/>
      <c r="G51" s="281">
        <f>SUM(E52:E53)</f>
        <v>124700</v>
      </c>
      <c r="H51" s="153">
        <v>200460</v>
      </c>
      <c r="I51" s="15" t="s">
        <v>44</v>
      </c>
      <c r="J51" s="154">
        <v>285460</v>
      </c>
      <c r="K51" s="145" t="s">
        <v>45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</row>
    <row r="52" spans="1:39" ht="15" customHeight="1">
      <c r="A52" s="59"/>
      <c r="B52" s="237">
        <v>46148</v>
      </c>
      <c r="C52" s="155" t="s">
        <v>122</v>
      </c>
      <c r="D52" s="53"/>
      <c r="E52" s="157">
        <v>124700</v>
      </c>
      <c r="F52" s="157"/>
      <c r="G52" s="158"/>
      <c r="H52" s="143"/>
      <c r="I52" s="22"/>
      <c r="J52" s="15">
        <f>SUM(E52:E55)</f>
        <v>220690</v>
      </c>
      <c r="K52" s="15"/>
      <c r="L52" s="145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</row>
    <row r="53" spans="1:39" ht="15" customHeight="1">
      <c r="A53" s="59"/>
      <c r="B53" s="282"/>
      <c r="C53" s="160"/>
      <c r="D53" s="161"/>
      <c r="E53" s="230"/>
      <c r="F53" s="20"/>
      <c r="G53" s="162"/>
      <c r="H53" s="1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</row>
    <row r="54" spans="1:39" ht="15" customHeight="1">
      <c r="A54" s="59"/>
      <c r="B54" s="75"/>
      <c r="C54" s="196" t="s">
        <v>48</v>
      </c>
      <c r="D54" s="46"/>
      <c r="E54" s="230"/>
      <c r="F54" s="20"/>
      <c r="G54" s="283">
        <f>SUM(E55:E56)</f>
        <v>95990</v>
      </c>
      <c r="H54" s="284">
        <v>85000</v>
      </c>
      <c r="I54" s="15" t="s">
        <v>44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</row>
    <row r="55" spans="1:39" ht="15" customHeight="1">
      <c r="A55" s="59"/>
      <c r="B55" s="237">
        <v>46151</v>
      </c>
      <c r="C55" s="165" t="s">
        <v>123</v>
      </c>
      <c r="D55" s="285"/>
      <c r="E55" s="286">
        <v>95990</v>
      </c>
      <c r="F55" s="20"/>
      <c r="G55" s="162"/>
      <c r="H55" s="15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</row>
    <row r="56" spans="1:39" ht="15" customHeight="1">
      <c r="A56" s="59"/>
      <c r="B56" s="282"/>
      <c r="C56" s="160"/>
      <c r="D56" s="46"/>
      <c r="E56" s="230"/>
      <c r="F56" s="20"/>
      <c r="G56" s="167"/>
      <c r="H56" s="1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</row>
    <row r="57" spans="1:39" ht="15" customHeight="1">
      <c r="A57" s="15"/>
      <c r="B57" s="27"/>
      <c r="C57" s="196" t="s">
        <v>50</v>
      </c>
      <c r="D57" s="46"/>
      <c r="E57" s="230"/>
      <c r="F57" s="20"/>
      <c r="G57" s="287">
        <f>SUM(E58:E62)</f>
        <v>55000</v>
      </c>
      <c r="H57" s="49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39" ht="15" customHeight="1">
      <c r="A58" s="15"/>
      <c r="B58" s="237">
        <v>46147</v>
      </c>
      <c r="C58" s="173" t="s">
        <v>124</v>
      </c>
      <c r="D58" s="242"/>
      <c r="E58" s="288">
        <v>5000</v>
      </c>
      <c r="F58" s="37"/>
      <c r="G58" s="176"/>
      <c r="H58" s="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39" ht="15" customHeight="1">
      <c r="A59" s="15"/>
      <c r="B59" s="237">
        <v>46153</v>
      </c>
      <c r="C59" s="177" t="s">
        <v>125</v>
      </c>
      <c r="D59" s="178"/>
      <c r="E59" s="288">
        <v>5000</v>
      </c>
      <c r="F59" s="20"/>
      <c r="G59" s="48"/>
      <c r="H59" s="1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</row>
    <row r="60" spans="1:39" ht="15" customHeight="1">
      <c r="A60" s="15"/>
      <c r="B60" s="237">
        <v>46157</v>
      </c>
      <c r="C60" s="177" t="s">
        <v>126</v>
      </c>
      <c r="D60" s="178"/>
      <c r="E60" s="288">
        <v>5000</v>
      </c>
      <c r="F60" s="20"/>
      <c r="G60" s="48"/>
      <c r="H60" s="1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</row>
    <row r="61" spans="1:39" ht="15" customHeight="1">
      <c r="A61" s="15"/>
      <c r="B61" s="237">
        <v>46168</v>
      </c>
      <c r="C61" s="180" t="s">
        <v>127</v>
      </c>
      <c r="D61" s="46"/>
      <c r="E61" s="261">
        <v>40000</v>
      </c>
      <c r="F61" s="20"/>
      <c r="G61" s="48"/>
      <c r="H61" s="1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</row>
    <row r="62" spans="1:39" ht="15" customHeight="1">
      <c r="A62" s="15"/>
      <c r="B62" s="282"/>
      <c r="C62" s="196"/>
      <c r="D62" s="46"/>
      <c r="E62" s="230"/>
      <c r="F62" s="20"/>
      <c r="G62" s="48"/>
      <c r="H62" s="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</row>
    <row r="63" spans="1:39" ht="15" customHeight="1">
      <c r="A63" s="15"/>
      <c r="B63" s="282"/>
      <c r="C63" s="289" t="s">
        <v>128</v>
      </c>
      <c r="D63" s="290"/>
      <c r="E63" s="291"/>
      <c r="F63" s="292"/>
      <c r="G63" s="293">
        <f>SUM(E64:E66)</f>
        <v>0</v>
      </c>
      <c r="H63" s="1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</row>
    <row r="64" spans="1:39" ht="15" customHeight="1">
      <c r="A64" s="188"/>
      <c r="B64" s="294"/>
      <c r="C64" s="189" t="s">
        <v>88</v>
      </c>
      <c r="D64" s="295"/>
      <c r="E64" s="296"/>
      <c r="F64" s="192"/>
      <c r="G64" s="193"/>
      <c r="H64" s="188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</row>
    <row r="65" spans="1:39" ht="12.75" customHeight="1">
      <c r="A65" s="15"/>
      <c r="B65" s="294"/>
      <c r="C65" s="157"/>
      <c r="D65" s="20"/>
      <c r="E65" s="296"/>
      <c r="F65" s="20"/>
      <c r="G65" s="193"/>
      <c r="H65" s="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</row>
    <row r="66" spans="1:39" ht="15" customHeight="1">
      <c r="A66" s="15"/>
      <c r="B66" s="294"/>
      <c r="C66" s="157"/>
      <c r="D66" s="20"/>
      <c r="E66" s="296"/>
      <c r="F66" s="297"/>
      <c r="G66" s="248"/>
      <c r="H66" s="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</row>
    <row r="67" spans="1:39" ht="15" customHeight="1">
      <c r="A67" s="15"/>
      <c r="B67" s="298"/>
      <c r="C67" s="299"/>
      <c r="D67" s="300"/>
      <c r="E67" s="301"/>
      <c r="F67" s="297"/>
      <c r="G67" s="248"/>
      <c r="H67" s="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</row>
    <row r="68" spans="1:39" ht="15" customHeight="1">
      <c r="A68" s="15"/>
      <c r="B68" s="123"/>
      <c r="C68" s="232" t="s">
        <v>60</v>
      </c>
      <c r="D68" s="233"/>
      <c r="E68" s="234"/>
      <c r="F68" s="235"/>
      <c r="G68" s="302">
        <f>SUM(E69:E70)</f>
        <v>50000</v>
      </c>
      <c r="H68" s="1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1:39" ht="15" customHeight="1">
      <c r="A69" s="15"/>
      <c r="B69" s="237">
        <v>46146</v>
      </c>
      <c r="C69" s="303" t="s">
        <v>129</v>
      </c>
      <c r="D69" s="304"/>
      <c r="E69" s="240">
        <v>16000</v>
      </c>
      <c r="F69" s="119"/>
      <c r="G69" s="77"/>
      <c r="H69" s="1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</row>
    <row r="70" spans="1:39" ht="15" customHeight="1">
      <c r="A70" s="59"/>
      <c r="B70" s="237">
        <v>46150</v>
      </c>
      <c r="C70" s="157" t="s">
        <v>130</v>
      </c>
      <c r="D70" s="20"/>
      <c r="E70" s="305">
        <v>34000</v>
      </c>
      <c r="F70" s="20"/>
      <c r="G70" s="207"/>
      <c r="H70" s="1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</row>
    <row r="71" spans="1:39" ht="19.5">
      <c r="A71" s="1"/>
      <c r="B71" s="306" t="s">
        <v>131</v>
      </c>
      <c r="C71" s="157" t="s">
        <v>132</v>
      </c>
      <c r="D71" s="307"/>
      <c r="E71" s="308">
        <v>24000</v>
      </c>
      <c r="F71" s="75"/>
      <c r="G71" s="4"/>
      <c r="H71" s="1"/>
    </row>
    <row r="72" spans="1:39" ht="19.5">
      <c r="A72" s="1"/>
      <c r="B72" s="307"/>
      <c r="C72" s="307"/>
      <c r="D72" s="307"/>
      <c r="E72" s="307"/>
      <c r="F72" s="75"/>
      <c r="G72" s="4"/>
      <c r="H72" s="1"/>
    </row>
    <row r="73" spans="1:39" ht="19.5">
      <c r="A73" s="1"/>
      <c r="B73" s="307"/>
      <c r="C73" s="307"/>
      <c r="D73" s="307"/>
      <c r="E73" s="307"/>
      <c r="F73" s="75"/>
      <c r="G73" s="4"/>
      <c r="H73" s="1"/>
    </row>
    <row r="74" spans="1:39" ht="19.5">
      <c r="A74" s="1"/>
      <c r="B74" s="307"/>
      <c r="C74" s="307"/>
      <c r="D74" s="307"/>
      <c r="E74" s="307"/>
      <c r="F74" s="75"/>
      <c r="G74" s="4"/>
      <c r="H74" s="1"/>
    </row>
    <row r="75" spans="1:39" ht="19.5">
      <c r="A75" s="1"/>
      <c r="B75" s="1"/>
      <c r="C75" s="1"/>
      <c r="D75" s="1"/>
      <c r="E75" s="1"/>
      <c r="G75" s="4"/>
      <c r="H75" s="1"/>
    </row>
    <row r="76" spans="1:39" ht="25.5" customHeight="1">
      <c r="A76" s="1"/>
      <c r="B76" s="1"/>
      <c r="C76" s="309" t="s">
        <v>133</v>
      </c>
      <c r="D76" s="196">
        <f>SUM(D77:D78)</f>
        <v>0</v>
      </c>
      <c r="E76" s="1"/>
      <c r="G76" s="4"/>
      <c r="H76" s="1"/>
    </row>
    <row r="77" spans="1:39" ht="15.75" customHeight="1">
      <c r="A77" s="1"/>
      <c r="B77" s="1"/>
      <c r="C77" s="310"/>
      <c r="D77" s="311"/>
      <c r="E77" s="1"/>
      <c r="G77" s="4"/>
      <c r="H77" s="1"/>
    </row>
    <row r="78" spans="1:39" ht="15" customHeight="1">
      <c r="A78" s="1"/>
      <c r="B78" s="1"/>
      <c r="C78" s="312"/>
      <c r="D78" s="1"/>
      <c r="E78" s="1"/>
      <c r="G78" s="4"/>
      <c r="H78" s="1"/>
    </row>
    <row r="79" spans="1:39" ht="27.75" customHeight="1">
      <c r="A79" s="1"/>
      <c r="B79" s="1"/>
      <c r="C79" s="313" t="s">
        <v>134</v>
      </c>
      <c r="D79" s="314"/>
      <c r="E79" s="1"/>
      <c r="G79" s="4"/>
      <c r="H79" s="1"/>
    </row>
    <row r="80" spans="1:39" ht="15" customHeight="1">
      <c r="A80" s="1"/>
      <c r="B80" s="1"/>
      <c r="C80" s="315"/>
      <c r="D80" s="315"/>
      <c r="E80" s="316"/>
      <c r="G80" s="4"/>
      <c r="H80" s="1"/>
    </row>
    <row r="81" spans="1:8" ht="15" customHeight="1">
      <c r="A81" s="1"/>
      <c r="B81" s="1"/>
      <c r="C81" s="1"/>
      <c r="D81" s="1"/>
      <c r="E81" s="1"/>
      <c r="G81" s="4"/>
      <c r="H81" s="1"/>
    </row>
    <row r="82" spans="1:8" ht="19.5">
      <c r="A82" s="1"/>
      <c r="B82" s="1"/>
      <c r="C82" s="1"/>
      <c r="D82" s="1"/>
      <c r="E82" s="1"/>
      <c r="G82" s="4"/>
      <c r="H82" s="1"/>
    </row>
    <row r="83" spans="1:8" ht="19.5">
      <c r="A83" s="1"/>
      <c r="B83" s="1"/>
      <c r="C83" s="1"/>
      <c r="D83" s="1"/>
      <c r="E83" s="1"/>
      <c r="G83" s="4"/>
      <c r="H83" s="1"/>
    </row>
    <row r="84" spans="1:8" ht="19.5">
      <c r="A84" s="1"/>
      <c r="B84" s="1"/>
      <c r="C84" s="1"/>
      <c r="D84" s="1"/>
      <c r="E84" s="1"/>
      <c r="G84" s="4"/>
      <c r="H84" s="1"/>
    </row>
    <row r="85" spans="1:8" ht="19.5">
      <c r="A85" s="1"/>
      <c r="B85" s="1"/>
      <c r="C85" s="1"/>
      <c r="D85" s="1"/>
      <c r="E85" s="1"/>
      <c r="G85" s="4"/>
      <c r="H85" s="1"/>
    </row>
    <row r="86" spans="1:8" ht="19.5">
      <c r="A86" s="1"/>
      <c r="B86" s="1"/>
      <c r="C86" s="1"/>
      <c r="D86" s="1"/>
      <c r="E86" s="1"/>
      <c r="G86" s="4"/>
      <c r="H86" s="1"/>
    </row>
    <row r="87" spans="1:8" ht="19.5">
      <c r="A87" s="1"/>
      <c r="B87" s="1"/>
      <c r="C87" s="1"/>
      <c r="D87" s="1"/>
      <c r="E87" s="1"/>
      <c r="G87" s="4"/>
      <c r="H87" s="1"/>
    </row>
    <row r="88" spans="1:8" ht="19.5">
      <c r="A88" s="1"/>
      <c r="B88" s="1"/>
      <c r="C88" s="1"/>
      <c r="D88" s="1"/>
      <c r="E88" s="1"/>
      <c r="G88" s="4"/>
      <c r="H88" s="1"/>
    </row>
    <row r="89" spans="1:8" ht="19.5">
      <c r="A89" s="1"/>
      <c r="B89" s="1"/>
      <c r="C89" s="1"/>
      <c r="D89" s="1"/>
      <c r="E89" s="1"/>
      <c r="G89" s="4"/>
      <c r="H89" s="1"/>
    </row>
    <row r="90" spans="1:8" ht="19.5">
      <c r="A90" s="1"/>
      <c r="B90" s="1"/>
      <c r="C90" s="1"/>
      <c r="D90" s="1"/>
      <c r="E90" s="1"/>
      <c r="G90" s="4"/>
      <c r="H90" s="1"/>
    </row>
    <row r="91" spans="1:8" ht="19.5">
      <c r="A91" s="1"/>
      <c r="B91" s="1"/>
      <c r="C91" s="1"/>
      <c r="D91" s="1"/>
      <c r="E91" s="1"/>
      <c r="G91" s="4"/>
      <c r="H91" s="1"/>
    </row>
    <row r="92" spans="1:8" ht="19.5">
      <c r="A92" s="1"/>
      <c r="B92" s="1"/>
      <c r="C92" s="1"/>
      <c r="D92" s="1"/>
      <c r="E92" s="1"/>
      <c r="G92" s="4"/>
      <c r="H92" s="1"/>
    </row>
    <row r="93" spans="1:8" ht="19.5">
      <c r="A93" s="1"/>
      <c r="B93" s="1"/>
      <c r="C93" s="1"/>
      <c r="D93" s="1"/>
      <c r="E93" s="1"/>
      <c r="G93" s="4"/>
      <c r="H93" s="1"/>
    </row>
    <row r="94" spans="1:8" ht="19.5">
      <c r="A94" s="1"/>
      <c r="B94" s="1"/>
      <c r="C94" s="1"/>
      <c r="D94" s="1"/>
      <c r="E94" s="1"/>
      <c r="G94" s="4"/>
      <c r="H94" s="1"/>
    </row>
    <row r="95" spans="1:8" ht="19.5">
      <c r="A95" s="1"/>
      <c r="B95" s="1"/>
      <c r="C95" s="1"/>
      <c r="D95" s="1"/>
      <c r="E95" s="1"/>
      <c r="G95" s="4"/>
      <c r="H95" s="1"/>
    </row>
    <row r="96" spans="1:8" ht="19.5">
      <c r="A96" s="1"/>
      <c r="B96" s="1"/>
      <c r="C96" s="1"/>
      <c r="D96" s="1"/>
      <c r="E96" s="1"/>
      <c r="G96" s="4"/>
      <c r="H96" s="1"/>
    </row>
    <row r="97" spans="1:8" ht="19.5">
      <c r="A97" s="1"/>
      <c r="B97" s="1"/>
      <c r="C97" s="1"/>
      <c r="D97" s="1"/>
      <c r="E97" s="1"/>
      <c r="G97" s="4"/>
      <c r="H97" s="1"/>
    </row>
    <row r="98" spans="1:8" ht="19.5">
      <c r="A98" s="1"/>
      <c r="B98" s="1"/>
      <c r="C98" s="1"/>
      <c r="D98" s="1"/>
      <c r="E98" s="1"/>
      <c r="G98" s="4"/>
      <c r="H98" s="1"/>
    </row>
    <row r="99" spans="1:8" ht="19.5">
      <c r="A99" s="1"/>
      <c r="B99" s="1"/>
      <c r="C99" s="1"/>
      <c r="D99" s="1"/>
      <c r="E99" s="1"/>
      <c r="G99" s="4"/>
      <c r="H99" s="1"/>
    </row>
    <row r="100" spans="1:8" ht="19.5">
      <c r="A100" s="1"/>
      <c r="B100" s="1"/>
      <c r="C100" s="1"/>
      <c r="D100" s="1"/>
      <c r="E100" s="1"/>
      <c r="G100" s="4"/>
      <c r="H100" s="1"/>
    </row>
    <row r="101" spans="1:8" ht="19.5">
      <c r="A101" s="1"/>
      <c r="B101" s="1"/>
      <c r="C101" s="1"/>
      <c r="D101" s="1"/>
      <c r="E101" s="1"/>
      <c r="G101" s="4"/>
      <c r="H101" s="1"/>
    </row>
    <row r="102" spans="1:8" ht="19.5">
      <c r="A102" s="1"/>
      <c r="B102" s="1"/>
      <c r="C102" s="1"/>
      <c r="D102" s="1"/>
      <c r="E102" s="1"/>
      <c r="G102" s="4"/>
      <c r="H102" s="1"/>
    </row>
    <row r="103" spans="1:8" ht="19.5">
      <c r="A103" s="1"/>
      <c r="B103" s="1"/>
      <c r="C103" s="1"/>
      <c r="D103" s="1"/>
      <c r="E103" s="1"/>
      <c r="G103" s="4"/>
      <c r="H103" s="1"/>
    </row>
    <row r="104" spans="1:8" ht="19.5">
      <c r="A104" s="1"/>
      <c r="B104" s="1"/>
      <c r="C104" s="1"/>
      <c r="D104" s="1"/>
      <c r="E104" s="1"/>
      <c r="G104" s="4"/>
      <c r="H104" s="1"/>
    </row>
    <row r="105" spans="1:8" ht="19.5">
      <c r="A105" s="1"/>
      <c r="B105" s="1"/>
      <c r="C105" s="1"/>
      <c r="D105" s="1"/>
      <c r="E105" s="1"/>
      <c r="G105" s="4"/>
      <c r="H105" s="1"/>
    </row>
    <row r="106" spans="1:8" ht="19.5">
      <c r="A106" s="1"/>
      <c r="B106" s="1"/>
      <c r="C106" s="1"/>
      <c r="D106" s="1"/>
      <c r="E106" s="1"/>
      <c r="G106" s="4"/>
      <c r="H106" s="1"/>
    </row>
    <row r="107" spans="1:8" ht="19.5">
      <c r="A107" s="1"/>
      <c r="B107" s="1"/>
      <c r="C107" s="1"/>
      <c r="D107" s="1"/>
      <c r="E107" s="1"/>
      <c r="G107" s="4"/>
      <c r="H107" s="1"/>
    </row>
    <row r="108" spans="1:8" ht="19.5">
      <c r="A108" s="1"/>
      <c r="B108" s="1"/>
      <c r="C108" s="1"/>
      <c r="D108" s="1"/>
      <c r="E108" s="1"/>
      <c r="G108" s="4"/>
      <c r="H108" s="1"/>
    </row>
    <row r="109" spans="1:8" ht="19.5">
      <c r="A109" s="1"/>
      <c r="B109" s="1"/>
      <c r="C109" s="1"/>
      <c r="D109" s="1"/>
      <c r="E109" s="1"/>
      <c r="G109" s="4"/>
      <c r="H109" s="1"/>
    </row>
    <row r="110" spans="1:8" ht="19.5">
      <c r="A110" s="1"/>
      <c r="B110" s="1"/>
      <c r="C110" s="1"/>
      <c r="D110" s="1"/>
      <c r="E110" s="1"/>
      <c r="G110" s="4"/>
      <c r="H110" s="1"/>
    </row>
    <row r="111" spans="1:8" ht="19.5">
      <c r="A111" s="1"/>
      <c r="B111" s="1"/>
      <c r="C111" s="1"/>
      <c r="D111" s="1"/>
      <c r="E111" s="1"/>
      <c r="G111" s="4"/>
      <c r="H111" s="1"/>
    </row>
    <row r="112" spans="1:8" ht="19.5">
      <c r="A112" s="1"/>
      <c r="B112" s="1"/>
      <c r="C112" s="1"/>
      <c r="D112" s="1"/>
      <c r="E112" s="1"/>
      <c r="G112" s="4"/>
      <c r="H112" s="1"/>
    </row>
    <row r="113" spans="1:8" ht="19.5">
      <c r="A113" s="1"/>
      <c r="B113" s="1"/>
      <c r="C113" s="1"/>
      <c r="D113" s="1"/>
      <c r="E113" s="1"/>
      <c r="G113" s="4"/>
      <c r="H113" s="1"/>
    </row>
    <row r="114" spans="1:8" ht="19.5">
      <c r="A114" s="1"/>
      <c r="B114" s="1"/>
      <c r="C114" s="1"/>
      <c r="D114" s="1"/>
      <c r="E114" s="1"/>
      <c r="G114" s="4"/>
      <c r="H114" s="1"/>
    </row>
    <row r="115" spans="1:8" ht="19.5">
      <c r="A115" s="1"/>
      <c r="B115" s="1"/>
      <c r="C115" s="1"/>
      <c r="D115" s="1"/>
      <c r="E115" s="1"/>
      <c r="G115" s="4"/>
      <c r="H115" s="1"/>
    </row>
    <row r="116" spans="1:8" ht="19.5">
      <c r="A116" s="1"/>
      <c r="B116" s="1"/>
      <c r="C116" s="1"/>
      <c r="D116" s="1"/>
      <c r="E116" s="1"/>
      <c r="G116" s="4"/>
      <c r="H116" s="1"/>
    </row>
    <row r="117" spans="1:8" ht="19.5">
      <c r="A117" s="1"/>
      <c r="B117" s="1"/>
      <c r="C117" s="1"/>
      <c r="D117" s="1"/>
      <c r="E117" s="1"/>
      <c r="G117" s="4"/>
      <c r="H117" s="1"/>
    </row>
    <row r="118" spans="1:8" ht="19.5">
      <c r="A118" s="1"/>
      <c r="B118" s="1"/>
      <c r="C118" s="1"/>
      <c r="D118" s="1"/>
      <c r="E118" s="1"/>
      <c r="G118" s="4"/>
      <c r="H118" s="1"/>
    </row>
    <row r="119" spans="1:8" ht="19.5">
      <c r="A119" s="1"/>
      <c r="B119" s="1"/>
      <c r="C119" s="1"/>
      <c r="D119" s="1"/>
      <c r="E119" s="1"/>
      <c r="G119" s="4"/>
      <c r="H119" s="1"/>
    </row>
    <row r="120" spans="1:8" ht="19.5">
      <c r="A120" s="1"/>
      <c r="B120" s="1"/>
      <c r="C120" s="1"/>
      <c r="D120" s="1"/>
      <c r="E120" s="1"/>
      <c r="G120" s="4"/>
      <c r="H120" s="1"/>
    </row>
    <row r="121" spans="1:8" ht="19.5">
      <c r="A121" s="1"/>
      <c r="B121" s="1"/>
      <c r="C121" s="1"/>
      <c r="D121" s="1"/>
      <c r="E121" s="1"/>
      <c r="G121" s="4"/>
      <c r="H121" s="1"/>
    </row>
    <row r="122" spans="1:8" ht="19.5">
      <c r="A122" s="1"/>
      <c r="B122" s="1"/>
      <c r="C122" s="1"/>
      <c r="D122" s="1"/>
      <c r="E122" s="1"/>
      <c r="G122" s="4"/>
      <c r="H122" s="1"/>
    </row>
    <row r="123" spans="1:8" ht="19.5">
      <c r="A123" s="1"/>
      <c r="B123" s="1"/>
      <c r="C123" s="1"/>
      <c r="D123" s="1"/>
      <c r="E123" s="1"/>
      <c r="G123" s="4"/>
      <c r="H123" s="1"/>
    </row>
    <row r="124" spans="1:8" ht="19.5">
      <c r="A124" s="1"/>
      <c r="B124" s="1"/>
      <c r="C124" s="1"/>
      <c r="D124" s="1"/>
      <c r="E124" s="1"/>
      <c r="G124" s="4"/>
      <c r="H124" s="1"/>
    </row>
    <row r="125" spans="1:8" ht="19.5">
      <c r="A125" s="1"/>
      <c r="B125" s="1"/>
      <c r="C125" s="1"/>
      <c r="D125" s="1"/>
      <c r="E125" s="1"/>
      <c r="G125" s="4"/>
      <c r="H125" s="1"/>
    </row>
    <row r="126" spans="1:8" ht="19.5">
      <c r="A126" s="1"/>
      <c r="B126" s="1"/>
      <c r="C126" s="1"/>
      <c r="D126" s="1"/>
      <c r="E126" s="1"/>
      <c r="G126" s="4"/>
      <c r="H126" s="1"/>
    </row>
    <row r="127" spans="1:8" ht="19.5">
      <c r="A127" s="1"/>
      <c r="B127" s="1"/>
      <c r="C127" s="1"/>
      <c r="D127" s="1"/>
      <c r="E127" s="1"/>
      <c r="G127" s="4"/>
      <c r="H127" s="1"/>
    </row>
    <row r="128" spans="1:8" ht="19.5">
      <c r="A128" s="1"/>
      <c r="B128" s="1"/>
      <c r="C128" s="1"/>
      <c r="D128" s="1"/>
      <c r="E128" s="1"/>
      <c r="G128" s="4"/>
      <c r="H128" s="1"/>
    </row>
    <row r="129" spans="1:8" ht="19.5">
      <c r="A129" s="1"/>
      <c r="B129" s="1"/>
      <c r="C129" s="1"/>
      <c r="D129" s="1"/>
      <c r="E129" s="1"/>
      <c r="G129" s="4"/>
      <c r="H129" s="1"/>
    </row>
    <row r="130" spans="1:8" ht="19.5">
      <c r="A130" s="1"/>
      <c r="B130" s="1"/>
      <c r="C130" s="1"/>
      <c r="D130" s="1"/>
      <c r="E130" s="1"/>
      <c r="G130" s="4"/>
      <c r="H130" s="1"/>
    </row>
    <row r="131" spans="1:8" ht="19.5">
      <c r="A131" s="1"/>
      <c r="B131" s="1"/>
      <c r="C131" s="1"/>
      <c r="D131" s="1"/>
      <c r="E131" s="1"/>
      <c r="G131" s="4"/>
      <c r="H131" s="1"/>
    </row>
    <row r="132" spans="1:8" ht="19.5">
      <c r="A132" s="1"/>
      <c r="B132" s="1"/>
      <c r="C132" s="1"/>
      <c r="D132" s="1"/>
      <c r="E132" s="1"/>
      <c r="G132" s="4"/>
      <c r="H132" s="1"/>
    </row>
    <row r="133" spans="1:8" ht="19.5">
      <c r="A133" s="1"/>
      <c r="B133" s="1"/>
      <c r="C133" s="1"/>
      <c r="D133" s="1"/>
      <c r="E133" s="1"/>
      <c r="G133" s="4"/>
      <c r="H133" s="1"/>
    </row>
    <row r="134" spans="1:8" ht="19.5">
      <c r="A134" s="1"/>
      <c r="B134" s="1"/>
      <c r="C134" s="1"/>
      <c r="D134" s="1"/>
      <c r="E134" s="1"/>
      <c r="G134" s="4"/>
      <c r="H134" s="1"/>
    </row>
    <row r="135" spans="1:8" ht="19.5">
      <c r="A135" s="1"/>
      <c r="B135" s="1"/>
      <c r="C135" s="1"/>
      <c r="D135" s="1"/>
      <c r="E135" s="1"/>
      <c r="G135" s="4"/>
      <c r="H135" s="1"/>
    </row>
    <row r="136" spans="1:8" ht="19.5">
      <c r="A136" s="1"/>
      <c r="B136" s="1"/>
      <c r="C136" s="1"/>
      <c r="D136" s="1"/>
      <c r="E136" s="1"/>
      <c r="G136" s="4"/>
      <c r="H136" s="1"/>
    </row>
    <row r="137" spans="1:8" ht="19.5">
      <c r="A137" s="1"/>
      <c r="B137" s="1"/>
      <c r="C137" s="1"/>
      <c r="D137" s="1"/>
      <c r="E137" s="1"/>
      <c r="G137" s="4"/>
      <c r="H137" s="1"/>
    </row>
    <row r="138" spans="1:8" ht="19.5">
      <c r="A138" s="1"/>
      <c r="B138" s="1"/>
      <c r="C138" s="1"/>
      <c r="D138" s="1"/>
      <c r="E138" s="1"/>
      <c r="G138" s="4"/>
      <c r="H138" s="1"/>
    </row>
    <row r="139" spans="1:8" ht="19.5">
      <c r="A139" s="1"/>
      <c r="B139" s="1"/>
      <c r="C139" s="1"/>
      <c r="D139" s="1"/>
      <c r="E139" s="1"/>
      <c r="G139" s="4"/>
      <c r="H139" s="1"/>
    </row>
    <row r="140" spans="1:8" ht="19.5">
      <c r="A140" s="1"/>
      <c r="B140" s="1"/>
      <c r="C140" s="1"/>
      <c r="D140" s="1"/>
      <c r="E140" s="1"/>
      <c r="G140" s="4"/>
      <c r="H140" s="1"/>
    </row>
    <row r="141" spans="1:8" ht="19.5">
      <c r="A141" s="1"/>
      <c r="B141" s="1"/>
      <c r="C141" s="1"/>
      <c r="D141" s="1"/>
      <c r="E141" s="1"/>
      <c r="G141" s="4"/>
      <c r="H141" s="1"/>
    </row>
    <row r="142" spans="1:8" ht="19.5">
      <c r="A142" s="1"/>
      <c r="B142" s="1"/>
      <c r="C142" s="1"/>
      <c r="D142" s="1"/>
      <c r="E142" s="1"/>
      <c r="G142" s="4"/>
      <c r="H142" s="1"/>
    </row>
    <row r="143" spans="1:8" ht="19.5">
      <c r="A143" s="1"/>
      <c r="B143" s="1"/>
      <c r="C143" s="1"/>
      <c r="D143" s="1"/>
      <c r="E143" s="1"/>
      <c r="G143" s="4"/>
      <c r="H143" s="1"/>
    </row>
    <row r="144" spans="1:8" ht="19.5">
      <c r="A144" s="1"/>
      <c r="B144" s="1"/>
      <c r="C144" s="1"/>
      <c r="D144" s="1"/>
      <c r="E144" s="1"/>
      <c r="G144" s="4"/>
      <c r="H144" s="1"/>
    </row>
    <row r="145" spans="1:8" ht="19.5">
      <c r="A145" s="1"/>
      <c r="B145" s="1"/>
      <c r="C145" s="1"/>
      <c r="D145" s="1"/>
      <c r="E145" s="1"/>
      <c r="G145" s="4"/>
      <c r="H145" s="1"/>
    </row>
    <row r="146" spans="1:8" ht="19.5">
      <c r="A146" s="1"/>
      <c r="B146" s="1"/>
      <c r="C146" s="1"/>
      <c r="D146" s="1"/>
      <c r="E146" s="1"/>
      <c r="G146" s="4"/>
      <c r="H146" s="1"/>
    </row>
    <row r="147" spans="1:8" ht="19.5">
      <c r="A147" s="1"/>
      <c r="B147" s="1"/>
      <c r="C147" s="1"/>
      <c r="D147" s="1"/>
      <c r="E147" s="1"/>
      <c r="G147" s="4"/>
      <c r="H147" s="1"/>
    </row>
    <row r="148" spans="1:8" ht="19.5">
      <c r="A148" s="1"/>
      <c r="B148" s="1"/>
      <c r="C148" s="1"/>
      <c r="D148" s="1"/>
      <c r="E148" s="1"/>
      <c r="G148" s="4"/>
      <c r="H148" s="1"/>
    </row>
    <row r="149" spans="1:8" ht="19.5">
      <c r="A149" s="1"/>
      <c r="B149" s="1"/>
      <c r="C149" s="1"/>
      <c r="D149" s="1"/>
      <c r="E149" s="1"/>
      <c r="G149" s="4"/>
      <c r="H149" s="1"/>
    </row>
    <row r="150" spans="1:8" ht="19.5">
      <c r="A150" s="1"/>
      <c r="B150" s="1"/>
      <c r="C150" s="1"/>
      <c r="D150" s="1"/>
      <c r="E150" s="1"/>
      <c r="G150" s="4"/>
      <c r="H150" s="1"/>
    </row>
    <row r="151" spans="1:8" ht="19.5">
      <c r="A151" s="1"/>
      <c r="B151" s="1"/>
      <c r="C151" s="1"/>
      <c r="D151" s="1"/>
      <c r="E151" s="1"/>
      <c r="G151" s="4"/>
      <c r="H151" s="1"/>
    </row>
    <row r="152" spans="1:8" ht="19.5">
      <c r="A152" s="1"/>
      <c r="B152" s="1"/>
      <c r="C152" s="1"/>
      <c r="D152" s="1"/>
      <c r="E152" s="1"/>
      <c r="G152" s="4"/>
      <c r="H152" s="1"/>
    </row>
    <row r="153" spans="1:8" ht="19.5">
      <c r="A153" s="1"/>
      <c r="B153" s="1"/>
      <c r="C153" s="1"/>
      <c r="D153" s="1"/>
      <c r="E153" s="1"/>
      <c r="G153" s="4"/>
      <c r="H153" s="1"/>
    </row>
    <row r="154" spans="1:8" ht="19.5">
      <c r="A154" s="1"/>
      <c r="B154" s="1"/>
      <c r="C154" s="1"/>
      <c r="D154" s="1"/>
      <c r="E154" s="1"/>
      <c r="G154" s="4"/>
      <c r="H154" s="1"/>
    </row>
    <row r="155" spans="1:8" ht="19.5">
      <c r="A155" s="1"/>
      <c r="B155" s="1"/>
      <c r="C155" s="1"/>
      <c r="D155" s="1"/>
      <c r="E155" s="1"/>
      <c r="G155" s="4"/>
      <c r="H155" s="1"/>
    </row>
    <row r="156" spans="1:8" ht="19.5">
      <c r="A156" s="1"/>
      <c r="B156" s="1"/>
      <c r="C156" s="1"/>
      <c r="D156" s="1"/>
      <c r="E156" s="1"/>
      <c r="G156" s="4"/>
      <c r="H156" s="1"/>
    </row>
    <row r="157" spans="1:8" ht="19.5">
      <c r="A157" s="1"/>
      <c r="B157" s="1"/>
      <c r="C157" s="1"/>
      <c r="D157" s="1"/>
      <c r="E157" s="1"/>
      <c r="G157" s="4"/>
      <c r="H157" s="1"/>
    </row>
    <row r="158" spans="1:8" ht="19.5">
      <c r="A158" s="1"/>
      <c r="B158" s="1"/>
      <c r="C158" s="1"/>
      <c r="D158" s="1"/>
      <c r="E158" s="1"/>
      <c r="G158" s="4"/>
      <c r="H158" s="1"/>
    </row>
    <row r="159" spans="1:8" ht="19.5">
      <c r="A159" s="1"/>
      <c r="B159" s="1"/>
      <c r="C159" s="1"/>
      <c r="D159" s="1"/>
      <c r="E159" s="1"/>
      <c r="G159" s="4"/>
      <c r="H159" s="1"/>
    </row>
    <row r="160" spans="1:8" ht="19.5">
      <c r="A160" s="1"/>
      <c r="B160" s="1"/>
      <c r="C160" s="1"/>
      <c r="D160" s="1"/>
      <c r="E160" s="1"/>
      <c r="G160" s="4"/>
      <c r="H160" s="1"/>
    </row>
    <row r="161" spans="1:8" ht="19.5">
      <c r="A161" s="1"/>
      <c r="B161" s="1"/>
      <c r="C161" s="1"/>
      <c r="D161" s="1"/>
      <c r="E161" s="1"/>
      <c r="G161" s="4"/>
      <c r="H161" s="1"/>
    </row>
    <row r="162" spans="1:8" ht="19.5">
      <c r="A162" s="1"/>
      <c r="B162" s="1"/>
      <c r="C162" s="1"/>
      <c r="D162" s="1"/>
      <c r="E162" s="1"/>
      <c r="G162" s="4"/>
      <c r="H162" s="1"/>
    </row>
    <row r="163" spans="1:8" ht="19.5">
      <c r="A163" s="1"/>
      <c r="B163" s="1"/>
      <c r="C163" s="1"/>
      <c r="D163" s="1"/>
      <c r="E163" s="1"/>
      <c r="G163" s="4"/>
      <c r="H163" s="1"/>
    </row>
    <row r="164" spans="1:8" ht="19.5">
      <c r="A164" s="1"/>
      <c r="B164" s="1"/>
      <c r="C164" s="1"/>
      <c r="D164" s="1"/>
      <c r="E164" s="1"/>
      <c r="G164" s="4"/>
      <c r="H164" s="1"/>
    </row>
    <row r="165" spans="1:8" ht="19.5">
      <c r="A165" s="1"/>
      <c r="B165" s="1"/>
      <c r="C165" s="1"/>
      <c r="D165" s="1"/>
      <c r="E165" s="1"/>
      <c r="G165" s="4"/>
      <c r="H165" s="1"/>
    </row>
    <row r="166" spans="1:8" ht="19.5">
      <c r="A166" s="1"/>
      <c r="B166" s="1"/>
      <c r="C166" s="1"/>
      <c r="D166" s="1"/>
      <c r="E166" s="1"/>
      <c r="G166" s="4"/>
      <c r="H166" s="1"/>
    </row>
    <row r="167" spans="1:8" ht="19.5">
      <c r="A167" s="1"/>
      <c r="B167" s="1"/>
      <c r="C167" s="1"/>
      <c r="D167" s="1"/>
      <c r="E167" s="1"/>
      <c r="G167" s="4"/>
      <c r="H167" s="1"/>
    </row>
    <row r="168" spans="1:8" ht="19.5">
      <c r="A168" s="1"/>
      <c r="B168" s="1"/>
      <c r="C168" s="1"/>
      <c r="D168" s="1"/>
      <c r="E168" s="1"/>
      <c r="G168" s="4"/>
      <c r="H168" s="1"/>
    </row>
    <row r="169" spans="1:8" ht="19.5">
      <c r="A169" s="1"/>
      <c r="B169" s="1"/>
      <c r="C169" s="1"/>
      <c r="D169" s="1"/>
      <c r="E169" s="1"/>
      <c r="G169" s="4"/>
      <c r="H169" s="1"/>
    </row>
    <row r="170" spans="1:8" ht="19.5">
      <c r="A170" s="1"/>
      <c r="B170" s="1"/>
      <c r="C170" s="1"/>
      <c r="D170" s="1"/>
      <c r="E170" s="1"/>
      <c r="G170" s="4"/>
      <c r="H170" s="1"/>
    </row>
    <row r="171" spans="1:8" ht="19.5">
      <c r="A171" s="1"/>
      <c r="B171" s="1"/>
      <c r="C171" s="1"/>
      <c r="D171" s="1"/>
      <c r="E171" s="1"/>
      <c r="G171" s="4"/>
      <c r="H171" s="1"/>
    </row>
    <row r="172" spans="1:8" ht="19.5">
      <c r="A172" s="1"/>
      <c r="B172" s="1"/>
      <c r="C172" s="1"/>
      <c r="D172" s="1"/>
      <c r="E172" s="1"/>
      <c r="G172" s="4"/>
      <c r="H172" s="1"/>
    </row>
    <row r="173" spans="1:8" ht="19.5">
      <c r="A173" s="1"/>
      <c r="B173" s="1"/>
      <c r="C173" s="1"/>
      <c r="D173" s="1"/>
      <c r="E173" s="1"/>
      <c r="G173" s="4"/>
      <c r="H173" s="1"/>
    </row>
    <row r="174" spans="1:8" ht="19.5">
      <c r="A174" s="1"/>
      <c r="B174" s="1"/>
      <c r="C174" s="1"/>
      <c r="D174" s="1"/>
      <c r="E174" s="1"/>
      <c r="G174" s="4"/>
      <c r="H174" s="1"/>
    </row>
    <row r="175" spans="1:8" ht="19.5">
      <c r="A175" s="1"/>
      <c r="B175" s="1"/>
      <c r="C175" s="1"/>
      <c r="D175" s="1"/>
      <c r="E175" s="1"/>
      <c r="G175" s="4"/>
      <c r="H175" s="1"/>
    </row>
    <row r="176" spans="1:8" ht="19.5">
      <c r="A176" s="1"/>
      <c r="B176" s="1"/>
      <c r="C176" s="1"/>
      <c r="D176" s="1"/>
      <c r="E176" s="1"/>
      <c r="G176" s="4"/>
      <c r="H176" s="1"/>
    </row>
    <row r="177" spans="1:8" ht="19.5">
      <c r="A177" s="1"/>
      <c r="B177" s="1"/>
      <c r="C177" s="1"/>
      <c r="D177" s="1"/>
      <c r="E177" s="1"/>
      <c r="G177" s="4"/>
      <c r="H177" s="1"/>
    </row>
    <row r="178" spans="1:8" ht="19.5">
      <c r="A178" s="1"/>
      <c r="B178" s="1"/>
      <c r="C178" s="1"/>
      <c r="D178" s="1"/>
      <c r="E178" s="1"/>
      <c r="G178" s="4"/>
      <c r="H178" s="1"/>
    </row>
    <row r="179" spans="1:8" ht="19.5">
      <c r="A179" s="1"/>
      <c r="B179" s="1"/>
      <c r="C179" s="1"/>
      <c r="D179" s="1"/>
      <c r="E179" s="1"/>
      <c r="G179" s="4"/>
      <c r="H179" s="1"/>
    </row>
    <row r="180" spans="1:8" ht="19.5">
      <c r="A180" s="1"/>
      <c r="B180" s="1"/>
      <c r="C180" s="1"/>
      <c r="D180" s="1"/>
      <c r="E180" s="1"/>
      <c r="G180" s="4"/>
      <c r="H180" s="1"/>
    </row>
    <row r="181" spans="1:8" ht="19.5">
      <c r="A181" s="1"/>
      <c r="B181" s="1"/>
      <c r="C181" s="1"/>
      <c r="D181" s="1"/>
      <c r="E181" s="1"/>
      <c r="G181" s="4"/>
      <c r="H181" s="1"/>
    </row>
    <row r="182" spans="1:8" ht="19.5">
      <c r="A182" s="1"/>
      <c r="B182" s="1"/>
      <c r="C182" s="1"/>
      <c r="D182" s="1"/>
      <c r="E182" s="1"/>
      <c r="G182" s="4"/>
      <c r="H182" s="1"/>
    </row>
    <row r="183" spans="1:8" ht="19.5">
      <c r="A183" s="1"/>
      <c r="B183" s="1"/>
      <c r="C183" s="1"/>
      <c r="D183" s="1"/>
      <c r="E183" s="1"/>
      <c r="G183" s="4"/>
      <c r="H183" s="1"/>
    </row>
    <row r="184" spans="1:8" ht="19.5">
      <c r="A184" s="1"/>
      <c r="B184" s="1"/>
      <c r="C184" s="1"/>
      <c r="D184" s="1"/>
      <c r="E184" s="1"/>
      <c r="G184" s="4"/>
      <c r="H184" s="1"/>
    </row>
    <row r="185" spans="1:8" ht="19.5">
      <c r="A185" s="1"/>
      <c r="B185" s="1"/>
      <c r="C185" s="1"/>
      <c r="D185" s="1"/>
      <c r="E185" s="1"/>
      <c r="G185" s="4"/>
      <c r="H185" s="1"/>
    </row>
    <row r="186" spans="1:8" ht="19.5">
      <c r="A186" s="1"/>
      <c r="B186" s="1"/>
      <c r="C186" s="1"/>
      <c r="D186" s="1"/>
      <c r="E186" s="1"/>
      <c r="G186" s="4"/>
      <c r="H186" s="1"/>
    </row>
    <row r="187" spans="1:8" ht="19.5">
      <c r="A187" s="1"/>
      <c r="B187" s="1"/>
      <c r="C187" s="1"/>
      <c r="D187" s="1"/>
      <c r="E187" s="1"/>
      <c r="G187" s="4"/>
      <c r="H187" s="1"/>
    </row>
    <row r="188" spans="1:8" ht="19.5">
      <c r="A188" s="1"/>
      <c r="B188" s="1"/>
      <c r="C188" s="1"/>
      <c r="D188" s="1"/>
      <c r="E188" s="1"/>
      <c r="G188" s="4"/>
      <c r="H188" s="1"/>
    </row>
    <row r="189" spans="1:8" ht="19.5">
      <c r="A189" s="1"/>
      <c r="B189" s="1"/>
      <c r="C189" s="1"/>
      <c r="D189" s="1"/>
      <c r="E189" s="1"/>
      <c r="G189" s="4"/>
      <c r="H189" s="1"/>
    </row>
    <row r="190" spans="1:8" ht="19.5">
      <c r="A190" s="1"/>
      <c r="B190" s="1"/>
      <c r="C190" s="1"/>
      <c r="D190" s="1"/>
      <c r="E190" s="1"/>
      <c r="G190" s="4"/>
      <c r="H190" s="1"/>
    </row>
    <row r="191" spans="1:8" ht="19.5">
      <c r="A191" s="1"/>
      <c r="B191" s="1"/>
      <c r="C191" s="1"/>
      <c r="D191" s="1"/>
      <c r="E191" s="1"/>
      <c r="G191" s="4"/>
      <c r="H191" s="1"/>
    </row>
    <row r="192" spans="1:8" ht="19.5">
      <c r="A192" s="1"/>
      <c r="B192" s="1"/>
      <c r="C192" s="1"/>
      <c r="D192" s="1"/>
      <c r="E192" s="1"/>
      <c r="G192" s="4"/>
      <c r="H192" s="1"/>
    </row>
    <row r="193" spans="1:8" ht="19.5">
      <c r="A193" s="1"/>
      <c r="B193" s="1"/>
      <c r="C193" s="1"/>
      <c r="D193" s="1"/>
      <c r="E193" s="1"/>
      <c r="G193" s="4"/>
      <c r="H193" s="1"/>
    </row>
    <row r="194" spans="1:8" ht="19.5">
      <c r="A194" s="1"/>
      <c r="B194" s="1"/>
      <c r="C194" s="1"/>
      <c r="D194" s="1"/>
      <c r="E194" s="1"/>
      <c r="G194" s="4"/>
      <c r="H194" s="1"/>
    </row>
    <row r="195" spans="1:8" ht="19.5">
      <c r="A195" s="1"/>
      <c r="B195" s="1"/>
      <c r="C195" s="1"/>
      <c r="D195" s="1"/>
      <c r="E195" s="1"/>
      <c r="G195" s="4"/>
      <c r="H195" s="1"/>
    </row>
    <row r="196" spans="1:8" ht="19.5">
      <c r="A196" s="1"/>
      <c r="B196" s="1"/>
      <c r="C196" s="1"/>
      <c r="D196" s="1"/>
      <c r="E196" s="1"/>
      <c r="G196" s="4"/>
      <c r="H196" s="1"/>
    </row>
    <row r="197" spans="1:8" ht="19.5">
      <c r="A197" s="1"/>
      <c r="B197" s="1"/>
      <c r="C197" s="1"/>
      <c r="D197" s="1"/>
      <c r="E197" s="1"/>
      <c r="G197" s="4"/>
      <c r="H197" s="1"/>
    </row>
    <row r="198" spans="1:8" ht="19.5">
      <c r="A198" s="1"/>
      <c r="B198" s="1"/>
      <c r="C198" s="1"/>
      <c r="D198" s="1"/>
      <c r="E198" s="1"/>
      <c r="G198" s="4"/>
      <c r="H198" s="1"/>
    </row>
    <row r="199" spans="1:8" ht="19.5">
      <c r="A199" s="1"/>
      <c r="B199" s="1"/>
      <c r="C199" s="1"/>
      <c r="D199" s="1"/>
      <c r="E199" s="1"/>
      <c r="G199" s="4"/>
      <c r="H199" s="1"/>
    </row>
    <row r="200" spans="1:8" ht="19.5">
      <c r="A200" s="1"/>
      <c r="B200" s="1"/>
      <c r="C200" s="1"/>
      <c r="D200" s="1"/>
      <c r="E200" s="1"/>
      <c r="G200" s="4"/>
      <c r="H200" s="1"/>
    </row>
    <row r="201" spans="1:8" ht="19.5">
      <c r="A201" s="1"/>
      <c r="B201" s="1"/>
      <c r="C201" s="1"/>
      <c r="D201" s="1"/>
      <c r="E201" s="1"/>
      <c r="G201" s="4"/>
      <c r="H201" s="1"/>
    </row>
    <row r="202" spans="1:8" ht="19.5">
      <c r="A202" s="1"/>
      <c r="B202" s="1"/>
      <c r="C202" s="1"/>
      <c r="D202" s="1"/>
      <c r="E202" s="1"/>
      <c r="G202" s="4"/>
      <c r="H202" s="1"/>
    </row>
    <row r="203" spans="1:8" ht="19.5">
      <c r="A203" s="1"/>
      <c r="B203" s="1"/>
      <c r="C203" s="1"/>
      <c r="D203" s="1"/>
      <c r="E203" s="1"/>
      <c r="G203" s="4"/>
      <c r="H203" s="1"/>
    </row>
    <row r="204" spans="1:8" ht="19.5">
      <c r="A204" s="1"/>
      <c r="B204" s="1"/>
      <c r="C204" s="1"/>
      <c r="D204" s="1"/>
      <c r="E204" s="1"/>
      <c r="G204" s="4"/>
      <c r="H204" s="1"/>
    </row>
    <row r="205" spans="1:8" ht="19.5">
      <c r="A205" s="1"/>
      <c r="B205" s="1"/>
      <c r="C205" s="1"/>
      <c r="D205" s="1"/>
      <c r="E205" s="1"/>
      <c r="G205" s="4"/>
      <c r="H205" s="1"/>
    </row>
    <row r="206" spans="1:8" ht="19.5">
      <c r="A206" s="1"/>
      <c r="B206" s="1"/>
      <c r="C206" s="1"/>
      <c r="D206" s="1"/>
      <c r="E206" s="1"/>
      <c r="G206" s="4"/>
      <c r="H206" s="1"/>
    </row>
    <row r="207" spans="1:8" ht="19.5">
      <c r="A207" s="1"/>
      <c r="B207" s="1"/>
      <c r="C207" s="1"/>
      <c r="D207" s="1"/>
      <c r="E207" s="1"/>
      <c r="G207" s="4"/>
      <c r="H207" s="1"/>
    </row>
    <row r="208" spans="1:8" ht="19.5">
      <c r="A208" s="1"/>
      <c r="B208" s="1"/>
      <c r="C208" s="1"/>
      <c r="D208" s="1"/>
      <c r="E208" s="1"/>
      <c r="G208" s="4"/>
      <c r="H208" s="1"/>
    </row>
    <row r="209" spans="1:8" ht="19.5">
      <c r="A209" s="1"/>
      <c r="B209" s="1"/>
      <c r="C209" s="1"/>
      <c r="D209" s="1"/>
      <c r="E209" s="1"/>
      <c r="G209" s="4"/>
      <c r="H209" s="1"/>
    </row>
    <row r="210" spans="1:8" ht="19.5">
      <c r="A210" s="1"/>
      <c r="B210" s="1"/>
      <c r="C210" s="1"/>
      <c r="D210" s="1"/>
      <c r="E210" s="1"/>
      <c r="G210" s="4"/>
      <c r="H210" s="1"/>
    </row>
    <row r="211" spans="1:8" ht="19.5">
      <c r="A211" s="1"/>
      <c r="B211" s="1"/>
      <c r="C211" s="1"/>
      <c r="D211" s="1"/>
      <c r="E211" s="1"/>
      <c r="G211" s="4"/>
      <c r="H211" s="1"/>
    </row>
    <row r="212" spans="1:8" ht="19.5">
      <c r="A212" s="1"/>
      <c r="B212" s="1"/>
      <c r="C212" s="1"/>
      <c r="D212" s="1"/>
      <c r="E212" s="1"/>
      <c r="G212" s="4"/>
      <c r="H212" s="1"/>
    </row>
    <row r="213" spans="1:8" ht="19.5">
      <c r="A213" s="1"/>
      <c r="B213" s="1"/>
      <c r="C213" s="1"/>
      <c r="D213" s="1"/>
      <c r="E213" s="1"/>
      <c r="G213" s="4"/>
      <c r="H213" s="1"/>
    </row>
    <row r="214" spans="1:8" ht="19.5">
      <c r="A214" s="1"/>
      <c r="B214" s="1"/>
      <c r="C214" s="1"/>
      <c r="D214" s="1"/>
      <c r="E214" s="1"/>
      <c r="G214" s="4"/>
      <c r="H214" s="1"/>
    </row>
    <row r="215" spans="1:8" ht="19.5">
      <c r="A215" s="1"/>
      <c r="B215" s="1"/>
      <c r="C215" s="1"/>
      <c r="D215" s="1"/>
      <c r="E215" s="1"/>
      <c r="G215" s="4"/>
      <c r="H215" s="1"/>
    </row>
    <row r="216" spans="1:8" ht="19.5">
      <c r="A216" s="1"/>
      <c r="B216" s="1"/>
      <c r="C216" s="1"/>
      <c r="D216" s="1"/>
      <c r="E216" s="1"/>
      <c r="G216" s="4"/>
      <c r="H216" s="1"/>
    </row>
    <row r="217" spans="1:8" ht="19.5">
      <c r="A217" s="1"/>
      <c r="B217" s="1"/>
      <c r="C217" s="1"/>
      <c r="D217" s="1"/>
      <c r="E217" s="1"/>
      <c r="G217" s="4"/>
      <c r="H217" s="1"/>
    </row>
    <row r="218" spans="1:8" ht="19.5">
      <c r="A218" s="1"/>
      <c r="B218" s="1"/>
      <c r="C218" s="1"/>
      <c r="D218" s="1"/>
      <c r="E218" s="1"/>
      <c r="G218" s="4"/>
      <c r="H218" s="1"/>
    </row>
    <row r="219" spans="1:8" ht="19.5">
      <c r="A219" s="1"/>
      <c r="B219" s="1"/>
      <c r="C219" s="1"/>
      <c r="D219" s="1"/>
      <c r="E219" s="1"/>
      <c r="G219" s="4"/>
      <c r="H219" s="1"/>
    </row>
    <row r="220" spans="1:8" ht="19.5">
      <c r="A220" s="1"/>
      <c r="B220" s="1"/>
      <c r="C220" s="1"/>
      <c r="D220" s="1"/>
      <c r="E220" s="1"/>
      <c r="G220" s="4"/>
      <c r="H220" s="1"/>
    </row>
    <row r="221" spans="1:8" ht="19.5">
      <c r="A221" s="1"/>
      <c r="B221" s="1"/>
      <c r="C221" s="1"/>
      <c r="D221" s="1"/>
      <c r="E221" s="1"/>
      <c r="G221" s="4"/>
      <c r="H221" s="1"/>
    </row>
    <row r="222" spans="1:8" ht="19.5">
      <c r="A222" s="1"/>
      <c r="B222" s="1"/>
      <c r="C222" s="1"/>
      <c r="D222" s="1"/>
      <c r="E222" s="1"/>
      <c r="G222" s="4"/>
      <c r="H222" s="1"/>
    </row>
    <row r="223" spans="1:8" ht="19.5">
      <c r="A223" s="1"/>
      <c r="B223" s="1"/>
      <c r="C223" s="1"/>
      <c r="D223" s="1"/>
      <c r="E223" s="1"/>
      <c r="G223" s="4"/>
      <c r="H223" s="1"/>
    </row>
    <row r="224" spans="1:8" ht="19.5">
      <c r="A224" s="1"/>
      <c r="B224" s="1"/>
      <c r="C224" s="1"/>
      <c r="D224" s="1"/>
      <c r="E224" s="1"/>
      <c r="G224" s="4"/>
      <c r="H224" s="1"/>
    </row>
    <row r="225" spans="1:8" ht="19.5">
      <c r="A225" s="1"/>
      <c r="B225" s="1"/>
      <c r="C225" s="1"/>
      <c r="D225" s="1"/>
      <c r="E225" s="1"/>
      <c r="G225" s="4"/>
      <c r="H225" s="1"/>
    </row>
    <row r="226" spans="1:8" ht="19.5">
      <c r="A226" s="1"/>
      <c r="B226" s="1"/>
      <c r="C226" s="1"/>
      <c r="D226" s="1"/>
      <c r="E226" s="1"/>
      <c r="G226" s="4"/>
      <c r="H226" s="1"/>
    </row>
    <row r="227" spans="1:8" ht="19.5">
      <c r="A227" s="1"/>
      <c r="B227" s="1"/>
      <c r="C227" s="1"/>
      <c r="D227" s="1"/>
      <c r="E227" s="1"/>
      <c r="G227" s="4"/>
      <c r="H227" s="1"/>
    </row>
    <row r="228" spans="1:8" ht="19.5">
      <c r="A228" s="1"/>
      <c r="B228" s="1"/>
      <c r="C228" s="1"/>
      <c r="D228" s="1"/>
      <c r="E228" s="1"/>
      <c r="G228" s="4"/>
      <c r="H228" s="1"/>
    </row>
    <row r="229" spans="1:8" ht="19.5">
      <c r="A229" s="1"/>
      <c r="B229" s="1"/>
      <c r="C229" s="1"/>
      <c r="D229" s="1"/>
      <c r="E229" s="1"/>
      <c r="G229" s="4"/>
      <c r="H229" s="1"/>
    </row>
    <row r="230" spans="1:8" ht="19.5">
      <c r="A230" s="1"/>
      <c r="B230" s="1"/>
      <c r="C230" s="1"/>
      <c r="D230" s="1"/>
      <c r="E230" s="1"/>
      <c r="G230" s="4"/>
      <c r="H230" s="1"/>
    </row>
    <row r="231" spans="1:8" ht="19.5">
      <c r="A231" s="1"/>
      <c r="B231" s="1"/>
      <c r="C231" s="1"/>
      <c r="D231" s="1"/>
      <c r="E231" s="1"/>
      <c r="G231" s="4"/>
      <c r="H231" s="1"/>
    </row>
    <row r="232" spans="1:8" ht="19.5">
      <c r="A232" s="1"/>
      <c r="B232" s="1"/>
      <c r="C232" s="1"/>
      <c r="D232" s="1"/>
      <c r="E232" s="1"/>
      <c r="G232" s="4"/>
      <c r="H232" s="1"/>
    </row>
    <row r="233" spans="1:8" ht="19.5">
      <c r="A233" s="1"/>
      <c r="B233" s="1"/>
      <c r="C233" s="1"/>
      <c r="D233" s="1"/>
      <c r="E233" s="1"/>
      <c r="G233" s="4"/>
      <c r="H233" s="1"/>
    </row>
    <row r="234" spans="1:8" ht="19.5">
      <c r="A234" s="1"/>
      <c r="B234" s="1"/>
      <c r="C234" s="1"/>
      <c r="D234" s="1"/>
      <c r="E234" s="1"/>
      <c r="G234" s="4"/>
      <c r="H234" s="1"/>
    </row>
    <row r="235" spans="1:8" ht="19.5">
      <c r="A235" s="1"/>
      <c r="B235" s="1"/>
      <c r="C235" s="1"/>
      <c r="D235" s="1"/>
      <c r="E235" s="1"/>
      <c r="G235" s="4"/>
      <c r="H235" s="1"/>
    </row>
    <row r="236" spans="1:8" ht="19.5">
      <c r="A236" s="1"/>
      <c r="B236" s="1"/>
      <c r="C236" s="1"/>
      <c r="D236" s="1"/>
      <c r="E236" s="1"/>
      <c r="G236" s="4"/>
      <c r="H236" s="1"/>
    </row>
    <row r="237" spans="1:8" ht="19.5">
      <c r="A237" s="1"/>
      <c r="B237" s="1"/>
      <c r="C237" s="1"/>
      <c r="D237" s="1"/>
      <c r="E237" s="1"/>
      <c r="G237" s="4"/>
      <c r="H237" s="1"/>
    </row>
    <row r="238" spans="1:8" ht="19.5">
      <c r="A238" s="1"/>
      <c r="B238" s="1"/>
      <c r="C238" s="1"/>
      <c r="D238" s="1"/>
      <c r="E238" s="1"/>
      <c r="G238" s="4"/>
      <c r="H238" s="1"/>
    </row>
    <row r="239" spans="1:8" ht="19.5">
      <c r="A239" s="1"/>
      <c r="B239" s="1"/>
      <c r="C239" s="1"/>
      <c r="D239" s="1"/>
      <c r="E239" s="1"/>
      <c r="G239" s="4"/>
      <c r="H239" s="1"/>
    </row>
    <row r="240" spans="1:8" ht="19.5">
      <c r="A240" s="1"/>
      <c r="B240" s="1"/>
      <c r="C240" s="1"/>
      <c r="D240" s="1"/>
      <c r="E240" s="1"/>
      <c r="G240" s="4"/>
      <c r="H240" s="1"/>
    </row>
    <row r="241" spans="1:8" ht="19.5">
      <c r="A241" s="1"/>
      <c r="B241" s="1"/>
      <c r="C241" s="1"/>
      <c r="D241" s="1"/>
      <c r="E241" s="1"/>
      <c r="G241" s="4"/>
      <c r="H241" s="1"/>
    </row>
    <row r="242" spans="1:8" ht="19.5">
      <c r="A242" s="1"/>
      <c r="B242" s="1"/>
      <c r="C242" s="1"/>
      <c r="D242" s="1"/>
      <c r="E242" s="1"/>
      <c r="G242" s="4"/>
      <c r="H242" s="1"/>
    </row>
    <row r="243" spans="1:8" ht="19.5">
      <c r="A243" s="1"/>
      <c r="B243" s="1"/>
      <c r="C243" s="1"/>
      <c r="D243" s="1"/>
      <c r="E243" s="1"/>
      <c r="G243" s="4"/>
      <c r="H243" s="1"/>
    </row>
    <row r="244" spans="1:8" ht="19.5">
      <c r="A244" s="1"/>
      <c r="B244" s="1"/>
      <c r="C244" s="1"/>
      <c r="D244" s="1"/>
      <c r="E244" s="1"/>
      <c r="G244" s="4"/>
      <c r="H244" s="1"/>
    </row>
    <row r="245" spans="1:8" ht="19.5">
      <c r="A245" s="1"/>
      <c r="B245" s="1"/>
      <c r="C245" s="1"/>
      <c r="D245" s="1"/>
      <c r="E245" s="1"/>
      <c r="G245" s="4"/>
      <c r="H245" s="1"/>
    </row>
    <row r="246" spans="1:8" ht="19.5">
      <c r="A246" s="1"/>
      <c r="B246" s="1"/>
      <c r="C246" s="1"/>
      <c r="D246" s="1"/>
      <c r="E246" s="1"/>
      <c r="G246" s="4"/>
      <c r="H246" s="1"/>
    </row>
    <row r="247" spans="1:8" ht="19.5">
      <c r="A247" s="1"/>
      <c r="B247" s="1"/>
      <c r="C247" s="1"/>
      <c r="D247" s="1"/>
      <c r="E247" s="1"/>
      <c r="G247" s="4"/>
      <c r="H247" s="1"/>
    </row>
    <row r="248" spans="1:8" ht="19.5">
      <c r="A248" s="1"/>
      <c r="B248" s="1"/>
      <c r="C248" s="1"/>
      <c r="D248" s="1"/>
      <c r="E248" s="1"/>
      <c r="G248" s="4"/>
      <c r="H248" s="1"/>
    </row>
    <row r="249" spans="1:8" ht="19.5">
      <c r="A249" s="1"/>
      <c r="B249" s="1"/>
      <c r="C249" s="1"/>
      <c r="D249" s="1"/>
      <c r="E249" s="1"/>
      <c r="G249" s="4"/>
      <c r="H249" s="1"/>
    </row>
    <row r="250" spans="1:8" ht="19.5">
      <c r="A250" s="1"/>
      <c r="B250" s="1"/>
      <c r="C250" s="1"/>
      <c r="D250" s="1"/>
      <c r="E250" s="1"/>
      <c r="G250" s="4"/>
      <c r="H250" s="1"/>
    </row>
    <row r="251" spans="1:8" ht="19.5">
      <c r="A251" s="1"/>
      <c r="B251" s="1"/>
      <c r="C251" s="1"/>
      <c r="D251" s="1"/>
      <c r="E251" s="1"/>
      <c r="G251" s="4"/>
      <c r="H251" s="1"/>
    </row>
    <row r="252" spans="1:8" ht="19.5">
      <c r="A252" s="1"/>
      <c r="B252" s="1"/>
      <c r="C252" s="1"/>
      <c r="D252" s="1"/>
      <c r="E252" s="1"/>
      <c r="G252" s="4"/>
      <c r="H252" s="1"/>
    </row>
    <row r="253" spans="1:8" ht="19.5">
      <c r="A253" s="1"/>
      <c r="B253" s="1"/>
      <c r="C253" s="1"/>
      <c r="D253" s="1"/>
      <c r="E253" s="1"/>
      <c r="G253" s="4"/>
      <c r="H253" s="1"/>
    </row>
    <row r="254" spans="1:8" ht="19.5">
      <c r="A254" s="1"/>
      <c r="B254" s="1"/>
      <c r="C254" s="1"/>
      <c r="D254" s="1"/>
      <c r="E254" s="1"/>
      <c r="G254" s="4"/>
      <c r="H254" s="1"/>
    </row>
    <row r="255" spans="1:8" ht="19.5">
      <c r="A255" s="1"/>
      <c r="B255" s="1"/>
      <c r="C255" s="1"/>
      <c r="D255" s="1"/>
      <c r="E255" s="1"/>
      <c r="G255" s="4"/>
      <c r="H255" s="1"/>
    </row>
    <row r="256" spans="1:8" ht="19.5">
      <c r="A256" s="1"/>
      <c r="B256" s="1"/>
      <c r="C256" s="1"/>
      <c r="D256" s="1"/>
      <c r="E256" s="1"/>
      <c r="G256" s="4"/>
      <c r="H256" s="1"/>
    </row>
    <row r="257" spans="1:8" ht="19.5">
      <c r="A257" s="1"/>
      <c r="B257" s="1"/>
      <c r="C257" s="1"/>
      <c r="D257" s="1"/>
      <c r="E257" s="1"/>
      <c r="G257" s="4"/>
      <c r="H257" s="1"/>
    </row>
    <row r="258" spans="1:8" ht="19.5">
      <c r="A258" s="1"/>
      <c r="B258" s="1"/>
      <c r="C258" s="1"/>
      <c r="D258" s="1"/>
      <c r="E258" s="1"/>
      <c r="G258" s="4"/>
      <c r="H258" s="1"/>
    </row>
    <row r="259" spans="1:8" ht="19.5">
      <c r="A259" s="1"/>
      <c r="B259" s="1"/>
      <c r="C259" s="1"/>
      <c r="D259" s="1"/>
      <c r="E259" s="1"/>
      <c r="G259" s="4"/>
      <c r="H259" s="1"/>
    </row>
    <row r="260" spans="1:8" ht="19.5">
      <c r="A260" s="1"/>
      <c r="B260" s="1"/>
      <c r="C260" s="1"/>
      <c r="D260" s="1"/>
      <c r="E260" s="1"/>
      <c r="G260" s="4"/>
      <c r="H260" s="1"/>
    </row>
    <row r="261" spans="1:8" ht="19.5">
      <c r="A261" s="1"/>
      <c r="B261" s="1"/>
      <c r="C261" s="1"/>
      <c r="D261" s="1"/>
      <c r="E261" s="1"/>
      <c r="G261" s="4"/>
      <c r="H261" s="1"/>
    </row>
    <row r="262" spans="1:8" ht="19.5">
      <c r="A262" s="1"/>
      <c r="B262" s="1"/>
      <c r="C262" s="1"/>
      <c r="D262" s="1"/>
      <c r="E262" s="1"/>
      <c r="G262" s="4"/>
      <c r="H262" s="1"/>
    </row>
    <row r="263" spans="1:8" ht="19.5">
      <c r="A263" s="1"/>
      <c r="B263" s="1"/>
      <c r="C263" s="1"/>
      <c r="D263" s="1"/>
      <c r="E263" s="1"/>
      <c r="G263" s="4"/>
      <c r="H263" s="1"/>
    </row>
    <row r="264" spans="1:8" ht="19.5">
      <c r="A264" s="1"/>
      <c r="B264" s="1"/>
      <c r="C264" s="1"/>
      <c r="D264" s="1"/>
      <c r="E264" s="1"/>
      <c r="G264" s="4"/>
      <c r="H264" s="1"/>
    </row>
    <row r="265" spans="1:8" ht="19.5">
      <c r="A265" s="1"/>
      <c r="B265" s="1"/>
      <c r="C265" s="1"/>
      <c r="D265" s="1"/>
      <c r="E265" s="1"/>
      <c r="G265" s="4"/>
      <c r="H265" s="1"/>
    </row>
    <row r="266" spans="1:8" ht="19.5">
      <c r="A266" s="1"/>
      <c r="B266" s="1"/>
      <c r="C266" s="1"/>
      <c r="D266" s="1"/>
      <c r="E266" s="1"/>
      <c r="G266" s="4"/>
      <c r="H266" s="1"/>
    </row>
    <row r="267" spans="1:8" ht="19.5">
      <c r="A267" s="1"/>
      <c r="B267" s="1"/>
      <c r="C267" s="1"/>
      <c r="D267" s="1"/>
      <c r="E267" s="1"/>
      <c r="G267" s="4"/>
      <c r="H267" s="1"/>
    </row>
    <row r="268" spans="1:8" ht="19.5">
      <c r="A268" s="1"/>
      <c r="B268" s="1"/>
      <c r="C268" s="1"/>
      <c r="D268" s="1"/>
      <c r="E268" s="1"/>
      <c r="G268" s="4"/>
      <c r="H268" s="1"/>
    </row>
    <row r="269" spans="1:8" ht="19.5">
      <c r="A269" s="1"/>
      <c r="B269" s="1"/>
      <c r="C269" s="1"/>
      <c r="D269" s="1"/>
      <c r="E269" s="1"/>
      <c r="G269" s="4"/>
      <c r="H269" s="1"/>
    </row>
    <row r="270" spans="1:8" ht="19.5">
      <c r="A270" s="1"/>
      <c r="B270" s="1"/>
      <c r="C270" s="1"/>
      <c r="D270" s="1"/>
      <c r="E270" s="1"/>
      <c r="G270" s="4"/>
      <c r="H270" s="1"/>
    </row>
    <row r="271" spans="1:8" ht="19.5">
      <c r="A271" s="1"/>
      <c r="B271" s="1"/>
      <c r="C271" s="1"/>
      <c r="D271" s="1"/>
      <c r="E271" s="1"/>
      <c r="G271" s="4"/>
      <c r="H271" s="1"/>
    </row>
    <row r="272" spans="1:8" ht="19.5">
      <c r="A272" s="1"/>
      <c r="B272" s="1"/>
      <c r="C272" s="1"/>
      <c r="D272" s="1"/>
      <c r="E272" s="1"/>
      <c r="G272" s="4"/>
      <c r="H272" s="1"/>
    </row>
    <row r="273" spans="1:8" ht="19.5">
      <c r="A273" s="1"/>
      <c r="B273" s="1"/>
      <c r="C273" s="1"/>
      <c r="D273" s="1"/>
      <c r="E273" s="1"/>
      <c r="G273" s="4"/>
      <c r="H273" s="1"/>
    </row>
    <row r="274" spans="1:8" ht="19.5">
      <c r="A274" s="1"/>
      <c r="B274" s="1"/>
      <c r="C274" s="1"/>
      <c r="D274" s="1"/>
      <c r="E274" s="1"/>
      <c r="G274" s="4"/>
      <c r="H274" s="1"/>
    </row>
    <row r="275" spans="1:8" ht="19.5">
      <c r="A275" s="1"/>
      <c r="B275" s="1"/>
      <c r="C275" s="1"/>
      <c r="D275" s="1"/>
      <c r="E275" s="1"/>
      <c r="G275" s="4"/>
      <c r="H275" s="1"/>
    </row>
    <row r="276" spans="1:8" ht="19.5">
      <c r="A276" s="1"/>
      <c r="B276" s="1"/>
      <c r="C276" s="1"/>
      <c r="D276" s="1"/>
      <c r="E276" s="1"/>
      <c r="G276" s="4"/>
      <c r="H276" s="1"/>
    </row>
    <row r="277" spans="1:8" ht="19.5">
      <c r="A277" s="1"/>
      <c r="B277" s="1"/>
      <c r="C277" s="1"/>
      <c r="D277" s="1"/>
      <c r="E277" s="1"/>
      <c r="G277" s="4"/>
      <c r="H277" s="1"/>
    </row>
    <row r="278" spans="1:8" ht="19.5">
      <c r="A278" s="1"/>
      <c r="B278" s="1"/>
      <c r="C278" s="1"/>
      <c r="D278" s="1"/>
      <c r="E278" s="1"/>
      <c r="G278" s="4"/>
      <c r="H278" s="1"/>
    </row>
    <row r="279" spans="1:8" ht="19.5">
      <c r="A279" s="1"/>
      <c r="B279" s="1"/>
      <c r="C279" s="1"/>
      <c r="D279" s="1"/>
      <c r="E279" s="1"/>
      <c r="G279" s="4"/>
      <c r="H279" s="1"/>
    </row>
    <row r="280" spans="1:8" ht="19.5">
      <c r="A280" s="1"/>
      <c r="B280" s="1"/>
      <c r="C280" s="1"/>
      <c r="D280" s="1"/>
      <c r="E280" s="1"/>
      <c r="G280" s="4"/>
      <c r="H280" s="1"/>
    </row>
    <row r="281" spans="1:8" ht="19.5">
      <c r="A281" s="1"/>
      <c r="B281" s="1"/>
      <c r="C281" s="1"/>
      <c r="D281" s="1"/>
      <c r="E281" s="1"/>
      <c r="G281" s="4"/>
      <c r="H281" s="1"/>
    </row>
    <row r="282" spans="1:8" ht="19.5">
      <c r="A282" s="1"/>
      <c r="B282" s="1"/>
      <c r="C282" s="1"/>
      <c r="D282" s="1"/>
      <c r="E282" s="1"/>
      <c r="G282" s="4"/>
      <c r="H282" s="1"/>
    </row>
    <row r="283" spans="1:8" ht="19.5">
      <c r="A283" s="1"/>
      <c r="B283" s="1"/>
      <c r="C283" s="1"/>
      <c r="D283" s="1"/>
      <c r="E283" s="1"/>
      <c r="G283" s="4"/>
      <c r="H283" s="1"/>
    </row>
    <row r="284" spans="1:8" ht="19.5">
      <c r="A284" s="1"/>
      <c r="B284" s="1"/>
      <c r="C284" s="1"/>
      <c r="D284" s="1"/>
      <c r="E284" s="1"/>
      <c r="G284" s="4"/>
      <c r="H284" s="1"/>
    </row>
    <row r="285" spans="1:8" ht="19.5">
      <c r="A285" s="1"/>
      <c r="B285" s="1"/>
      <c r="C285" s="1"/>
      <c r="D285" s="1"/>
      <c r="E285" s="1"/>
      <c r="G285" s="4"/>
      <c r="H285" s="1"/>
    </row>
    <row r="286" spans="1:8" ht="19.5">
      <c r="A286" s="1"/>
      <c r="B286" s="1"/>
      <c r="C286" s="1"/>
      <c r="D286" s="1"/>
      <c r="E286" s="1"/>
      <c r="G286" s="4"/>
      <c r="H286" s="1"/>
    </row>
    <row r="287" spans="1:8" ht="19.5">
      <c r="A287" s="1"/>
      <c r="B287" s="1"/>
      <c r="C287" s="1"/>
      <c r="D287" s="1"/>
      <c r="E287" s="1"/>
      <c r="G287" s="4"/>
      <c r="H287" s="1"/>
    </row>
    <row r="288" spans="1:8" ht="19.5">
      <c r="A288" s="1"/>
      <c r="B288" s="1"/>
      <c r="C288" s="1"/>
      <c r="D288" s="1"/>
      <c r="E288" s="1"/>
      <c r="G288" s="4"/>
      <c r="H288" s="1"/>
    </row>
    <row r="289" spans="1:8" ht="19.5">
      <c r="A289" s="1"/>
      <c r="B289" s="1"/>
      <c r="C289" s="1"/>
      <c r="D289" s="1"/>
      <c r="E289" s="1"/>
      <c r="G289" s="4"/>
      <c r="H289" s="1"/>
    </row>
    <row r="290" spans="1:8" ht="19.5">
      <c r="A290" s="1"/>
      <c r="B290" s="1"/>
      <c r="C290" s="1"/>
      <c r="D290" s="1"/>
      <c r="E290" s="1"/>
      <c r="G290" s="4"/>
      <c r="H290" s="1"/>
    </row>
    <row r="291" spans="1:8" ht="19.5">
      <c r="A291" s="1"/>
      <c r="B291" s="1"/>
      <c r="C291" s="1"/>
      <c r="D291" s="1"/>
      <c r="E291" s="1"/>
      <c r="G291" s="4"/>
      <c r="H291" s="1"/>
    </row>
    <row r="292" spans="1:8" ht="19.5">
      <c r="A292" s="1"/>
      <c r="B292" s="1"/>
      <c r="C292" s="1"/>
      <c r="D292" s="1"/>
      <c r="E292" s="1"/>
      <c r="G292" s="4"/>
      <c r="H292" s="1"/>
    </row>
    <row r="293" spans="1:8" ht="19.5">
      <c r="A293" s="1"/>
      <c r="B293" s="1"/>
      <c r="C293" s="1"/>
      <c r="D293" s="1"/>
      <c r="E293" s="1"/>
      <c r="G293" s="4"/>
      <c r="H293" s="1"/>
    </row>
    <row r="294" spans="1:8" ht="19.5">
      <c r="A294" s="1"/>
      <c r="B294" s="1"/>
      <c r="C294" s="1"/>
      <c r="D294" s="1"/>
      <c r="E294" s="1"/>
      <c r="G294" s="4"/>
      <c r="H294" s="1"/>
    </row>
    <row r="295" spans="1:8" ht="19.5">
      <c r="A295" s="1"/>
      <c r="B295" s="1"/>
      <c r="C295" s="1"/>
      <c r="D295" s="1"/>
      <c r="E295" s="1"/>
      <c r="G295" s="4"/>
      <c r="H295" s="1"/>
    </row>
    <row r="296" spans="1:8" ht="19.5">
      <c r="A296" s="1"/>
      <c r="B296" s="1"/>
      <c r="C296" s="1"/>
      <c r="D296" s="1"/>
      <c r="E296" s="1"/>
      <c r="G296" s="4"/>
      <c r="H296" s="1"/>
    </row>
    <row r="297" spans="1:8" ht="19.5">
      <c r="A297" s="1"/>
      <c r="B297" s="1"/>
      <c r="C297" s="1"/>
      <c r="D297" s="1"/>
      <c r="E297" s="1"/>
      <c r="G297" s="4"/>
      <c r="H297" s="1"/>
    </row>
    <row r="298" spans="1:8" ht="19.5">
      <c r="A298" s="1"/>
      <c r="B298" s="1"/>
      <c r="C298" s="1"/>
      <c r="D298" s="1"/>
      <c r="E298" s="1"/>
      <c r="G298" s="4"/>
      <c r="H298" s="1"/>
    </row>
    <row r="299" spans="1:8" ht="19.5">
      <c r="A299" s="1"/>
      <c r="B299" s="1"/>
      <c r="C299" s="1"/>
      <c r="D299" s="1"/>
      <c r="E299" s="1"/>
      <c r="G299" s="4"/>
      <c r="H299" s="1"/>
    </row>
    <row r="300" spans="1:8" ht="19.5">
      <c r="A300" s="1"/>
      <c r="B300" s="1"/>
      <c r="C300" s="1"/>
      <c r="D300" s="1"/>
      <c r="E300" s="1"/>
      <c r="G300" s="4"/>
      <c r="H300" s="1"/>
    </row>
    <row r="301" spans="1:8" ht="19.5">
      <c r="A301" s="1"/>
      <c r="B301" s="1"/>
      <c r="C301" s="1"/>
      <c r="D301" s="1"/>
      <c r="E301" s="1"/>
      <c r="G301" s="4"/>
      <c r="H301" s="1"/>
    </row>
    <row r="302" spans="1:8" ht="19.5">
      <c r="A302" s="1"/>
      <c r="B302" s="1"/>
      <c r="C302" s="1"/>
      <c r="D302" s="1"/>
      <c r="E302" s="1"/>
      <c r="G302" s="4"/>
      <c r="H302" s="1"/>
    </row>
    <row r="303" spans="1:8" ht="19.5">
      <c r="A303" s="1"/>
      <c r="B303" s="1"/>
      <c r="C303" s="1"/>
      <c r="D303" s="1"/>
      <c r="E303" s="1"/>
      <c r="G303" s="4"/>
      <c r="H303" s="1"/>
    </row>
    <row r="304" spans="1:8" ht="19.5">
      <c r="A304" s="1"/>
      <c r="B304" s="1"/>
      <c r="C304" s="1"/>
      <c r="D304" s="1"/>
      <c r="E304" s="1"/>
      <c r="G304" s="4"/>
      <c r="H304" s="1"/>
    </row>
    <row r="305" spans="1:8" ht="19.5">
      <c r="A305" s="1"/>
      <c r="B305" s="1"/>
      <c r="C305" s="1"/>
      <c r="D305" s="1"/>
      <c r="E305" s="1"/>
      <c r="G305" s="4"/>
      <c r="H305" s="1"/>
    </row>
    <row r="306" spans="1:8" ht="19.5">
      <c r="A306" s="1"/>
      <c r="B306" s="1"/>
      <c r="C306" s="1"/>
      <c r="D306" s="1"/>
      <c r="E306" s="1"/>
      <c r="G306" s="4"/>
      <c r="H306" s="1"/>
    </row>
    <row r="307" spans="1:8" ht="19.5">
      <c r="A307" s="1"/>
      <c r="B307" s="1"/>
      <c r="C307" s="1"/>
      <c r="D307" s="1"/>
      <c r="E307" s="1"/>
      <c r="G307" s="4"/>
      <c r="H307" s="1"/>
    </row>
    <row r="308" spans="1:8" ht="19.5">
      <c r="A308" s="1"/>
      <c r="B308" s="1"/>
      <c r="C308" s="1"/>
      <c r="D308" s="1"/>
      <c r="E308" s="1"/>
      <c r="G308" s="4"/>
      <c r="H308" s="1"/>
    </row>
    <row r="309" spans="1:8" ht="19.5">
      <c r="A309" s="1"/>
      <c r="B309" s="1"/>
      <c r="C309" s="1"/>
      <c r="D309" s="1"/>
      <c r="E309" s="1"/>
      <c r="G309" s="4"/>
      <c r="H309" s="1"/>
    </row>
    <row r="310" spans="1:8" ht="19.5">
      <c r="A310" s="1"/>
      <c r="B310" s="1"/>
      <c r="C310" s="1"/>
      <c r="D310" s="1"/>
      <c r="E310" s="1"/>
      <c r="G310" s="4"/>
      <c r="H310" s="1"/>
    </row>
    <row r="311" spans="1:8" ht="19.5">
      <c r="A311" s="1"/>
      <c r="B311" s="1"/>
      <c r="C311" s="1"/>
      <c r="D311" s="1"/>
      <c r="E311" s="1"/>
      <c r="G311" s="4"/>
      <c r="H311" s="1"/>
    </row>
    <row r="312" spans="1:8" ht="19.5">
      <c r="A312" s="1"/>
      <c r="B312" s="1"/>
      <c r="C312" s="1"/>
      <c r="D312" s="1"/>
      <c r="E312" s="1"/>
      <c r="G312" s="4"/>
      <c r="H312" s="1"/>
    </row>
    <row r="313" spans="1:8" ht="19.5">
      <c r="A313" s="1"/>
      <c r="B313" s="1"/>
      <c r="C313" s="1"/>
      <c r="D313" s="1"/>
      <c r="E313" s="1"/>
      <c r="G313" s="4"/>
      <c r="H313" s="1"/>
    </row>
    <row r="314" spans="1:8" ht="19.5">
      <c r="A314" s="1"/>
      <c r="B314" s="1"/>
      <c r="C314" s="1"/>
      <c r="D314" s="1"/>
      <c r="E314" s="1"/>
      <c r="G314" s="4"/>
      <c r="H314" s="1"/>
    </row>
    <row r="315" spans="1:8" ht="19.5">
      <c r="A315" s="1"/>
      <c r="B315" s="1"/>
      <c r="C315" s="1"/>
      <c r="D315" s="1"/>
      <c r="E315" s="1"/>
      <c r="G315" s="4"/>
      <c r="H315" s="1"/>
    </row>
    <row r="316" spans="1:8" ht="19.5">
      <c r="A316" s="1"/>
      <c r="B316" s="1"/>
      <c r="C316" s="1"/>
      <c r="D316" s="1"/>
      <c r="E316" s="1"/>
      <c r="G316" s="4"/>
      <c r="H316" s="1"/>
    </row>
    <row r="317" spans="1:8" ht="19.5">
      <c r="A317" s="1"/>
      <c r="B317" s="1"/>
      <c r="C317" s="1"/>
      <c r="D317" s="1"/>
      <c r="E317" s="1"/>
      <c r="G317" s="4"/>
      <c r="H317" s="1"/>
    </row>
    <row r="318" spans="1:8" ht="19.5">
      <c r="A318" s="1"/>
      <c r="B318" s="1"/>
      <c r="C318" s="1"/>
      <c r="D318" s="1"/>
      <c r="E318" s="1"/>
      <c r="G318" s="4"/>
      <c r="H318" s="1"/>
    </row>
    <row r="319" spans="1:8" ht="19.5">
      <c r="A319" s="1"/>
      <c r="B319" s="1"/>
      <c r="C319" s="1"/>
      <c r="D319" s="1"/>
      <c r="E319" s="1"/>
      <c r="G319" s="4"/>
      <c r="H319" s="1"/>
    </row>
    <row r="320" spans="1:8" ht="19.5">
      <c r="A320" s="1"/>
      <c r="B320" s="1"/>
      <c r="C320" s="1"/>
      <c r="D320" s="1"/>
      <c r="E320" s="1"/>
      <c r="G320" s="4"/>
      <c r="H320" s="1"/>
    </row>
    <row r="321" spans="1:8" ht="19.5">
      <c r="A321" s="1"/>
      <c r="B321" s="1"/>
      <c r="C321" s="1"/>
      <c r="D321" s="1"/>
      <c r="E321" s="1"/>
      <c r="G321" s="4"/>
      <c r="H321" s="1"/>
    </row>
    <row r="322" spans="1:8" ht="19.5">
      <c r="A322" s="1"/>
      <c r="B322" s="1"/>
      <c r="C322" s="1"/>
      <c r="D322" s="1"/>
      <c r="E322" s="1"/>
      <c r="G322" s="4"/>
      <c r="H322" s="1"/>
    </row>
    <row r="323" spans="1:8" ht="19.5">
      <c r="A323" s="1"/>
      <c r="B323" s="1"/>
      <c r="C323" s="1"/>
      <c r="D323" s="1"/>
      <c r="E323" s="1"/>
      <c r="G323" s="4"/>
      <c r="H323" s="1"/>
    </row>
    <row r="324" spans="1:8" ht="19.5">
      <c r="A324" s="1"/>
      <c r="B324" s="1"/>
      <c r="C324" s="1"/>
      <c r="D324" s="1"/>
      <c r="E324" s="1"/>
      <c r="G324" s="4"/>
      <c r="H324" s="1"/>
    </row>
    <row r="325" spans="1:8" ht="19.5">
      <c r="A325" s="1"/>
      <c r="B325" s="1"/>
      <c r="C325" s="1"/>
      <c r="D325" s="1"/>
      <c r="E325" s="1"/>
      <c r="G325" s="4"/>
      <c r="H325" s="1"/>
    </row>
    <row r="326" spans="1:8" ht="19.5">
      <c r="A326" s="1"/>
      <c r="B326" s="1"/>
      <c r="C326" s="1"/>
      <c r="D326" s="1"/>
      <c r="E326" s="1"/>
      <c r="G326" s="4"/>
      <c r="H326" s="1"/>
    </row>
    <row r="327" spans="1:8" ht="19.5">
      <c r="A327" s="1"/>
      <c r="B327" s="1"/>
      <c r="C327" s="1"/>
      <c r="D327" s="1"/>
      <c r="E327" s="1"/>
      <c r="G327" s="4"/>
      <c r="H327" s="1"/>
    </row>
    <row r="328" spans="1:8" ht="19.5">
      <c r="A328" s="1"/>
      <c r="B328" s="1"/>
      <c r="C328" s="1"/>
      <c r="D328" s="1"/>
      <c r="E328" s="1"/>
      <c r="G328" s="4"/>
      <c r="H328" s="1"/>
    </row>
    <row r="329" spans="1:8" ht="19.5">
      <c r="A329" s="1"/>
      <c r="B329" s="1"/>
      <c r="C329" s="1"/>
      <c r="D329" s="1"/>
      <c r="E329" s="1"/>
      <c r="G329" s="4"/>
      <c r="H329" s="1"/>
    </row>
    <row r="330" spans="1:8" ht="19.5">
      <c r="A330" s="1"/>
      <c r="B330" s="1"/>
      <c r="C330" s="1"/>
      <c r="D330" s="1"/>
      <c r="E330" s="1"/>
      <c r="G330" s="4"/>
      <c r="H330" s="1"/>
    </row>
    <row r="331" spans="1:8" ht="19.5">
      <c r="A331" s="1"/>
      <c r="B331" s="1"/>
      <c r="C331" s="1"/>
      <c r="D331" s="1"/>
      <c r="E331" s="1"/>
      <c r="G331" s="4"/>
      <c r="H331" s="1"/>
    </row>
    <row r="332" spans="1:8" ht="19.5">
      <c r="A332" s="1"/>
      <c r="B332" s="1"/>
      <c r="C332" s="1"/>
      <c r="D332" s="1"/>
      <c r="E332" s="1"/>
      <c r="G332" s="4"/>
      <c r="H332" s="1"/>
    </row>
    <row r="333" spans="1:8" ht="19.5">
      <c r="A333" s="1"/>
      <c r="B333" s="1"/>
      <c r="C333" s="1"/>
      <c r="D333" s="1"/>
      <c r="E333" s="1"/>
      <c r="G333" s="4"/>
      <c r="H333" s="1"/>
    </row>
    <row r="334" spans="1:8" ht="19.5">
      <c r="A334" s="1"/>
      <c r="B334" s="1"/>
      <c r="C334" s="1"/>
      <c r="D334" s="1"/>
      <c r="E334" s="1"/>
      <c r="G334" s="4"/>
      <c r="H334" s="1"/>
    </row>
    <row r="335" spans="1:8" ht="19.5">
      <c r="A335" s="1"/>
      <c r="B335" s="1"/>
      <c r="C335" s="1"/>
      <c r="D335" s="1"/>
      <c r="E335" s="1"/>
      <c r="G335" s="4"/>
      <c r="H335" s="1"/>
    </row>
    <row r="336" spans="1:8" ht="19.5">
      <c r="A336" s="1"/>
      <c r="B336" s="1"/>
      <c r="C336" s="1"/>
      <c r="D336" s="1"/>
      <c r="E336" s="1"/>
      <c r="G336" s="4"/>
      <c r="H336" s="1"/>
    </row>
    <row r="337" spans="1:8" ht="19.5">
      <c r="A337" s="1"/>
      <c r="B337" s="1"/>
      <c r="C337" s="1"/>
      <c r="D337" s="1"/>
      <c r="E337" s="1"/>
      <c r="G337" s="4"/>
      <c r="H337" s="1"/>
    </row>
    <row r="338" spans="1:8" ht="19.5">
      <c r="A338" s="1"/>
      <c r="B338" s="1"/>
      <c r="C338" s="1"/>
      <c r="D338" s="1"/>
      <c r="E338" s="1"/>
      <c r="G338" s="4"/>
      <c r="H338" s="1"/>
    </row>
    <row r="339" spans="1:8" ht="19.5">
      <c r="A339" s="1"/>
      <c r="B339" s="1"/>
      <c r="C339" s="1"/>
      <c r="D339" s="1"/>
      <c r="E339" s="1"/>
      <c r="G339" s="4"/>
      <c r="H339" s="1"/>
    </row>
    <row r="340" spans="1:8" ht="19.5">
      <c r="A340" s="1"/>
      <c r="B340" s="1"/>
      <c r="C340" s="1"/>
      <c r="D340" s="1"/>
      <c r="E340" s="1"/>
      <c r="G340" s="4"/>
      <c r="H340" s="1"/>
    </row>
    <row r="341" spans="1:8" ht="19.5">
      <c r="A341" s="1"/>
      <c r="B341" s="1"/>
      <c r="C341" s="1"/>
      <c r="D341" s="1"/>
      <c r="E341" s="1"/>
      <c r="G341" s="4"/>
      <c r="H341" s="1"/>
    </row>
    <row r="342" spans="1:8" ht="19.5">
      <c r="A342" s="1"/>
      <c r="B342" s="1"/>
      <c r="C342" s="1"/>
      <c r="D342" s="1"/>
      <c r="E342" s="1"/>
      <c r="G342" s="4"/>
      <c r="H342" s="1"/>
    </row>
    <row r="343" spans="1:8" ht="19.5">
      <c r="A343" s="1"/>
      <c r="B343" s="1"/>
      <c r="C343" s="1"/>
      <c r="D343" s="1"/>
      <c r="E343" s="1"/>
      <c r="G343" s="4"/>
      <c r="H343" s="1"/>
    </row>
    <row r="344" spans="1:8" ht="19.5">
      <c r="A344" s="1"/>
      <c r="B344" s="1"/>
      <c r="C344" s="1"/>
      <c r="D344" s="1"/>
      <c r="E344" s="1"/>
      <c r="G344" s="4"/>
      <c r="H344" s="1"/>
    </row>
    <row r="345" spans="1:8" ht="19.5">
      <c r="A345" s="1"/>
      <c r="B345" s="1"/>
      <c r="C345" s="1"/>
      <c r="D345" s="1"/>
      <c r="E345" s="1"/>
      <c r="G345" s="4"/>
      <c r="H345" s="1"/>
    </row>
    <row r="346" spans="1:8" ht="19.5">
      <c r="A346" s="1"/>
      <c r="B346" s="1"/>
      <c r="C346" s="1"/>
      <c r="D346" s="1"/>
      <c r="E346" s="1"/>
      <c r="G346" s="4"/>
      <c r="H346" s="1"/>
    </row>
    <row r="347" spans="1:8" ht="19.5">
      <c r="A347" s="1"/>
      <c r="B347" s="1"/>
      <c r="C347" s="1"/>
      <c r="D347" s="1"/>
      <c r="E347" s="1"/>
      <c r="G347" s="4"/>
      <c r="H347" s="1"/>
    </row>
    <row r="348" spans="1:8" ht="19.5">
      <c r="A348" s="1"/>
      <c r="B348" s="1"/>
      <c r="C348" s="1"/>
      <c r="D348" s="1"/>
      <c r="E348" s="1"/>
      <c r="G348" s="4"/>
      <c r="H348" s="1"/>
    </row>
    <row r="349" spans="1:8" ht="19.5">
      <c r="A349" s="1"/>
      <c r="B349" s="1"/>
      <c r="C349" s="1"/>
      <c r="D349" s="1"/>
      <c r="E349" s="1"/>
      <c r="G349" s="4"/>
      <c r="H349" s="1"/>
    </row>
    <row r="350" spans="1:8" ht="19.5">
      <c r="A350" s="1"/>
      <c r="B350" s="1"/>
      <c r="C350" s="1"/>
      <c r="D350" s="1"/>
      <c r="E350" s="1"/>
      <c r="G350" s="4"/>
      <c r="H350" s="1"/>
    </row>
    <row r="351" spans="1:8" ht="19.5">
      <c r="A351" s="1"/>
      <c r="B351" s="1"/>
      <c r="C351" s="1"/>
      <c r="D351" s="1"/>
      <c r="E351" s="1"/>
      <c r="G351" s="4"/>
      <c r="H351" s="1"/>
    </row>
    <row r="352" spans="1:8" ht="19.5">
      <c r="A352" s="1"/>
      <c r="B352" s="1"/>
      <c r="C352" s="1"/>
      <c r="D352" s="1"/>
      <c r="E352" s="1"/>
      <c r="G352" s="4"/>
      <c r="H352" s="1"/>
    </row>
    <row r="353" spans="1:8" ht="19.5">
      <c r="A353" s="1"/>
      <c r="B353" s="1"/>
      <c r="C353" s="1"/>
      <c r="D353" s="1"/>
      <c r="E353" s="1"/>
      <c r="G353" s="4"/>
      <c r="H353" s="1"/>
    </row>
    <row r="354" spans="1:8" ht="19.5">
      <c r="A354" s="1"/>
      <c r="B354" s="1"/>
      <c r="C354" s="1"/>
      <c r="D354" s="1"/>
      <c r="E354" s="1"/>
      <c r="G354" s="4"/>
      <c r="H354" s="1"/>
    </row>
    <row r="355" spans="1:8" ht="19.5">
      <c r="A355" s="1"/>
      <c r="B355" s="1"/>
      <c r="C355" s="1"/>
      <c r="D355" s="1"/>
      <c r="E355" s="1"/>
      <c r="G355" s="4"/>
      <c r="H355" s="1"/>
    </row>
    <row r="356" spans="1:8" ht="19.5">
      <c r="A356" s="1"/>
      <c r="B356" s="1"/>
      <c r="C356" s="1"/>
      <c r="D356" s="1"/>
      <c r="E356" s="1"/>
      <c r="G356" s="4"/>
      <c r="H356" s="1"/>
    </row>
    <row r="357" spans="1:8" ht="19.5">
      <c r="A357" s="1"/>
      <c r="B357" s="1"/>
      <c r="C357" s="1"/>
      <c r="D357" s="1"/>
      <c r="E357" s="1"/>
      <c r="G357" s="4"/>
      <c r="H357" s="1"/>
    </row>
    <row r="358" spans="1:8" ht="19.5">
      <c r="A358" s="1"/>
      <c r="B358" s="1"/>
      <c r="C358" s="1"/>
      <c r="D358" s="1"/>
      <c r="E358" s="1"/>
      <c r="G358" s="4"/>
      <c r="H358" s="1"/>
    </row>
    <row r="359" spans="1:8" ht="19.5">
      <c r="A359" s="1"/>
      <c r="B359" s="1"/>
      <c r="C359" s="1"/>
      <c r="D359" s="1"/>
      <c r="E359" s="1"/>
      <c r="G359" s="4"/>
      <c r="H359" s="1"/>
    </row>
    <row r="360" spans="1:8" ht="19.5">
      <c r="A360" s="1"/>
      <c r="B360" s="1"/>
      <c r="C360" s="1"/>
      <c r="D360" s="1"/>
      <c r="E360" s="1"/>
      <c r="G360" s="4"/>
      <c r="H360" s="1"/>
    </row>
    <row r="361" spans="1:8" ht="19.5">
      <c r="A361" s="1"/>
      <c r="B361" s="1"/>
      <c r="C361" s="1"/>
      <c r="D361" s="1"/>
      <c r="E361" s="1"/>
      <c r="G361" s="4"/>
      <c r="H361" s="1"/>
    </row>
    <row r="362" spans="1:8" ht="19.5">
      <c r="A362" s="1"/>
      <c r="B362" s="1"/>
      <c r="C362" s="1"/>
      <c r="D362" s="1"/>
      <c r="E362" s="1"/>
      <c r="G362" s="4"/>
      <c r="H362" s="1"/>
    </row>
    <row r="363" spans="1:8" ht="19.5">
      <c r="A363" s="1"/>
      <c r="B363" s="1"/>
      <c r="C363" s="1"/>
      <c r="D363" s="1"/>
      <c r="E363" s="1"/>
      <c r="G363" s="4"/>
      <c r="H363" s="1"/>
    </row>
    <row r="364" spans="1:8" ht="19.5">
      <c r="A364" s="1"/>
      <c r="B364" s="1"/>
      <c r="C364" s="1"/>
      <c r="D364" s="1"/>
      <c r="E364" s="1"/>
      <c r="G364" s="4"/>
      <c r="H364" s="1"/>
    </row>
    <row r="365" spans="1:8" ht="19.5">
      <c r="A365" s="1"/>
      <c r="B365" s="1"/>
      <c r="C365" s="1"/>
      <c r="D365" s="1"/>
      <c r="E365" s="1"/>
      <c r="G365" s="4"/>
      <c r="H365" s="1"/>
    </row>
    <row r="366" spans="1:8" ht="19.5">
      <c r="A366" s="1"/>
      <c r="B366" s="1"/>
      <c r="C366" s="1"/>
      <c r="D366" s="1"/>
      <c r="E366" s="1"/>
      <c r="G366" s="4"/>
      <c r="H366" s="1"/>
    </row>
    <row r="367" spans="1:8" ht="19.5">
      <c r="A367" s="1"/>
      <c r="B367" s="1"/>
      <c r="C367" s="1"/>
      <c r="D367" s="1"/>
      <c r="E367" s="1"/>
      <c r="G367" s="4"/>
      <c r="H367" s="1"/>
    </row>
    <row r="368" spans="1:8" ht="19.5">
      <c r="A368" s="1"/>
      <c r="B368" s="1"/>
      <c r="C368" s="1"/>
      <c r="D368" s="1"/>
      <c r="E368" s="1"/>
      <c r="G368" s="4"/>
      <c r="H368" s="1"/>
    </row>
    <row r="369" spans="1:8" ht="19.5">
      <c r="A369" s="1"/>
      <c r="B369" s="1"/>
      <c r="C369" s="1"/>
      <c r="D369" s="1"/>
      <c r="E369" s="1"/>
      <c r="G369" s="4"/>
      <c r="H369" s="1"/>
    </row>
    <row r="370" spans="1:8" ht="19.5">
      <c r="A370" s="1"/>
      <c r="B370" s="1"/>
      <c r="C370" s="1"/>
      <c r="D370" s="1"/>
      <c r="E370" s="1"/>
      <c r="G370" s="4"/>
      <c r="H370" s="1"/>
    </row>
    <row r="371" spans="1:8" ht="19.5">
      <c r="A371" s="1"/>
      <c r="B371" s="1"/>
      <c r="C371" s="1"/>
      <c r="D371" s="1"/>
      <c r="E371" s="1"/>
      <c r="G371" s="4"/>
      <c r="H371" s="1"/>
    </row>
    <row r="372" spans="1:8" ht="19.5">
      <c r="A372" s="1"/>
      <c r="B372" s="1"/>
      <c r="C372" s="1"/>
      <c r="D372" s="1"/>
      <c r="E372" s="1"/>
      <c r="G372" s="4"/>
      <c r="H372" s="1"/>
    </row>
    <row r="373" spans="1:8" ht="19.5">
      <c r="A373" s="1"/>
      <c r="B373" s="1"/>
      <c r="C373" s="1"/>
      <c r="D373" s="1"/>
      <c r="E373" s="1"/>
      <c r="G373" s="4"/>
      <c r="H373" s="1"/>
    </row>
    <row r="374" spans="1:8" ht="19.5">
      <c r="A374" s="1"/>
      <c r="B374" s="1"/>
      <c r="C374" s="1"/>
      <c r="D374" s="1"/>
      <c r="E374" s="1"/>
      <c r="G374" s="4"/>
      <c r="H374" s="1"/>
    </row>
    <row r="375" spans="1:8" ht="19.5">
      <c r="A375" s="1"/>
      <c r="B375" s="1"/>
      <c r="C375" s="1"/>
      <c r="D375" s="1"/>
      <c r="E375" s="1"/>
      <c r="G375" s="4"/>
      <c r="H375" s="1"/>
    </row>
    <row r="376" spans="1:8" ht="19.5">
      <c r="A376" s="1"/>
      <c r="B376" s="1"/>
      <c r="C376" s="1"/>
      <c r="D376" s="1"/>
      <c r="E376" s="1"/>
      <c r="G376" s="4"/>
      <c r="H376" s="1"/>
    </row>
    <row r="377" spans="1:8" ht="19.5">
      <c r="A377" s="1"/>
      <c r="B377" s="1"/>
      <c r="C377" s="1"/>
      <c r="D377" s="1"/>
      <c r="E377" s="1"/>
      <c r="G377" s="4"/>
      <c r="H377" s="1"/>
    </row>
    <row r="378" spans="1:8" ht="19.5">
      <c r="A378" s="1"/>
      <c r="B378" s="1"/>
      <c r="C378" s="1"/>
      <c r="D378" s="1"/>
      <c r="E378" s="1"/>
      <c r="G378" s="4"/>
      <c r="H378" s="1"/>
    </row>
    <row r="379" spans="1:8" ht="19.5">
      <c r="A379" s="1"/>
      <c r="B379" s="1"/>
      <c r="C379" s="1"/>
      <c r="D379" s="1"/>
      <c r="E379" s="1"/>
      <c r="G379" s="4"/>
      <c r="H379" s="1"/>
    </row>
    <row r="380" spans="1:8" ht="19.5">
      <c r="A380" s="1"/>
      <c r="B380" s="1"/>
      <c r="C380" s="1"/>
      <c r="D380" s="1"/>
      <c r="E380" s="1"/>
      <c r="G380" s="4"/>
      <c r="H380" s="1"/>
    </row>
    <row r="381" spans="1:8" ht="19.5">
      <c r="A381" s="1"/>
      <c r="B381" s="1"/>
      <c r="C381" s="1"/>
      <c r="D381" s="1"/>
      <c r="E381" s="1"/>
      <c r="G381" s="4"/>
      <c r="H381" s="1"/>
    </row>
    <row r="382" spans="1:8" ht="19.5">
      <c r="A382" s="1"/>
      <c r="B382" s="1"/>
      <c r="C382" s="1"/>
      <c r="D382" s="1"/>
      <c r="E382" s="1"/>
      <c r="G382" s="4"/>
      <c r="H382" s="1"/>
    </row>
    <row r="383" spans="1:8" ht="19.5">
      <c r="A383" s="1"/>
      <c r="B383" s="1"/>
      <c r="C383" s="1"/>
      <c r="D383" s="1"/>
      <c r="E383" s="1"/>
      <c r="G383" s="4"/>
      <c r="H383" s="1"/>
    </row>
    <row r="384" spans="1:8" ht="19.5">
      <c r="A384" s="1"/>
      <c r="B384" s="1"/>
      <c r="C384" s="1"/>
      <c r="D384" s="1"/>
      <c r="E384" s="1"/>
      <c r="G384" s="4"/>
      <c r="H384" s="1"/>
    </row>
    <row r="385" spans="1:8" ht="19.5">
      <c r="A385" s="1"/>
      <c r="B385" s="1"/>
      <c r="C385" s="1"/>
      <c r="D385" s="1"/>
      <c r="E385" s="1"/>
      <c r="G385" s="4"/>
      <c r="H385" s="1"/>
    </row>
    <row r="386" spans="1:8" ht="19.5">
      <c r="A386" s="1"/>
      <c r="B386" s="1"/>
      <c r="C386" s="1"/>
      <c r="D386" s="1"/>
      <c r="E386" s="1"/>
      <c r="G386" s="4"/>
      <c r="H386" s="1"/>
    </row>
    <row r="387" spans="1:8" ht="19.5">
      <c r="A387" s="1"/>
      <c r="B387" s="1"/>
      <c r="C387" s="1"/>
      <c r="D387" s="1"/>
      <c r="E387" s="1"/>
      <c r="G387" s="4"/>
      <c r="H387" s="1"/>
    </row>
    <row r="388" spans="1:8" ht="19.5">
      <c r="A388" s="1"/>
      <c r="B388" s="1"/>
      <c r="C388" s="1"/>
      <c r="D388" s="1"/>
      <c r="E388" s="1"/>
      <c r="G388" s="4"/>
      <c r="H388" s="1"/>
    </row>
    <row r="389" spans="1:8" ht="19.5">
      <c r="A389" s="1"/>
      <c r="B389" s="1"/>
      <c r="C389" s="1"/>
      <c r="D389" s="1"/>
      <c r="E389" s="1"/>
      <c r="G389" s="4"/>
      <c r="H389" s="1"/>
    </row>
    <row r="390" spans="1:8" ht="19.5">
      <c r="A390" s="1"/>
      <c r="B390" s="1"/>
      <c r="C390" s="1"/>
      <c r="D390" s="1"/>
      <c r="E390" s="1"/>
      <c r="G390" s="4"/>
      <c r="H390" s="1"/>
    </row>
    <row r="391" spans="1:8" ht="19.5">
      <c r="A391" s="1"/>
      <c r="B391" s="1"/>
      <c r="C391" s="1"/>
      <c r="D391" s="1"/>
      <c r="E391" s="1"/>
      <c r="G391" s="4"/>
      <c r="H391" s="1"/>
    </row>
    <row r="392" spans="1:8" ht="19.5">
      <c r="A392" s="1"/>
      <c r="B392" s="1"/>
      <c r="C392" s="1"/>
      <c r="D392" s="1"/>
      <c r="E392" s="1"/>
      <c r="G392" s="4"/>
      <c r="H392" s="1"/>
    </row>
    <row r="393" spans="1:8" ht="19.5">
      <c r="A393" s="1"/>
      <c r="B393" s="1"/>
      <c r="C393" s="1"/>
      <c r="D393" s="1"/>
      <c r="E393" s="1"/>
      <c r="G393" s="4"/>
      <c r="H393" s="1"/>
    </row>
    <row r="394" spans="1:8" ht="19.5">
      <c r="A394" s="1"/>
      <c r="B394" s="1"/>
      <c r="C394" s="1"/>
      <c r="D394" s="1"/>
      <c r="E394" s="1"/>
      <c r="G394" s="4"/>
      <c r="H394" s="1"/>
    </row>
    <row r="395" spans="1:8" ht="19.5">
      <c r="A395" s="1"/>
      <c r="B395" s="1"/>
      <c r="C395" s="1"/>
      <c r="D395" s="1"/>
      <c r="E395" s="1"/>
      <c r="G395" s="4"/>
      <c r="H395" s="1"/>
    </row>
    <row r="396" spans="1:8" ht="19.5">
      <c r="A396" s="1"/>
      <c r="B396" s="1"/>
      <c r="C396" s="1"/>
      <c r="D396" s="1"/>
      <c r="E396" s="1"/>
      <c r="G396" s="4"/>
      <c r="H396" s="1"/>
    </row>
    <row r="397" spans="1:8" ht="19.5">
      <c r="A397" s="1"/>
      <c r="B397" s="1"/>
      <c r="C397" s="1"/>
      <c r="D397" s="1"/>
      <c r="E397" s="1"/>
      <c r="G397" s="4"/>
      <c r="H397" s="1"/>
    </row>
    <row r="398" spans="1:8" ht="19.5">
      <c r="A398" s="1"/>
      <c r="B398" s="1"/>
      <c r="C398" s="1"/>
      <c r="D398" s="1"/>
      <c r="E398" s="1"/>
      <c r="G398" s="4"/>
      <c r="H398" s="1"/>
    </row>
    <row r="399" spans="1:8" ht="19.5">
      <c r="A399" s="1"/>
      <c r="B399" s="1"/>
      <c r="C399" s="1"/>
      <c r="D399" s="1"/>
      <c r="E399" s="1"/>
      <c r="G399" s="4"/>
      <c r="H399" s="1"/>
    </row>
    <row r="400" spans="1:8" ht="19.5">
      <c r="A400" s="1"/>
      <c r="B400" s="1"/>
      <c r="C400" s="1"/>
      <c r="D400" s="1"/>
      <c r="E400" s="1"/>
      <c r="G400" s="4"/>
      <c r="H400" s="1"/>
    </row>
    <row r="401" spans="1:8" ht="19.5">
      <c r="A401" s="1"/>
      <c r="B401" s="1"/>
      <c r="C401" s="1"/>
      <c r="D401" s="1"/>
      <c r="E401" s="1"/>
      <c r="G401" s="4"/>
      <c r="H401" s="1"/>
    </row>
    <row r="402" spans="1:8" ht="19.5">
      <c r="A402" s="1"/>
      <c r="B402" s="1"/>
      <c r="C402" s="1"/>
      <c r="D402" s="1"/>
      <c r="E402" s="1"/>
      <c r="G402" s="4"/>
      <c r="H402" s="1"/>
    </row>
    <row r="403" spans="1:8" ht="19.5">
      <c r="A403" s="1"/>
      <c r="B403" s="1"/>
      <c r="C403" s="1"/>
      <c r="D403" s="1"/>
      <c r="E403" s="1"/>
      <c r="G403" s="4"/>
      <c r="H403" s="1"/>
    </row>
    <row r="404" spans="1:8" ht="19.5">
      <c r="A404" s="1"/>
      <c r="B404" s="1"/>
      <c r="C404" s="1"/>
      <c r="D404" s="1"/>
      <c r="E404" s="1"/>
      <c r="G404" s="4"/>
      <c r="H404" s="1"/>
    </row>
    <row r="405" spans="1:8" ht="19.5">
      <c r="A405" s="1"/>
      <c r="B405" s="1"/>
      <c r="C405" s="1"/>
      <c r="D405" s="1"/>
      <c r="E405" s="1"/>
      <c r="G405" s="4"/>
      <c r="H405" s="1"/>
    </row>
    <row r="406" spans="1:8" ht="19.5">
      <c r="A406" s="1"/>
      <c r="B406" s="1"/>
      <c r="C406" s="1"/>
      <c r="D406" s="1"/>
      <c r="E406" s="1"/>
      <c r="G406" s="4"/>
      <c r="H406" s="1"/>
    </row>
    <row r="407" spans="1:8" ht="19.5">
      <c r="A407" s="1"/>
      <c r="B407" s="1"/>
      <c r="C407" s="1"/>
      <c r="D407" s="1"/>
      <c r="E407" s="1"/>
      <c r="G407" s="4"/>
      <c r="H407" s="1"/>
    </row>
    <row r="408" spans="1:8" ht="19.5">
      <c r="A408" s="1"/>
      <c r="B408" s="1"/>
      <c r="C408" s="1"/>
      <c r="D408" s="1"/>
      <c r="E408" s="1"/>
      <c r="G408" s="4"/>
      <c r="H408" s="1"/>
    </row>
    <row r="409" spans="1:8" ht="19.5">
      <c r="A409" s="1"/>
      <c r="B409" s="1"/>
      <c r="C409" s="1"/>
      <c r="D409" s="1"/>
      <c r="E409" s="1"/>
      <c r="G409" s="4"/>
      <c r="H409" s="1"/>
    </row>
    <row r="410" spans="1:8" ht="19.5">
      <c r="A410" s="1"/>
      <c r="B410" s="1"/>
      <c r="C410" s="1"/>
      <c r="D410" s="1"/>
      <c r="E410" s="1"/>
      <c r="G410" s="4"/>
      <c r="H410" s="1"/>
    </row>
    <row r="411" spans="1:8" ht="19.5">
      <c r="A411" s="1"/>
      <c r="B411" s="1"/>
      <c r="C411" s="1"/>
      <c r="D411" s="1"/>
      <c r="E411" s="1"/>
      <c r="G411" s="4"/>
      <c r="H411" s="1"/>
    </row>
    <row r="412" spans="1:8" ht="19.5">
      <c r="A412" s="1"/>
      <c r="B412" s="1"/>
      <c r="C412" s="1"/>
      <c r="D412" s="1"/>
      <c r="E412" s="1"/>
      <c r="G412" s="4"/>
      <c r="H412" s="1"/>
    </row>
    <row r="413" spans="1:8" ht="19.5">
      <c r="A413" s="1"/>
      <c r="B413" s="1"/>
      <c r="C413" s="1"/>
      <c r="D413" s="1"/>
      <c r="E413" s="1"/>
      <c r="G413" s="4"/>
      <c r="H413" s="1"/>
    </row>
    <row r="414" spans="1:8" ht="19.5">
      <c r="A414" s="1"/>
      <c r="B414" s="1"/>
      <c r="C414" s="1"/>
      <c r="D414" s="1"/>
      <c r="E414" s="1"/>
      <c r="G414" s="4"/>
      <c r="H414" s="1"/>
    </row>
    <row r="415" spans="1:8" ht="19.5">
      <c r="A415" s="1"/>
      <c r="B415" s="1"/>
      <c r="C415" s="1"/>
      <c r="D415" s="1"/>
      <c r="E415" s="1"/>
      <c r="G415" s="4"/>
      <c r="H415" s="1"/>
    </row>
    <row r="416" spans="1:8" ht="19.5">
      <c r="A416" s="1"/>
      <c r="B416" s="1"/>
      <c r="C416" s="1"/>
      <c r="D416" s="1"/>
      <c r="E416" s="1"/>
      <c r="G416" s="4"/>
      <c r="H416" s="1"/>
    </row>
    <row r="417" spans="1:8" ht="19.5">
      <c r="A417" s="1"/>
      <c r="B417" s="1"/>
      <c r="C417" s="1"/>
      <c r="D417" s="1"/>
      <c r="E417" s="1"/>
      <c r="G417" s="4"/>
      <c r="H417" s="1"/>
    </row>
    <row r="418" spans="1:8" ht="19.5">
      <c r="A418" s="1"/>
      <c r="B418" s="1"/>
      <c r="C418" s="1"/>
      <c r="D418" s="1"/>
      <c r="E418" s="1"/>
      <c r="G418" s="4"/>
      <c r="H418" s="1"/>
    </row>
    <row r="419" spans="1:8" ht="19.5">
      <c r="A419" s="1"/>
      <c r="B419" s="1"/>
      <c r="C419" s="1"/>
      <c r="D419" s="1"/>
      <c r="E419" s="1"/>
      <c r="G419" s="4"/>
      <c r="H419" s="1"/>
    </row>
    <row r="420" spans="1:8" ht="19.5">
      <c r="A420" s="1"/>
      <c r="B420" s="1"/>
      <c r="C420" s="1"/>
      <c r="D420" s="1"/>
      <c r="E420" s="1"/>
      <c r="G420" s="4"/>
      <c r="H420" s="1"/>
    </row>
    <row r="421" spans="1:8" ht="19.5">
      <c r="A421" s="1"/>
      <c r="B421" s="1"/>
      <c r="C421" s="1"/>
      <c r="D421" s="1"/>
      <c r="E421" s="1"/>
      <c r="G421" s="4"/>
      <c r="H421" s="1"/>
    </row>
    <row r="422" spans="1:8" ht="19.5">
      <c r="A422" s="1"/>
      <c r="B422" s="1"/>
      <c r="C422" s="1"/>
      <c r="D422" s="1"/>
      <c r="E422" s="1"/>
      <c r="G422" s="4"/>
      <c r="H422" s="1"/>
    </row>
    <row r="423" spans="1:8" ht="19.5">
      <c r="A423" s="1"/>
      <c r="B423" s="1"/>
      <c r="C423" s="1"/>
      <c r="D423" s="1"/>
      <c r="E423" s="1"/>
      <c r="G423" s="4"/>
      <c r="H423" s="1"/>
    </row>
    <row r="424" spans="1:8" ht="19.5">
      <c r="A424" s="1"/>
      <c r="B424" s="1"/>
      <c r="C424" s="1"/>
      <c r="D424" s="1"/>
      <c r="E424" s="1"/>
      <c r="G424" s="4"/>
      <c r="H424" s="1"/>
    </row>
    <row r="425" spans="1:8" ht="19.5">
      <c r="A425" s="1"/>
      <c r="B425" s="1"/>
      <c r="C425" s="1"/>
      <c r="D425" s="1"/>
      <c r="E425" s="1"/>
      <c r="G425" s="4"/>
      <c r="H425" s="1"/>
    </row>
    <row r="426" spans="1:8" ht="19.5">
      <c r="A426" s="1"/>
      <c r="B426" s="1"/>
      <c r="C426" s="1"/>
      <c r="D426" s="1"/>
      <c r="E426" s="1"/>
      <c r="G426" s="4"/>
      <c r="H426" s="1"/>
    </row>
    <row r="427" spans="1:8" ht="19.5">
      <c r="A427" s="1"/>
      <c r="B427" s="1"/>
      <c r="C427" s="1"/>
      <c r="D427" s="1"/>
      <c r="E427" s="1"/>
      <c r="G427" s="4"/>
      <c r="H427" s="1"/>
    </row>
    <row r="428" spans="1:8" ht="19.5">
      <c r="A428" s="1"/>
      <c r="B428" s="1"/>
      <c r="C428" s="1"/>
      <c r="D428" s="1"/>
      <c r="E428" s="1"/>
      <c r="G428" s="4"/>
      <c r="H428" s="1"/>
    </row>
    <row r="429" spans="1:8" ht="19.5">
      <c r="A429" s="1"/>
      <c r="B429" s="1"/>
      <c r="C429" s="1"/>
      <c r="D429" s="1"/>
      <c r="E429" s="1"/>
      <c r="G429" s="4"/>
      <c r="H429" s="1"/>
    </row>
    <row r="430" spans="1:8" ht="19.5">
      <c r="A430" s="1"/>
      <c r="B430" s="1"/>
      <c r="C430" s="1"/>
      <c r="D430" s="1"/>
      <c r="E430" s="1"/>
      <c r="G430" s="4"/>
      <c r="H430" s="1"/>
    </row>
    <row r="431" spans="1:8" ht="19.5">
      <c r="A431" s="1"/>
      <c r="B431" s="1"/>
      <c r="C431" s="1"/>
      <c r="D431" s="1"/>
      <c r="E431" s="1"/>
      <c r="G431" s="4"/>
      <c r="H431" s="1"/>
    </row>
    <row r="432" spans="1:8" ht="19.5">
      <c r="A432" s="1"/>
      <c r="B432" s="1"/>
      <c r="C432" s="1"/>
      <c r="D432" s="1"/>
      <c r="E432" s="1"/>
      <c r="G432" s="4"/>
      <c r="H432" s="1"/>
    </row>
    <row r="433" spans="1:8" ht="19.5">
      <c r="A433" s="1"/>
      <c r="B433" s="1"/>
      <c r="C433" s="1"/>
      <c r="D433" s="1"/>
      <c r="E433" s="1"/>
      <c r="G433" s="4"/>
      <c r="H433" s="1"/>
    </row>
    <row r="434" spans="1:8" ht="19.5">
      <c r="A434" s="1"/>
      <c r="B434" s="1"/>
      <c r="C434" s="1"/>
      <c r="D434" s="1"/>
      <c r="E434" s="1"/>
      <c r="G434" s="4"/>
      <c r="H434" s="1"/>
    </row>
    <row r="435" spans="1:8" ht="19.5">
      <c r="A435" s="1"/>
      <c r="B435" s="1"/>
      <c r="C435" s="1"/>
      <c r="D435" s="1"/>
      <c r="E435" s="1"/>
      <c r="G435" s="4"/>
      <c r="H435" s="1"/>
    </row>
    <row r="436" spans="1:8" ht="19.5">
      <c r="A436" s="1"/>
      <c r="B436" s="1"/>
      <c r="C436" s="1"/>
      <c r="D436" s="1"/>
      <c r="E436" s="1"/>
      <c r="G436" s="4"/>
      <c r="H436" s="1"/>
    </row>
    <row r="437" spans="1:8" ht="19.5">
      <c r="A437" s="1"/>
      <c r="B437" s="1"/>
      <c r="C437" s="1"/>
      <c r="D437" s="1"/>
      <c r="E437" s="1"/>
      <c r="G437" s="4"/>
      <c r="H437" s="1"/>
    </row>
    <row r="438" spans="1:8" ht="19.5">
      <c r="A438" s="1"/>
      <c r="B438" s="1"/>
      <c r="C438" s="1"/>
      <c r="D438" s="1"/>
      <c r="E438" s="1"/>
      <c r="G438" s="4"/>
      <c r="H438" s="1"/>
    </row>
    <row r="439" spans="1:8" ht="19.5">
      <c r="A439" s="1"/>
      <c r="B439" s="1"/>
      <c r="C439" s="1"/>
      <c r="D439" s="1"/>
      <c r="E439" s="1"/>
      <c r="G439" s="4"/>
      <c r="H439" s="1"/>
    </row>
    <row r="440" spans="1:8" ht="19.5">
      <c r="A440" s="1"/>
      <c r="B440" s="1"/>
      <c r="C440" s="1"/>
      <c r="D440" s="1"/>
      <c r="E440" s="1"/>
      <c r="G440" s="4"/>
      <c r="H440" s="1"/>
    </row>
    <row r="441" spans="1:8" ht="19.5">
      <c r="A441" s="1"/>
      <c r="B441" s="1"/>
      <c r="C441" s="1"/>
      <c r="D441" s="1"/>
      <c r="E441" s="1"/>
      <c r="G441" s="4"/>
      <c r="H441" s="1"/>
    </row>
    <row r="442" spans="1:8" ht="19.5">
      <c r="A442" s="1"/>
      <c r="B442" s="1"/>
      <c r="C442" s="1"/>
      <c r="D442" s="1"/>
      <c r="E442" s="1"/>
      <c r="G442" s="4"/>
      <c r="H442" s="1"/>
    </row>
    <row r="443" spans="1:8" ht="19.5">
      <c r="A443" s="1"/>
      <c r="B443" s="1"/>
      <c r="C443" s="1"/>
      <c r="D443" s="1"/>
      <c r="E443" s="1"/>
      <c r="G443" s="4"/>
      <c r="H443" s="1"/>
    </row>
    <row r="444" spans="1:8" ht="19.5">
      <c r="A444" s="1"/>
      <c r="B444" s="1"/>
      <c r="C444" s="1"/>
      <c r="D444" s="1"/>
      <c r="E444" s="1"/>
      <c r="G444" s="4"/>
      <c r="H444" s="1"/>
    </row>
    <row r="445" spans="1:8" ht="19.5">
      <c r="A445" s="1"/>
      <c r="B445" s="1"/>
      <c r="C445" s="1"/>
      <c r="D445" s="1"/>
      <c r="E445" s="1"/>
      <c r="G445" s="4"/>
      <c r="H445" s="1"/>
    </row>
    <row r="446" spans="1:8" ht="19.5">
      <c r="A446" s="1"/>
      <c r="B446" s="1"/>
      <c r="C446" s="1"/>
      <c r="D446" s="1"/>
      <c r="E446" s="1"/>
      <c r="G446" s="4"/>
      <c r="H446" s="1"/>
    </row>
    <row r="447" spans="1:8" ht="19.5">
      <c r="A447" s="1"/>
      <c r="B447" s="1"/>
      <c r="C447" s="1"/>
      <c r="D447" s="1"/>
      <c r="E447" s="1"/>
      <c r="G447" s="4"/>
      <c r="H447" s="1"/>
    </row>
    <row r="448" spans="1:8" ht="19.5">
      <c r="A448" s="1"/>
      <c r="B448" s="1"/>
      <c r="C448" s="1"/>
      <c r="D448" s="1"/>
      <c r="E448" s="1"/>
      <c r="G448" s="4"/>
      <c r="H448" s="1"/>
    </row>
    <row r="449" spans="1:8" ht="19.5">
      <c r="A449" s="1"/>
      <c r="B449" s="1"/>
      <c r="C449" s="1"/>
      <c r="D449" s="1"/>
      <c r="E449" s="1"/>
      <c r="G449" s="4"/>
      <c r="H449" s="1"/>
    </row>
    <row r="450" spans="1:8" ht="19.5">
      <c r="A450" s="1"/>
      <c r="B450" s="1"/>
      <c r="C450" s="1"/>
      <c r="D450" s="1"/>
      <c r="E450" s="1"/>
      <c r="G450" s="4"/>
      <c r="H450" s="1"/>
    </row>
    <row r="451" spans="1:8" ht="19.5">
      <c r="A451" s="1"/>
      <c r="B451" s="1"/>
      <c r="C451" s="1"/>
      <c r="D451" s="1"/>
      <c r="E451" s="1"/>
      <c r="G451" s="4"/>
      <c r="H451" s="1"/>
    </row>
    <row r="452" spans="1:8" ht="19.5">
      <c r="A452" s="1"/>
      <c r="B452" s="1"/>
      <c r="C452" s="1"/>
      <c r="D452" s="1"/>
      <c r="E452" s="1"/>
      <c r="G452" s="4"/>
      <c r="H452" s="1"/>
    </row>
    <row r="453" spans="1:8" ht="19.5">
      <c r="A453" s="1"/>
      <c r="B453" s="1"/>
      <c r="C453" s="1"/>
      <c r="D453" s="1"/>
      <c r="E453" s="1"/>
      <c r="G453" s="4"/>
      <c r="H453" s="1"/>
    </row>
    <row r="454" spans="1:8" ht="19.5">
      <c r="A454" s="1"/>
      <c r="B454" s="1"/>
      <c r="C454" s="1"/>
      <c r="D454" s="1"/>
      <c r="E454" s="1"/>
      <c r="G454" s="4"/>
      <c r="H454" s="1"/>
    </row>
    <row r="455" spans="1:8" ht="19.5">
      <c r="A455" s="1"/>
      <c r="B455" s="1"/>
      <c r="C455" s="1"/>
      <c r="D455" s="1"/>
      <c r="E455" s="1"/>
      <c r="G455" s="4"/>
      <c r="H455" s="1"/>
    </row>
    <row r="456" spans="1:8" ht="19.5">
      <c r="A456" s="1"/>
      <c r="B456" s="1"/>
      <c r="C456" s="1"/>
      <c r="D456" s="1"/>
      <c r="E456" s="1"/>
      <c r="G456" s="4"/>
      <c r="H456" s="1"/>
    </row>
    <row r="457" spans="1:8" ht="19.5">
      <c r="A457" s="1"/>
      <c r="B457" s="1"/>
      <c r="C457" s="1"/>
      <c r="D457" s="1"/>
      <c r="E457" s="1"/>
      <c r="G457" s="4"/>
      <c r="H457" s="1"/>
    </row>
    <row r="458" spans="1:8" ht="19.5">
      <c r="A458" s="1"/>
      <c r="B458" s="1"/>
      <c r="C458" s="1"/>
      <c r="D458" s="1"/>
      <c r="E458" s="1"/>
      <c r="G458" s="4"/>
      <c r="H458" s="1"/>
    </row>
    <row r="459" spans="1:8" ht="19.5">
      <c r="A459" s="1"/>
      <c r="B459" s="1"/>
      <c r="C459" s="1"/>
      <c r="D459" s="1"/>
      <c r="E459" s="1"/>
      <c r="G459" s="4"/>
      <c r="H459" s="1"/>
    </row>
    <row r="460" spans="1:8" ht="19.5">
      <c r="A460" s="1"/>
      <c r="B460" s="1"/>
      <c r="C460" s="1"/>
      <c r="D460" s="1"/>
      <c r="E460" s="1"/>
      <c r="G460" s="4"/>
      <c r="H460" s="1"/>
    </row>
    <row r="461" spans="1:8" ht="19.5">
      <c r="A461" s="1"/>
      <c r="B461" s="1"/>
      <c r="C461" s="1"/>
      <c r="D461" s="1"/>
      <c r="E461" s="1"/>
      <c r="G461" s="4"/>
      <c r="H461" s="1"/>
    </row>
    <row r="462" spans="1:8" ht="19.5">
      <c r="A462" s="1"/>
      <c r="B462" s="1"/>
      <c r="C462" s="1"/>
      <c r="D462" s="1"/>
      <c r="E462" s="1"/>
      <c r="G462" s="4"/>
      <c r="H462" s="1"/>
    </row>
    <row r="463" spans="1:8" ht="19.5">
      <c r="A463" s="1"/>
      <c r="B463" s="1"/>
      <c r="C463" s="1"/>
      <c r="D463" s="1"/>
      <c r="E463" s="1"/>
      <c r="G463" s="4"/>
      <c r="H463" s="1"/>
    </row>
    <row r="464" spans="1:8" ht="19.5">
      <c r="A464" s="1"/>
      <c r="B464" s="1"/>
      <c r="C464" s="1"/>
      <c r="D464" s="1"/>
      <c r="E464" s="1"/>
      <c r="G464" s="4"/>
      <c r="H464" s="1"/>
    </row>
    <row r="465" spans="1:8" ht="19.5">
      <c r="A465" s="1"/>
      <c r="B465" s="1"/>
      <c r="C465" s="1"/>
      <c r="D465" s="1"/>
      <c r="E465" s="1"/>
      <c r="G465" s="4"/>
      <c r="H465" s="1"/>
    </row>
    <row r="466" spans="1:8" ht="19.5">
      <c r="A466" s="1"/>
      <c r="B466" s="1"/>
      <c r="C466" s="1"/>
      <c r="D466" s="1"/>
      <c r="E466" s="1"/>
      <c r="G466" s="4"/>
      <c r="H466" s="1"/>
    </row>
    <row r="467" spans="1:8" ht="19.5">
      <c r="A467" s="1"/>
      <c r="B467" s="1"/>
      <c r="C467" s="1"/>
      <c r="D467" s="1"/>
      <c r="E467" s="1"/>
      <c r="G467" s="4"/>
      <c r="H467" s="1"/>
    </row>
    <row r="468" spans="1:8" ht="19.5">
      <c r="A468" s="1"/>
      <c r="B468" s="1"/>
      <c r="C468" s="1"/>
      <c r="D468" s="1"/>
      <c r="E468" s="1"/>
      <c r="G468" s="4"/>
      <c r="H468" s="1"/>
    </row>
    <row r="469" spans="1:8" ht="19.5">
      <c r="A469" s="1"/>
      <c r="B469" s="1"/>
      <c r="C469" s="1"/>
      <c r="D469" s="1"/>
      <c r="E469" s="1"/>
      <c r="G469" s="4"/>
      <c r="H469" s="1"/>
    </row>
    <row r="470" spans="1:8" ht="19.5">
      <c r="A470" s="1"/>
      <c r="B470" s="1"/>
      <c r="C470" s="1"/>
      <c r="D470" s="1"/>
      <c r="E470" s="1"/>
      <c r="G470" s="4"/>
      <c r="H470" s="1"/>
    </row>
    <row r="471" spans="1:8" ht="19.5">
      <c r="A471" s="1"/>
      <c r="B471" s="1"/>
      <c r="C471" s="1"/>
      <c r="D471" s="1"/>
      <c r="E471" s="1"/>
      <c r="G471" s="4"/>
      <c r="H471" s="1"/>
    </row>
    <row r="472" spans="1:8" ht="19.5">
      <c r="A472" s="1"/>
      <c r="B472" s="1"/>
      <c r="C472" s="1"/>
      <c r="D472" s="1"/>
      <c r="E472" s="1"/>
      <c r="G472" s="4"/>
      <c r="H472" s="1"/>
    </row>
    <row r="473" spans="1:8" ht="19.5">
      <c r="A473" s="1"/>
      <c r="B473" s="1"/>
      <c r="C473" s="1"/>
      <c r="D473" s="1"/>
      <c r="E473" s="1"/>
      <c r="G473" s="4"/>
      <c r="H473" s="1"/>
    </row>
    <row r="474" spans="1:8" ht="19.5">
      <c r="A474" s="1"/>
      <c r="B474" s="1"/>
      <c r="C474" s="1"/>
      <c r="D474" s="1"/>
      <c r="E474" s="1"/>
      <c r="G474" s="4"/>
      <c r="H474" s="1"/>
    </row>
    <row r="475" spans="1:8" ht="19.5">
      <c r="A475" s="1"/>
      <c r="B475" s="1"/>
      <c r="C475" s="1"/>
      <c r="D475" s="1"/>
      <c r="E475" s="1"/>
      <c r="G475" s="4"/>
      <c r="H475" s="1"/>
    </row>
    <row r="476" spans="1:8" ht="19.5">
      <c r="A476" s="1"/>
      <c r="B476" s="1"/>
      <c r="C476" s="1"/>
      <c r="D476" s="1"/>
      <c r="E476" s="1"/>
      <c r="G476" s="4"/>
      <c r="H476" s="1"/>
    </row>
    <row r="477" spans="1:8" ht="19.5">
      <c r="A477" s="1"/>
      <c r="B477" s="1"/>
      <c r="C477" s="1"/>
      <c r="D477" s="1"/>
      <c r="E477" s="1"/>
      <c r="G477" s="4"/>
      <c r="H477" s="1"/>
    </row>
    <row r="478" spans="1:8" ht="19.5">
      <c r="A478" s="1"/>
      <c r="B478" s="1"/>
      <c r="C478" s="1"/>
      <c r="D478" s="1"/>
      <c r="E478" s="1"/>
      <c r="G478" s="4"/>
      <c r="H478" s="1"/>
    </row>
    <row r="479" spans="1:8" ht="19.5">
      <c r="A479" s="1"/>
      <c r="B479" s="1"/>
      <c r="C479" s="1"/>
      <c r="D479" s="1"/>
      <c r="E479" s="1"/>
      <c r="G479" s="4"/>
      <c r="H479" s="1"/>
    </row>
    <row r="480" spans="1:8" ht="19.5">
      <c r="A480" s="1"/>
      <c r="B480" s="1"/>
      <c r="C480" s="1"/>
      <c r="D480" s="1"/>
      <c r="E480" s="1"/>
      <c r="G480" s="4"/>
      <c r="H480" s="1"/>
    </row>
    <row r="481" spans="1:8" ht="19.5">
      <c r="A481" s="1"/>
      <c r="B481" s="1"/>
      <c r="C481" s="1"/>
      <c r="D481" s="1"/>
      <c r="E481" s="1"/>
      <c r="G481" s="4"/>
      <c r="H481" s="1"/>
    </row>
    <row r="482" spans="1:8" ht="19.5">
      <c r="A482" s="1"/>
      <c r="B482" s="1"/>
      <c r="C482" s="1"/>
      <c r="D482" s="1"/>
      <c r="E482" s="1"/>
      <c r="G482" s="4"/>
      <c r="H482" s="1"/>
    </row>
    <row r="483" spans="1:8" ht="19.5">
      <c r="A483" s="1"/>
      <c r="B483" s="1"/>
      <c r="C483" s="1"/>
      <c r="D483" s="1"/>
      <c r="E483" s="1"/>
      <c r="G483" s="4"/>
      <c r="H483" s="1"/>
    </row>
    <row r="484" spans="1:8" ht="19.5">
      <c r="A484" s="1"/>
      <c r="B484" s="1"/>
      <c r="C484" s="1"/>
      <c r="D484" s="1"/>
      <c r="E484" s="1"/>
      <c r="G484" s="4"/>
      <c r="H484" s="1"/>
    </row>
    <row r="485" spans="1:8" ht="19.5">
      <c r="A485" s="1"/>
      <c r="B485" s="1"/>
      <c r="C485" s="1"/>
      <c r="D485" s="1"/>
      <c r="E485" s="1"/>
      <c r="G485" s="4"/>
      <c r="H485" s="1"/>
    </row>
    <row r="486" spans="1:8" ht="19.5">
      <c r="A486" s="1"/>
      <c r="B486" s="1"/>
      <c r="C486" s="1"/>
      <c r="D486" s="1"/>
      <c r="E486" s="1"/>
      <c r="G486" s="4"/>
      <c r="H486" s="1"/>
    </row>
    <row r="487" spans="1:8" ht="19.5">
      <c r="A487" s="1"/>
      <c r="B487" s="1"/>
      <c r="C487" s="1"/>
      <c r="D487" s="1"/>
      <c r="E487" s="1"/>
      <c r="G487" s="4"/>
      <c r="H487" s="1"/>
    </row>
    <row r="488" spans="1:8" ht="19.5">
      <c r="A488" s="1"/>
      <c r="B488" s="1"/>
      <c r="C488" s="1"/>
      <c r="D488" s="1"/>
      <c r="E488" s="1"/>
      <c r="G488" s="4"/>
      <c r="H488" s="1"/>
    </row>
    <row r="489" spans="1:8" ht="19.5">
      <c r="A489" s="1"/>
      <c r="B489" s="1"/>
      <c r="C489" s="1"/>
      <c r="D489" s="1"/>
      <c r="E489" s="1"/>
      <c r="G489" s="4"/>
      <c r="H489" s="1"/>
    </row>
    <row r="490" spans="1:8" ht="19.5">
      <c r="A490" s="1"/>
      <c r="B490" s="1"/>
      <c r="C490" s="1"/>
      <c r="D490" s="1"/>
      <c r="E490" s="1"/>
      <c r="G490" s="4"/>
      <c r="H490" s="1"/>
    </row>
    <row r="491" spans="1:8" ht="19.5">
      <c r="A491" s="1"/>
      <c r="B491" s="1"/>
      <c r="C491" s="1"/>
      <c r="D491" s="1"/>
      <c r="E491" s="1"/>
      <c r="G491" s="4"/>
      <c r="H491" s="1"/>
    </row>
    <row r="492" spans="1:8" ht="19.5">
      <c r="A492" s="1"/>
      <c r="B492" s="1"/>
      <c r="C492" s="1"/>
      <c r="D492" s="1"/>
      <c r="E492" s="1"/>
      <c r="G492" s="4"/>
      <c r="H492" s="1"/>
    </row>
    <row r="493" spans="1:8" ht="19.5">
      <c r="A493" s="1"/>
      <c r="B493" s="1"/>
      <c r="C493" s="1"/>
      <c r="D493" s="1"/>
      <c r="E493" s="1"/>
      <c r="G493" s="4"/>
      <c r="H493" s="1"/>
    </row>
    <row r="494" spans="1:8" ht="19.5">
      <c r="A494" s="1"/>
      <c r="B494" s="1"/>
      <c r="C494" s="1"/>
      <c r="D494" s="1"/>
      <c r="E494" s="1"/>
      <c r="G494" s="4"/>
      <c r="H494" s="1"/>
    </row>
    <row r="495" spans="1:8" ht="19.5">
      <c r="A495" s="1"/>
      <c r="B495" s="1"/>
      <c r="C495" s="1"/>
      <c r="D495" s="1"/>
      <c r="E495" s="1"/>
      <c r="G495" s="4"/>
      <c r="H495" s="1"/>
    </row>
    <row r="496" spans="1:8" ht="19.5">
      <c r="A496" s="1"/>
      <c r="B496" s="1"/>
      <c r="C496" s="1"/>
      <c r="D496" s="1"/>
      <c r="E496" s="1"/>
      <c r="G496" s="4"/>
      <c r="H496" s="1"/>
    </row>
    <row r="497" spans="1:8" ht="19.5">
      <c r="A497" s="1"/>
      <c r="B497" s="1"/>
      <c r="C497" s="1"/>
      <c r="D497" s="1"/>
      <c r="E497" s="1"/>
      <c r="G497" s="4"/>
      <c r="H497" s="1"/>
    </row>
    <row r="498" spans="1:8" ht="19.5">
      <c r="A498" s="1"/>
      <c r="B498" s="1"/>
      <c r="C498" s="1"/>
      <c r="D498" s="1"/>
      <c r="E498" s="1"/>
      <c r="G498" s="4"/>
      <c r="H498" s="1"/>
    </row>
    <row r="499" spans="1:8" ht="19.5">
      <c r="A499" s="1"/>
      <c r="B499" s="1"/>
      <c r="C499" s="1"/>
      <c r="D499" s="1"/>
      <c r="E499" s="1"/>
      <c r="G499" s="4"/>
      <c r="H499" s="1"/>
    </row>
    <row r="500" spans="1:8" ht="19.5">
      <c r="A500" s="1"/>
      <c r="B500" s="1"/>
      <c r="C500" s="1"/>
      <c r="D500" s="1"/>
      <c r="E500" s="1"/>
      <c r="G500" s="4"/>
      <c r="H500" s="1"/>
    </row>
    <row r="501" spans="1:8" ht="19.5">
      <c r="A501" s="1"/>
      <c r="B501" s="1"/>
      <c r="C501" s="1"/>
      <c r="D501" s="1"/>
      <c r="E501" s="1"/>
      <c r="G501" s="4"/>
      <c r="H501" s="1"/>
    </row>
    <row r="502" spans="1:8" ht="19.5">
      <c r="A502" s="1"/>
      <c r="B502" s="1"/>
      <c r="C502" s="1"/>
      <c r="D502" s="1"/>
      <c r="E502" s="1"/>
      <c r="G502" s="4"/>
      <c r="H502" s="1"/>
    </row>
    <row r="503" spans="1:8" ht="19.5">
      <c r="A503" s="1"/>
      <c r="B503" s="1"/>
      <c r="C503" s="1"/>
      <c r="D503" s="1"/>
      <c r="E503" s="1"/>
      <c r="G503" s="4"/>
      <c r="H503" s="1"/>
    </row>
    <row r="504" spans="1:8" ht="19.5">
      <c r="A504" s="1"/>
      <c r="B504" s="1"/>
      <c r="C504" s="1"/>
      <c r="D504" s="1"/>
      <c r="E504" s="1"/>
      <c r="G504" s="4"/>
      <c r="H504" s="1"/>
    </row>
    <row r="505" spans="1:8" ht="19.5">
      <c r="A505" s="1"/>
      <c r="B505" s="1"/>
      <c r="C505" s="1"/>
      <c r="D505" s="1"/>
      <c r="E505" s="1"/>
      <c r="G505" s="4"/>
      <c r="H505" s="1"/>
    </row>
    <row r="506" spans="1:8" ht="19.5">
      <c r="A506" s="1"/>
      <c r="B506" s="1"/>
      <c r="C506" s="1"/>
      <c r="D506" s="1"/>
      <c r="E506" s="1"/>
      <c r="G506" s="4"/>
      <c r="H506" s="1"/>
    </row>
    <row r="507" spans="1:8" ht="19.5">
      <c r="A507" s="1"/>
      <c r="B507" s="1"/>
      <c r="C507" s="1"/>
      <c r="D507" s="1"/>
      <c r="E507" s="1"/>
      <c r="G507" s="4"/>
      <c r="H507" s="1"/>
    </row>
    <row r="508" spans="1:8" ht="19.5">
      <c r="A508" s="1"/>
      <c r="B508" s="1"/>
      <c r="C508" s="1"/>
      <c r="D508" s="1"/>
      <c r="E508" s="1"/>
      <c r="G508" s="4"/>
      <c r="H508" s="1"/>
    </row>
    <row r="509" spans="1:8" ht="19.5">
      <c r="A509" s="1"/>
      <c r="B509" s="1"/>
      <c r="C509" s="1"/>
      <c r="D509" s="1"/>
      <c r="E509" s="1"/>
      <c r="G509" s="4"/>
      <c r="H509" s="1"/>
    </row>
    <row r="510" spans="1:8" ht="19.5">
      <c r="A510" s="1"/>
      <c r="B510" s="1"/>
      <c r="C510" s="1"/>
      <c r="D510" s="1"/>
      <c r="E510" s="1"/>
      <c r="G510" s="4"/>
      <c r="H510" s="1"/>
    </row>
    <row r="511" spans="1:8" ht="19.5">
      <c r="A511" s="1"/>
      <c r="B511" s="1"/>
      <c r="C511" s="1"/>
      <c r="D511" s="1"/>
      <c r="E511" s="1"/>
      <c r="G511" s="4"/>
      <c r="H511" s="1"/>
    </row>
    <row r="512" spans="1:8" ht="19.5">
      <c r="A512" s="1"/>
      <c r="B512" s="1"/>
      <c r="C512" s="1"/>
      <c r="D512" s="1"/>
      <c r="E512" s="1"/>
      <c r="G512" s="4"/>
      <c r="H512" s="1"/>
    </row>
    <row r="513" spans="1:8" ht="19.5">
      <c r="A513" s="1"/>
      <c r="B513" s="1"/>
      <c r="C513" s="1"/>
      <c r="D513" s="1"/>
      <c r="E513" s="1"/>
      <c r="G513" s="4"/>
      <c r="H513" s="1"/>
    </row>
    <row r="514" spans="1:8" ht="19.5">
      <c r="A514" s="1"/>
      <c r="B514" s="1"/>
      <c r="C514" s="1"/>
      <c r="D514" s="1"/>
      <c r="E514" s="1"/>
      <c r="G514" s="4"/>
      <c r="H514" s="1"/>
    </row>
    <row r="515" spans="1:8" ht="19.5">
      <c r="A515" s="1"/>
      <c r="B515" s="1"/>
      <c r="C515" s="1"/>
      <c r="D515" s="1"/>
      <c r="E515" s="1"/>
      <c r="G515" s="4"/>
      <c r="H515" s="1"/>
    </row>
    <row r="516" spans="1:8" ht="19.5">
      <c r="A516" s="1"/>
      <c r="B516" s="1"/>
      <c r="C516" s="1"/>
      <c r="D516" s="1"/>
      <c r="E516" s="1"/>
      <c r="G516" s="4"/>
      <c r="H516" s="1"/>
    </row>
    <row r="517" spans="1:8" ht="19.5">
      <c r="A517" s="1"/>
      <c r="B517" s="1"/>
      <c r="C517" s="1"/>
      <c r="D517" s="1"/>
      <c r="E517" s="1"/>
      <c r="G517" s="4"/>
      <c r="H517" s="1"/>
    </row>
    <row r="518" spans="1:8" ht="19.5">
      <c r="A518" s="1"/>
      <c r="B518" s="1"/>
      <c r="C518" s="1"/>
      <c r="D518" s="1"/>
      <c r="E518" s="1"/>
      <c r="G518" s="4"/>
      <c r="H518" s="1"/>
    </row>
    <row r="519" spans="1:8" ht="19.5">
      <c r="A519" s="1"/>
      <c r="B519" s="1"/>
      <c r="C519" s="1"/>
      <c r="D519" s="1"/>
      <c r="E519" s="1"/>
      <c r="G519" s="4"/>
      <c r="H519" s="1"/>
    </row>
    <row r="520" spans="1:8" ht="19.5">
      <c r="A520" s="1"/>
      <c r="B520" s="1"/>
      <c r="C520" s="1"/>
      <c r="D520" s="1"/>
      <c r="E520" s="1"/>
      <c r="G520" s="4"/>
      <c r="H520" s="1"/>
    </row>
    <row r="521" spans="1:8" ht="19.5">
      <c r="A521" s="1"/>
      <c r="B521" s="1"/>
      <c r="C521" s="1"/>
      <c r="D521" s="1"/>
      <c r="E521" s="1"/>
      <c r="G521" s="4"/>
      <c r="H521" s="1"/>
    </row>
    <row r="522" spans="1:8" ht="19.5">
      <c r="A522" s="1"/>
      <c r="B522" s="1"/>
      <c r="C522" s="1"/>
      <c r="D522" s="1"/>
      <c r="E522" s="1"/>
      <c r="G522" s="4"/>
      <c r="H522" s="1"/>
    </row>
    <row r="523" spans="1:8" ht="19.5">
      <c r="A523" s="1"/>
      <c r="B523" s="1"/>
      <c r="C523" s="1"/>
      <c r="D523" s="1"/>
      <c r="E523" s="1"/>
      <c r="G523" s="4"/>
      <c r="H523" s="1"/>
    </row>
    <row r="524" spans="1:8" ht="19.5">
      <c r="A524" s="1"/>
      <c r="B524" s="1"/>
      <c r="C524" s="1"/>
      <c r="D524" s="1"/>
      <c r="E524" s="1"/>
      <c r="G524" s="4"/>
      <c r="H524" s="1"/>
    </row>
    <row r="525" spans="1:8" ht="19.5">
      <c r="A525" s="1"/>
      <c r="B525" s="1"/>
      <c r="C525" s="1"/>
      <c r="D525" s="1"/>
      <c r="E525" s="1"/>
      <c r="G525" s="4"/>
      <c r="H525" s="1"/>
    </row>
    <row r="526" spans="1:8" ht="19.5">
      <c r="A526" s="1"/>
      <c r="B526" s="1"/>
      <c r="C526" s="1"/>
      <c r="D526" s="1"/>
      <c r="E526" s="1"/>
      <c r="G526" s="4"/>
      <c r="H526" s="1"/>
    </row>
    <row r="527" spans="1:8" ht="19.5">
      <c r="A527" s="1"/>
      <c r="B527" s="1"/>
      <c r="C527" s="1"/>
      <c r="D527" s="1"/>
      <c r="E527" s="1"/>
      <c r="G527" s="4"/>
      <c r="H527" s="1"/>
    </row>
    <row r="528" spans="1:8" ht="19.5">
      <c r="A528" s="1"/>
      <c r="B528" s="1"/>
      <c r="C528" s="1"/>
      <c r="D528" s="1"/>
      <c r="E528" s="1"/>
      <c r="G528" s="4"/>
      <c r="H528" s="1"/>
    </row>
    <row r="529" spans="1:8" ht="19.5">
      <c r="A529" s="1"/>
      <c r="B529" s="1"/>
      <c r="C529" s="1"/>
      <c r="D529" s="1"/>
      <c r="E529" s="1"/>
      <c r="G529" s="4"/>
      <c r="H529" s="1"/>
    </row>
    <row r="530" spans="1:8" ht="19.5">
      <c r="A530" s="1"/>
      <c r="B530" s="1"/>
      <c r="C530" s="1"/>
      <c r="D530" s="1"/>
      <c r="E530" s="1"/>
      <c r="G530" s="4"/>
      <c r="H530" s="1"/>
    </row>
    <row r="531" spans="1:8" ht="19.5">
      <c r="A531" s="1"/>
      <c r="B531" s="1"/>
      <c r="C531" s="1"/>
      <c r="D531" s="1"/>
      <c r="E531" s="1"/>
      <c r="G531" s="4"/>
      <c r="H531" s="1"/>
    </row>
    <row r="532" spans="1:8" ht="19.5">
      <c r="A532" s="1"/>
      <c r="B532" s="1"/>
      <c r="C532" s="1"/>
      <c r="D532" s="1"/>
      <c r="E532" s="1"/>
      <c r="G532" s="4"/>
      <c r="H532" s="1"/>
    </row>
    <row r="533" spans="1:8" ht="19.5">
      <c r="A533" s="1"/>
      <c r="B533" s="1"/>
      <c r="C533" s="1"/>
      <c r="D533" s="1"/>
      <c r="E533" s="1"/>
      <c r="G533" s="4"/>
      <c r="H533" s="1"/>
    </row>
    <row r="534" spans="1:8" ht="19.5">
      <c r="A534" s="1"/>
      <c r="B534" s="1"/>
      <c r="C534" s="1"/>
      <c r="D534" s="1"/>
      <c r="E534" s="1"/>
      <c r="G534" s="4"/>
      <c r="H534" s="1"/>
    </row>
    <row r="535" spans="1:8" ht="19.5">
      <c r="A535" s="1"/>
      <c r="B535" s="1"/>
      <c r="C535" s="1"/>
      <c r="D535" s="1"/>
      <c r="E535" s="1"/>
      <c r="G535" s="4"/>
      <c r="H535" s="1"/>
    </row>
    <row r="536" spans="1:8" ht="19.5">
      <c r="A536" s="1"/>
      <c r="B536" s="1"/>
      <c r="C536" s="1"/>
      <c r="D536" s="1"/>
      <c r="E536" s="1"/>
      <c r="G536" s="4"/>
      <c r="H536" s="1"/>
    </row>
    <row r="537" spans="1:8" ht="19.5">
      <c r="A537" s="1"/>
      <c r="B537" s="1"/>
      <c r="C537" s="1"/>
      <c r="D537" s="1"/>
      <c r="E537" s="1"/>
      <c r="G537" s="4"/>
      <c r="H537" s="1"/>
    </row>
    <row r="538" spans="1:8" ht="19.5">
      <c r="A538" s="1"/>
      <c r="B538" s="1"/>
      <c r="C538" s="1"/>
      <c r="D538" s="1"/>
      <c r="E538" s="1"/>
      <c r="G538" s="4"/>
      <c r="H538" s="1"/>
    </row>
    <row r="539" spans="1:8" ht="19.5">
      <c r="A539" s="1"/>
      <c r="B539" s="1"/>
      <c r="C539" s="1"/>
      <c r="D539" s="1"/>
      <c r="E539" s="1"/>
      <c r="G539" s="4"/>
      <c r="H539" s="1"/>
    </row>
    <row r="540" spans="1:8" ht="19.5">
      <c r="A540" s="1"/>
      <c r="B540" s="1"/>
      <c r="C540" s="1"/>
      <c r="D540" s="1"/>
      <c r="E540" s="1"/>
      <c r="G540" s="4"/>
      <c r="H540" s="1"/>
    </row>
    <row r="541" spans="1:8" ht="19.5">
      <c r="A541" s="1"/>
      <c r="B541" s="1"/>
      <c r="C541" s="1"/>
      <c r="D541" s="1"/>
      <c r="E541" s="1"/>
      <c r="G541" s="4"/>
      <c r="H541" s="1"/>
    </row>
    <row r="542" spans="1:8" ht="19.5">
      <c r="A542" s="1"/>
      <c r="B542" s="1"/>
      <c r="C542" s="1"/>
      <c r="D542" s="1"/>
      <c r="E542" s="1"/>
      <c r="G542" s="4"/>
      <c r="H542" s="1"/>
    </row>
    <row r="543" spans="1:8" ht="19.5">
      <c r="A543" s="1"/>
      <c r="B543" s="1"/>
      <c r="C543" s="1"/>
      <c r="D543" s="1"/>
      <c r="E543" s="1"/>
      <c r="G543" s="4"/>
      <c r="H543" s="1"/>
    </row>
    <row r="544" spans="1:8" ht="19.5">
      <c r="A544" s="1"/>
      <c r="B544" s="1"/>
      <c r="C544" s="1"/>
      <c r="D544" s="1"/>
      <c r="E544" s="1"/>
      <c r="G544" s="4"/>
      <c r="H544" s="1"/>
    </row>
    <row r="545" spans="1:8" ht="19.5">
      <c r="A545" s="1"/>
      <c r="B545" s="1"/>
      <c r="C545" s="1"/>
      <c r="D545" s="1"/>
      <c r="E545" s="1"/>
      <c r="G545" s="4"/>
      <c r="H545" s="1"/>
    </row>
    <row r="546" spans="1:8" ht="19.5">
      <c r="A546" s="1"/>
      <c r="B546" s="1"/>
      <c r="C546" s="1"/>
      <c r="D546" s="1"/>
      <c r="E546" s="1"/>
      <c r="G546" s="4"/>
      <c r="H546" s="1"/>
    </row>
    <row r="547" spans="1:8" ht="19.5">
      <c r="A547" s="1"/>
      <c r="B547" s="1"/>
      <c r="C547" s="1"/>
      <c r="D547" s="1"/>
      <c r="E547" s="1"/>
      <c r="G547" s="4"/>
      <c r="H547" s="1"/>
    </row>
    <row r="548" spans="1:8" ht="19.5">
      <c r="A548" s="1"/>
      <c r="B548" s="1"/>
      <c r="C548" s="1"/>
      <c r="D548" s="1"/>
      <c r="E548" s="1"/>
      <c r="G548" s="4"/>
      <c r="H548" s="1"/>
    </row>
    <row r="549" spans="1:8" ht="19.5">
      <c r="A549" s="1"/>
      <c r="B549" s="1"/>
      <c r="C549" s="1"/>
      <c r="D549" s="1"/>
      <c r="E549" s="1"/>
      <c r="G549" s="4"/>
      <c r="H549" s="1"/>
    </row>
    <row r="550" spans="1:8" ht="19.5">
      <c r="A550" s="1"/>
      <c r="B550" s="1"/>
      <c r="C550" s="1"/>
      <c r="D550" s="1"/>
      <c r="E550" s="1"/>
      <c r="G550" s="4"/>
      <c r="H550" s="1"/>
    </row>
    <row r="551" spans="1:8" ht="19.5">
      <c r="A551" s="1"/>
      <c r="B551" s="1"/>
      <c r="C551" s="1"/>
      <c r="D551" s="1"/>
      <c r="E551" s="1"/>
      <c r="G551" s="4"/>
      <c r="H551" s="1"/>
    </row>
    <row r="552" spans="1:8" ht="19.5">
      <c r="A552" s="1"/>
      <c r="B552" s="1"/>
      <c r="C552" s="1"/>
      <c r="D552" s="1"/>
      <c r="E552" s="1"/>
      <c r="G552" s="4"/>
      <c r="H552" s="1"/>
    </row>
    <row r="553" spans="1:8" ht="19.5">
      <c r="A553" s="1"/>
      <c r="B553" s="1"/>
      <c r="C553" s="1"/>
      <c r="D553" s="1"/>
      <c r="E553" s="1"/>
      <c r="G553" s="4"/>
      <c r="H553" s="1"/>
    </row>
    <row r="554" spans="1:8" ht="19.5">
      <c r="A554" s="1"/>
      <c r="B554" s="1"/>
      <c r="C554" s="1"/>
      <c r="D554" s="1"/>
      <c r="E554" s="1"/>
      <c r="G554" s="4"/>
      <c r="H554" s="1"/>
    </row>
    <row r="555" spans="1:8" ht="19.5">
      <c r="A555" s="1"/>
      <c r="B555" s="1"/>
      <c r="C555" s="1"/>
      <c r="D555" s="1"/>
      <c r="E555" s="1"/>
      <c r="G555" s="4"/>
      <c r="H555" s="1"/>
    </row>
    <row r="556" spans="1:8" ht="19.5">
      <c r="A556" s="1"/>
      <c r="B556" s="1"/>
      <c r="C556" s="1"/>
      <c r="D556" s="1"/>
      <c r="E556" s="1"/>
      <c r="G556" s="4"/>
      <c r="H556" s="1"/>
    </row>
    <row r="557" spans="1:8" ht="19.5">
      <c r="A557" s="1"/>
      <c r="B557" s="1"/>
      <c r="C557" s="1"/>
      <c r="D557" s="1"/>
      <c r="E557" s="1"/>
      <c r="G557" s="4"/>
      <c r="H557" s="1"/>
    </row>
    <row r="558" spans="1:8" ht="19.5">
      <c r="A558" s="1"/>
      <c r="B558" s="1"/>
      <c r="C558" s="1"/>
      <c r="D558" s="1"/>
      <c r="E558" s="1"/>
      <c r="G558" s="4"/>
      <c r="H558" s="1"/>
    </row>
    <row r="559" spans="1:8" ht="19.5">
      <c r="A559" s="1"/>
      <c r="B559" s="1"/>
      <c r="C559" s="1"/>
      <c r="D559" s="1"/>
      <c r="E559" s="1"/>
      <c r="G559" s="4"/>
      <c r="H559" s="1"/>
    </row>
    <row r="560" spans="1:8" ht="19.5">
      <c r="A560" s="1"/>
      <c r="B560" s="1"/>
      <c r="C560" s="1"/>
      <c r="D560" s="1"/>
      <c r="E560" s="1"/>
      <c r="G560" s="4"/>
      <c r="H560" s="1"/>
    </row>
    <row r="561" spans="1:8" ht="19.5">
      <c r="A561" s="1"/>
      <c r="B561" s="1"/>
      <c r="C561" s="1"/>
      <c r="D561" s="1"/>
      <c r="E561" s="1"/>
      <c r="G561" s="4"/>
      <c r="H561" s="1"/>
    </row>
    <row r="562" spans="1:8" ht="19.5">
      <c r="A562" s="1"/>
      <c r="B562" s="1"/>
      <c r="C562" s="1"/>
      <c r="D562" s="1"/>
      <c r="E562" s="1"/>
      <c r="G562" s="4"/>
      <c r="H562" s="1"/>
    </row>
    <row r="563" spans="1:8" ht="19.5">
      <c r="A563" s="1"/>
      <c r="B563" s="1"/>
      <c r="C563" s="1"/>
      <c r="D563" s="1"/>
      <c r="E563" s="1"/>
      <c r="G563" s="4"/>
      <c r="H563" s="1"/>
    </row>
    <row r="564" spans="1:8" ht="19.5">
      <c r="A564" s="1"/>
      <c r="B564" s="1"/>
      <c r="C564" s="1"/>
      <c r="D564" s="1"/>
      <c r="E564" s="1"/>
      <c r="G564" s="4"/>
      <c r="H564" s="1"/>
    </row>
    <row r="565" spans="1:8" ht="19.5">
      <c r="A565" s="1"/>
      <c r="B565" s="1"/>
      <c r="C565" s="1"/>
      <c r="D565" s="1"/>
      <c r="E565" s="1"/>
      <c r="G565" s="4"/>
      <c r="H565" s="1"/>
    </row>
    <row r="566" spans="1:8" ht="19.5">
      <c r="A566" s="1"/>
      <c r="B566" s="1"/>
      <c r="C566" s="1"/>
      <c r="D566" s="1"/>
      <c r="E566" s="1"/>
      <c r="G566" s="4"/>
      <c r="H566" s="1"/>
    </row>
    <row r="567" spans="1:8" ht="19.5">
      <c r="A567" s="1"/>
      <c r="B567" s="1"/>
      <c r="C567" s="1"/>
      <c r="D567" s="1"/>
      <c r="E567" s="1"/>
      <c r="G567" s="4"/>
      <c r="H567" s="1"/>
    </row>
    <row r="568" spans="1:8" ht="19.5">
      <c r="A568" s="1"/>
      <c r="B568" s="1"/>
      <c r="C568" s="1"/>
      <c r="D568" s="1"/>
      <c r="E568" s="1"/>
      <c r="G568" s="4"/>
      <c r="H568" s="1"/>
    </row>
    <row r="569" spans="1:8" ht="19.5">
      <c r="A569" s="1"/>
      <c r="B569" s="1"/>
      <c r="C569" s="1"/>
      <c r="D569" s="1"/>
      <c r="E569" s="1"/>
      <c r="G569" s="4"/>
      <c r="H569" s="1"/>
    </row>
    <row r="570" spans="1:8" ht="19.5">
      <c r="A570" s="1"/>
      <c r="B570" s="1"/>
      <c r="C570" s="1"/>
      <c r="D570" s="1"/>
      <c r="E570" s="1"/>
      <c r="G570" s="4"/>
      <c r="H570" s="1"/>
    </row>
    <row r="571" spans="1:8" ht="19.5">
      <c r="A571" s="1"/>
      <c r="B571" s="1"/>
      <c r="C571" s="1"/>
      <c r="D571" s="1"/>
      <c r="E571" s="1"/>
      <c r="G571" s="4"/>
      <c r="H571" s="1"/>
    </row>
    <row r="572" spans="1:8" ht="19.5">
      <c r="A572" s="1"/>
      <c r="B572" s="1"/>
      <c r="C572" s="1"/>
      <c r="D572" s="1"/>
      <c r="E572" s="1"/>
      <c r="G572" s="4"/>
      <c r="H572" s="1"/>
    </row>
    <row r="573" spans="1:8" ht="19.5">
      <c r="A573" s="1"/>
      <c r="B573" s="1"/>
      <c r="C573" s="1"/>
      <c r="D573" s="1"/>
      <c r="E573" s="1"/>
      <c r="G573" s="4"/>
      <c r="H573" s="1"/>
    </row>
    <row r="574" spans="1:8" ht="19.5">
      <c r="A574" s="1"/>
      <c r="B574" s="1"/>
      <c r="C574" s="1"/>
      <c r="D574" s="1"/>
      <c r="E574" s="1"/>
      <c r="G574" s="4"/>
      <c r="H574" s="1"/>
    </row>
    <row r="575" spans="1:8" ht="19.5">
      <c r="A575" s="1"/>
      <c r="B575" s="1"/>
      <c r="C575" s="1"/>
      <c r="D575" s="1"/>
      <c r="E575" s="1"/>
      <c r="G575" s="4"/>
      <c r="H575" s="1"/>
    </row>
    <row r="576" spans="1:8" ht="19.5">
      <c r="A576" s="1"/>
      <c r="B576" s="1"/>
      <c r="C576" s="1"/>
      <c r="D576" s="1"/>
      <c r="E576" s="1"/>
      <c r="G576" s="4"/>
      <c r="H576" s="1"/>
    </row>
    <row r="577" spans="1:8" ht="19.5">
      <c r="A577" s="1"/>
      <c r="B577" s="1"/>
      <c r="C577" s="1"/>
      <c r="D577" s="1"/>
      <c r="E577" s="1"/>
      <c r="G577" s="4"/>
      <c r="H577" s="1"/>
    </row>
    <row r="578" spans="1:8" ht="19.5">
      <c r="A578" s="1"/>
      <c r="B578" s="1"/>
      <c r="C578" s="1"/>
      <c r="D578" s="1"/>
      <c r="E578" s="1"/>
      <c r="G578" s="4"/>
      <c r="H578" s="1"/>
    </row>
    <row r="579" spans="1:8" ht="19.5">
      <c r="A579" s="1"/>
      <c r="B579" s="1"/>
      <c r="C579" s="1"/>
      <c r="D579" s="1"/>
      <c r="E579" s="1"/>
      <c r="G579" s="4"/>
      <c r="H579" s="1"/>
    </row>
    <row r="580" spans="1:8" ht="19.5">
      <c r="A580" s="1"/>
      <c r="B580" s="1"/>
      <c r="C580" s="1"/>
      <c r="D580" s="1"/>
      <c r="E580" s="1"/>
      <c r="G580" s="4"/>
      <c r="H580" s="1"/>
    </row>
    <row r="581" spans="1:8" ht="19.5">
      <c r="A581" s="1"/>
      <c r="B581" s="1"/>
      <c r="C581" s="1"/>
      <c r="D581" s="1"/>
      <c r="E581" s="1"/>
      <c r="G581" s="4"/>
      <c r="H581" s="1"/>
    </row>
    <row r="582" spans="1:8" ht="19.5">
      <c r="A582" s="1"/>
      <c r="B582" s="1"/>
      <c r="C582" s="1"/>
      <c r="D582" s="1"/>
      <c r="E582" s="1"/>
      <c r="G582" s="4"/>
      <c r="H582" s="1"/>
    </row>
    <row r="583" spans="1:8" ht="19.5">
      <c r="A583" s="1"/>
      <c r="B583" s="1"/>
      <c r="C583" s="1"/>
      <c r="D583" s="1"/>
      <c r="E583" s="1"/>
      <c r="G583" s="4"/>
      <c r="H583" s="1"/>
    </row>
    <row r="584" spans="1:8" ht="19.5">
      <c r="A584" s="1"/>
      <c r="B584" s="1"/>
      <c r="C584" s="1"/>
      <c r="D584" s="1"/>
      <c r="E584" s="1"/>
      <c r="G584" s="4"/>
      <c r="H584" s="1"/>
    </row>
    <row r="585" spans="1:8" ht="19.5">
      <c r="A585" s="1"/>
      <c r="B585" s="1"/>
      <c r="C585" s="1"/>
      <c r="D585" s="1"/>
      <c r="E585" s="1"/>
      <c r="G585" s="4"/>
      <c r="H585" s="1"/>
    </row>
    <row r="586" spans="1:8" ht="19.5">
      <c r="A586" s="1"/>
      <c r="B586" s="1"/>
      <c r="C586" s="1"/>
      <c r="D586" s="1"/>
      <c r="E586" s="1"/>
      <c r="G586" s="4"/>
      <c r="H586" s="1"/>
    </row>
    <row r="587" spans="1:8" ht="19.5">
      <c r="A587" s="1"/>
      <c r="B587" s="1"/>
      <c r="C587" s="1"/>
      <c r="D587" s="1"/>
      <c r="E587" s="1"/>
      <c r="G587" s="4"/>
      <c r="H587" s="1"/>
    </row>
    <row r="588" spans="1:8" ht="19.5">
      <c r="A588" s="1"/>
      <c r="B588" s="1"/>
      <c r="C588" s="1"/>
      <c r="D588" s="1"/>
      <c r="E588" s="1"/>
      <c r="G588" s="4"/>
      <c r="H588" s="1"/>
    </row>
    <row r="589" spans="1:8" ht="19.5">
      <c r="A589" s="1"/>
      <c r="B589" s="1"/>
      <c r="C589" s="1"/>
      <c r="D589" s="1"/>
      <c r="E589" s="1"/>
      <c r="G589" s="4"/>
      <c r="H589" s="1"/>
    </row>
    <row r="590" spans="1:8" ht="19.5">
      <c r="A590" s="1"/>
      <c r="B590" s="1"/>
      <c r="C590" s="1"/>
      <c r="D590" s="1"/>
      <c r="E590" s="1"/>
      <c r="G590" s="4"/>
      <c r="H590" s="1"/>
    </row>
    <row r="591" spans="1:8" ht="19.5">
      <c r="A591" s="1"/>
      <c r="B591" s="1"/>
      <c r="C591" s="1"/>
      <c r="D591" s="1"/>
      <c r="E591" s="1"/>
      <c r="G591" s="4"/>
      <c r="H591" s="1"/>
    </row>
    <row r="592" spans="1:8" ht="19.5">
      <c r="A592" s="1"/>
      <c r="B592" s="1"/>
      <c r="C592" s="1"/>
      <c r="D592" s="1"/>
      <c r="E592" s="1"/>
      <c r="G592" s="4"/>
      <c r="H592" s="1"/>
    </row>
    <row r="593" spans="1:8" ht="19.5">
      <c r="A593" s="1"/>
      <c r="B593" s="1"/>
      <c r="C593" s="1"/>
      <c r="D593" s="1"/>
      <c r="E593" s="1"/>
      <c r="G593" s="4"/>
      <c r="H593" s="1"/>
    </row>
    <row r="594" spans="1:8" ht="19.5">
      <c r="A594" s="1"/>
      <c r="B594" s="1"/>
      <c r="C594" s="1"/>
      <c r="D594" s="1"/>
      <c r="E594" s="1"/>
      <c r="G594" s="4"/>
      <c r="H594" s="1"/>
    </row>
    <row r="595" spans="1:8" ht="19.5">
      <c r="A595" s="1"/>
      <c r="B595" s="1"/>
      <c r="C595" s="1"/>
      <c r="D595" s="1"/>
      <c r="E595" s="1"/>
      <c r="G595" s="4"/>
      <c r="H595" s="1"/>
    </row>
    <row r="596" spans="1:8" ht="19.5">
      <c r="A596" s="1"/>
      <c r="B596" s="1"/>
      <c r="C596" s="1"/>
      <c r="D596" s="1"/>
      <c r="E596" s="1"/>
      <c r="G596" s="4"/>
      <c r="H596" s="1"/>
    </row>
    <row r="597" spans="1:8" ht="19.5">
      <c r="A597" s="1"/>
      <c r="B597" s="1"/>
      <c r="C597" s="1"/>
      <c r="D597" s="1"/>
      <c r="E597" s="1"/>
      <c r="G597" s="4"/>
      <c r="H597" s="1"/>
    </row>
    <row r="598" spans="1:8" ht="19.5">
      <c r="A598" s="1"/>
      <c r="B598" s="1"/>
      <c r="C598" s="1"/>
      <c r="D598" s="1"/>
      <c r="E598" s="1"/>
      <c r="G598" s="4"/>
      <c r="H598" s="1"/>
    </row>
    <row r="599" spans="1:8" ht="19.5">
      <c r="A599" s="1"/>
      <c r="B599" s="1"/>
      <c r="C599" s="1"/>
      <c r="D599" s="1"/>
      <c r="E599" s="1"/>
      <c r="G599" s="4"/>
      <c r="H599" s="1"/>
    </row>
    <row r="600" spans="1:8" ht="19.5">
      <c r="A600" s="1"/>
      <c r="B600" s="1"/>
      <c r="C600" s="1"/>
      <c r="D600" s="1"/>
      <c r="E600" s="1"/>
      <c r="G600" s="4"/>
      <c r="H600" s="1"/>
    </row>
    <row r="601" spans="1:8" ht="19.5">
      <c r="A601" s="1"/>
      <c r="B601" s="1"/>
      <c r="C601" s="1"/>
      <c r="D601" s="1"/>
      <c r="E601" s="1"/>
      <c r="G601" s="4"/>
      <c r="H601" s="1"/>
    </row>
    <row r="602" spans="1:8" ht="19.5">
      <c r="A602" s="1"/>
      <c r="B602" s="1"/>
      <c r="C602" s="1"/>
      <c r="D602" s="1"/>
      <c r="E602" s="1"/>
      <c r="G602" s="4"/>
      <c r="H602" s="1"/>
    </row>
    <row r="603" spans="1:8" ht="19.5">
      <c r="A603" s="1"/>
      <c r="B603" s="1"/>
      <c r="C603" s="1"/>
      <c r="D603" s="1"/>
      <c r="E603" s="1"/>
      <c r="G603" s="4"/>
      <c r="H603" s="1"/>
    </row>
    <row r="604" spans="1:8" ht="19.5">
      <c r="A604" s="1"/>
      <c r="B604" s="1"/>
      <c r="C604" s="1"/>
      <c r="D604" s="1"/>
      <c r="E604" s="1"/>
      <c r="G604" s="4"/>
      <c r="H604" s="1"/>
    </row>
    <row r="605" spans="1:8" ht="19.5">
      <c r="A605" s="1"/>
      <c r="B605" s="1"/>
      <c r="C605" s="1"/>
      <c r="D605" s="1"/>
      <c r="E605" s="1"/>
      <c r="G605" s="4"/>
      <c r="H605" s="1"/>
    </row>
    <row r="606" spans="1:8" ht="19.5">
      <c r="A606" s="1"/>
      <c r="B606" s="1"/>
      <c r="C606" s="1"/>
      <c r="D606" s="1"/>
      <c r="E606" s="1"/>
      <c r="G606" s="4"/>
      <c r="H606" s="1"/>
    </row>
    <row r="607" spans="1:8" ht="19.5">
      <c r="A607" s="1"/>
      <c r="B607" s="1"/>
      <c r="C607" s="1"/>
      <c r="D607" s="1"/>
      <c r="E607" s="1"/>
      <c r="G607" s="4"/>
      <c r="H607" s="1"/>
    </row>
    <row r="608" spans="1:8" ht="19.5">
      <c r="A608" s="1"/>
      <c r="B608" s="1"/>
      <c r="C608" s="1"/>
      <c r="D608" s="1"/>
      <c r="E608" s="1"/>
      <c r="G608" s="4"/>
      <c r="H608" s="1"/>
    </row>
    <row r="609" spans="1:8" ht="19.5">
      <c r="A609" s="1"/>
      <c r="B609" s="1"/>
      <c r="C609" s="1"/>
      <c r="D609" s="1"/>
      <c r="E609" s="1"/>
      <c r="G609" s="4"/>
      <c r="H609" s="1"/>
    </row>
    <row r="610" spans="1:8" ht="19.5">
      <c r="A610" s="1"/>
      <c r="B610" s="1"/>
      <c r="C610" s="1"/>
      <c r="D610" s="1"/>
      <c r="E610" s="1"/>
      <c r="G610" s="4"/>
      <c r="H610" s="1"/>
    </row>
    <row r="611" spans="1:8" ht="19.5">
      <c r="A611" s="1"/>
      <c r="B611" s="1"/>
      <c r="C611" s="1"/>
      <c r="D611" s="1"/>
      <c r="E611" s="1"/>
      <c r="G611" s="4"/>
      <c r="H611" s="1"/>
    </row>
    <row r="612" spans="1:8" ht="19.5">
      <c r="A612" s="1"/>
      <c r="B612" s="1"/>
      <c r="C612" s="1"/>
      <c r="D612" s="1"/>
      <c r="E612" s="1"/>
      <c r="G612" s="4"/>
      <c r="H612" s="1"/>
    </row>
    <row r="613" spans="1:8" ht="19.5">
      <c r="A613" s="1"/>
      <c r="B613" s="1"/>
      <c r="C613" s="1"/>
      <c r="D613" s="1"/>
      <c r="E613" s="1"/>
      <c r="G613" s="4"/>
      <c r="H613" s="1"/>
    </row>
    <row r="614" spans="1:8" ht="19.5">
      <c r="A614" s="1"/>
      <c r="B614" s="1"/>
      <c r="C614" s="1"/>
      <c r="D614" s="1"/>
      <c r="E614" s="1"/>
      <c r="G614" s="4"/>
      <c r="H614" s="1"/>
    </row>
    <row r="615" spans="1:8" ht="19.5">
      <c r="A615" s="1"/>
      <c r="B615" s="1"/>
      <c r="C615" s="1"/>
      <c r="D615" s="1"/>
      <c r="E615" s="1"/>
      <c r="G615" s="4"/>
      <c r="H615" s="1"/>
    </row>
    <row r="616" spans="1:8" ht="19.5">
      <c r="A616" s="1"/>
      <c r="B616" s="1"/>
      <c r="C616" s="1"/>
      <c r="D616" s="1"/>
      <c r="E616" s="1"/>
      <c r="G616" s="4"/>
      <c r="H616" s="1"/>
    </row>
    <row r="617" spans="1:8" ht="19.5">
      <c r="A617" s="1"/>
      <c r="B617" s="1"/>
      <c r="C617" s="1"/>
      <c r="D617" s="1"/>
      <c r="E617" s="1"/>
      <c r="G617" s="4"/>
      <c r="H617" s="1"/>
    </row>
    <row r="618" spans="1:8" ht="19.5">
      <c r="A618" s="1"/>
      <c r="B618" s="1"/>
      <c r="C618" s="1"/>
      <c r="D618" s="1"/>
      <c r="E618" s="1"/>
      <c r="G618" s="4"/>
      <c r="H618" s="1"/>
    </row>
    <row r="619" spans="1:8" ht="19.5">
      <c r="A619" s="1"/>
      <c r="B619" s="1"/>
      <c r="C619" s="1"/>
      <c r="D619" s="1"/>
      <c r="E619" s="1"/>
      <c r="G619" s="4"/>
      <c r="H619" s="1"/>
    </row>
    <row r="620" spans="1:8" ht="19.5">
      <c r="A620" s="1"/>
      <c r="B620" s="1"/>
      <c r="C620" s="1"/>
      <c r="D620" s="1"/>
      <c r="E620" s="1"/>
      <c r="G620" s="4"/>
      <c r="H620" s="1"/>
    </row>
    <row r="621" spans="1:8" ht="19.5">
      <c r="A621" s="1"/>
      <c r="B621" s="1"/>
      <c r="C621" s="1"/>
      <c r="D621" s="1"/>
      <c r="E621" s="1"/>
      <c r="G621" s="4"/>
      <c r="H621" s="1"/>
    </row>
    <row r="622" spans="1:8" ht="19.5">
      <c r="A622" s="1"/>
      <c r="B622" s="1"/>
      <c r="C622" s="1"/>
      <c r="D622" s="1"/>
      <c r="E622" s="1"/>
      <c r="G622" s="4"/>
      <c r="H622" s="1"/>
    </row>
    <row r="623" spans="1:8" ht="19.5">
      <c r="A623" s="1"/>
      <c r="B623" s="1"/>
      <c r="C623" s="1"/>
      <c r="D623" s="1"/>
      <c r="E623" s="1"/>
      <c r="G623" s="4"/>
      <c r="H623" s="1"/>
    </row>
    <row r="624" spans="1:8" ht="19.5">
      <c r="A624" s="1"/>
      <c r="B624" s="1"/>
      <c r="C624" s="1"/>
      <c r="D624" s="1"/>
      <c r="E624" s="1"/>
      <c r="G624" s="4"/>
      <c r="H624" s="1"/>
    </row>
    <row r="625" spans="1:8" ht="19.5">
      <c r="A625" s="1"/>
      <c r="B625" s="1"/>
      <c r="C625" s="1"/>
      <c r="D625" s="1"/>
      <c r="E625" s="1"/>
      <c r="G625" s="4"/>
      <c r="H625" s="1"/>
    </row>
    <row r="626" spans="1:8" ht="19.5">
      <c r="A626" s="1"/>
      <c r="B626" s="1"/>
      <c r="C626" s="1"/>
      <c r="D626" s="1"/>
      <c r="E626" s="1"/>
      <c r="G626" s="4"/>
      <c r="H626" s="1"/>
    </row>
    <row r="627" spans="1:8" ht="19.5">
      <c r="A627" s="1"/>
      <c r="B627" s="1"/>
      <c r="C627" s="1"/>
      <c r="D627" s="1"/>
      <c r="E627" s="1"/>
      <c r="G627" s="4"/>
      <c r="H627" s="1"/>
    </row>
    <row r="628" spans="1:8" ht="19.5">
      <c r="A628" s="1"/>
      <c r="B628" s="1"/>
      <c r="C628" s="1"/>
      <c r="D628" s="1"/>
      <c r="E628" s="1"/>
      <c r="G628" s="4"/>
      <c r="H628" s="1"/>
    </row>
    <row r="629" spans="1:8" ht="19.5">
      <c r="A629" s="1"/>
      <c r="B629" s="1"/>
      <c r="C629" s="1"/>
      <c r="D629" s="1"/>
      <c r="E629" s="1"/>
      <c r="G629" s="4"/>
      <c r="H629" s="1"/>
    </row>
    <row r="630" spans="1:8" ht="19.5">
      <c r="A630" s="1"/>
      <c r="B630" s="1"/>
      <c r="C630" s="1"/>
      <c r="D630" s="1"/>
      <c r="E630" s="1"/>
      <c r="G630" s="4"/>
      <c r="H630" s="1"/>
    </row>
    <row r="631" spans="1:8" ht="19.5">
      <c r="A631" s="1"/>
      <c r="B631" s="1"/>
      <c r="C631" s="1"/>
      <c r="D631" s="1"/>
      <c r="E631" s="1"/>
      <c r="G631" s="4"/>
      <c r="H631" s="1"/>
    </row>
    <row r="632" spans="1:8" ht="19.5">
      <c r="A632" s="1"/>
      <c r="B632" s="1"/>
      <c r="C632" s="1"/>
      <c r="D632" s="1"/>
      <c r="E632" s="1"/>
      <c r="G632" s="4"/>
      <c r="H632" s="1"/>
    </row>
    <row r="633" spans="1:8" ht="19.5">
      <c r="A633" s="1"/>
      <c r="B633" s="1"/>
      <c r="C633" s="1"/>
      <c r="D633" s="1"/>
      <c r="E633" s="1"/>
      <c r="G633" s="4"/>
      <c r="H633" s="1"/>
    </row>
    <row r="634" spans="1:8" ht="19.5">
      <c r="A634" s="1"/>
      <c r="B634" s="1"/>
      <c r="C634" s="1"/>
      <c r="D634" s="1"/>
      <c r="E634" s="1"/>
      <c r="G634" s="4"/>
      <c r="H634" s="1"/>
    </row>
    <row r="635" spans="1:8" ht="19.5">
      <c r="A635" s="1"/>
      <c r="B635" s="1"/>
      <c r="C635" s="1"/>
      <c r="D635" s="1"/>
      <c r="E635" s="1"/>
      <c r="G635" s="4"/>
      <c r="H635" s="1"/>
    </row>
    <row r="636" spans="1:8" ht="19.5">
      <c r="A636" s="1"/>
      <c r="B636" s="1"/>
      <c r="C636" s="1"/>
      <c r="D636" s="1"/>
      <c r="E636" s="1"/>
      <c r="G636" s="4"/>
      <c r="H636" s="1"/>
    </row>
    <row r="637" spans="1:8" ht="19.5">
      <c r="A637" s="1"/>
      <c r="B637" s="1"/>
      <c r="C637" s="1"/>
      <c r="D637" s="1"/>
      <c r="E637" s="1"/>
      <c r="G637" s="4"/>
      <c r="H637" s="1"/>
    </row>
    <row r="638" spans="1:8" ht="19.5">
      <c r="A638" s="1"/>
      <c r="B638" s="1"/>
      <c r="C638" s="1"/>
      <c r="D638" s="1"/>
      <c r="E638" s="1"/>
      <c r="G638" s="4"/>
      <c r="H638" s="1"/>
    </row>
    <row r="639" spans="1:8" ht="19.5">
      <c r="A639" s="1"/>
      <c r="B639" s="1"/>
      <c r="C639" s="1"/>
      <c r="D639" s="1"/>
      <c r="E639" s="1"/>
      <c r="G639" s="4"/>
      <c r="H639" s="1"/>
    </row>
    <row r="640" spans="1:8" ht="19.5">
      <c r="A640" s="1"/>
      <c r="B640" s="1"/>
      <c r="C640" s="1"/>
      <c r="D640" s="1"/>
      <c r="E640" s="1"/>
      <c r="G640" s="4"/>
      <c r="H640" s="1"/>
    </row>
    <row r="641" spans="1:8" ht="19.5">
      <c r="A641" s="1"/>
      <c r="B641" s="1"/>
      <c r="C641" s="1"/>
      <c r="D641" s="1"/>
      <c r="E641" s="1"/>
      <c r="G641" s="4"/>
      <c r="H641" s="1"/>
    </row>
    <row r="642" spans="1:8" ht="19.5">
      <c r="A642" s="1"/>
      <c r="B642" s="1"/>
      <c r="C642" s="1"/>
      <c r="D642" s="1"/>
      <c r="E642" s="1"/>
      <c r="G642" s="4"/>
      <c r="H642" s="1"/>
    </row>
    <row r="643" spans="1:8" ht="19.5">
      <c r="A643" s="1"/>
      <c r="B643" s="1"/>
      <c r="C643" s="1"/>
      <c r="D643" s="1"/>
      <c r="E643" s="1"/>
      <c r="G643" s="4"/>
      <c r="H643" s="1"/>
    </row>
    <row r="644" spans="1:8" ht="19.5">
      <c r="A644" s="1"/>
      <c r="B644" s="1"/>
      <c r="C644" s="1"/>
      <c r="D644" s="1"/>
      <c r="E644" s="1"/>
      <c r="G644" s="4"/>
      <c r="H644" s="1"/>
    </row>
    <row r="645" spans="1:8" ht="19.5">
      <c r="A645" s="1"/>
      <c r="B645" s="1"/>
      <c r="C645" s="1"/>
      <c r="D645" s="1"/>
      <c r="E645" s="1"/>
      <c r="G645" s="4"/>
      <c r="H645" s="1"/>
    </row>
    <row r="646" spans="1:8" ht="19.5">
      <c r="A646" s="1"/>
      <c r="B646" s="1"/>
      <c r="C646" s="1"/>
      <c r="D646" s="1"/>
      <c r="E646" s="1"/>
      <c r="G646" s="4"/>
      <c r="H646" s="1"/>
    </row>
    <row r="647" spans="1:8" ht="19.5">
      <c r="A647" s="1"/>
      <c r="B647" s="1"/>
      <c r="C647" s="1"/>
      <c r="D647" s="1"/>
      <c r="E647" s="1"/>
      <c r="G647" s="4"/>
      <c r="H647" s="1"/>
    </row>
    <row r="648" spans="1:8" ht="19.5">
      <c r="A648" s="1"/>
      <c r="B648" s="1"/>
      <c r="C648" s="1"/>
      <c r="D648" s="1"/>
      <c r="E648" s="1"/>
      <c r="G648" s="4"/>
      <c r="H648" s="1"/>
    </row>
    <row r="649" spans="1:8" ht="19.5">
      <c r="A649" s="1"/>
      <c r="B649" s="1"/>
      <c r="C649" s="1"/>
      <c r="D649" s="1"/>
      <c r="E649" s="1"/>
      <c r="G649" s="4"/>
      <c r="H649" s="1"/>
    </row>
    <row r="650" spans="1:8" ht="19.5">
      <c r="A650" s="1"/>
      <c r="B650" s="1"/>
      <c r="C650" s="1"/>
      <c r="D650" s="1"/>
      <c r="E650" s="1"/>
      <c r="G650" s="4"/>
      <c r="H650" s="1"/>
    </row>
    <row r="651" spans="1:8" ht="19.5">
      <c r="A651" s="1"/>
      <c r="B651" s="1"/>
      <c r="C651" s="1"/>
      <c r="D651" s="1"/>
      <c r="E651" s="1"/>
      <c r="G651" s="4"/>
      <c r="H651" s="1"/>
    </row>
    <row r="652" spans="1:8" ht="19.5">
      <c r="A652" s="1"/>
      <c r="B652" s="1"/>
      <c r="C652" s="1"/>
      <c r="D652" s="1"/>
      <c r="E652" s="1"/>
      <c r="G652" s="4"/>
      <c r="H652" s="1"/>
    </row>
    <row r="653" spans="1:8" ht="19.5">
      <c r="A653" s="1"/>
      <c r="B653" s="1"/>
      <c r="C653" s="1"/>
      <c r="D653" s="1"/>
      <c r="E653" s="1"/>
      <c r="G653" s="4"/>
      <c r="H653" s="1"/>
    </row>
    <row r="654" spans="1:8" ht="19.5">
      <c r="A654" s="1"/>
      <c r="B654" s="1"/>
      <c r="C654" s="1"/>
      <c r="D654" s="1"/>
      <c r="E654" s="1"/>
      <c r="G654" s="4"/>
      <c r="H654" s="1"/>
    </row>
    <row r="655" spans="1:8" ht="19.5">
      <c r="A655" s="1"/>
      <c r="B655" s="1"/>
      <c r="C655" s="1"/>
      <c r="D655" s="1"/>
      <c r="E655" s="1"/>
      <c r="G655" s="4"/>
      <c r="H655" s="1"/>
    </row>
    <row r="656" spans="1:8" ht="19.5">
      <c r="A656" s="1"/>
      <c r="B656" s="1"/>
      <c r="C656" s="1"/>
      <c r="D656" s="1"/>
      <c r="E656" s="1"/>
      <c r="G656" s="4"/>
      <c r="H656" s="1"/>
    </row>
    <row r="657" spans="1:8" ht="19.5">
      <c r="A657" s="1"/>
      <c r="B657" s="1"/>
      <c r="C657" s="1"/>
      <c r="D657" s="1"/>
      <c r="E657" s="1"/>
      <c r="G657" s="4"/>
      <c r="H657" s="1"/>
    </row>
    <row r="658" spans="1:8" ht="19.5">
      <c r="A658" s="1"/>
      <c r="B658" s="1"/>
      <c r="C658" s="1"/>
      <c r="D658" s="1"/>
      <c r="E658" s="1"/>
      <c r="G658" s="4"/>
      <c r="H658" s="1"/>
    </row>
    <row r="659" spans="1:8" ht="19.5">
      <c r="A659" s="1"/>
      <c r="B659" s="1"/>
      <c r="C659" s="1"/>
      <c r="D659" s="1"/>
      <c r="E659" s="1"/>
      <c r="G659" s="4"/>
      <c r="H659" s="1"/>
    </row>
    <row r="660" spans="1:8" ht="19.5">
      <c r="A660" s="1"/>
      <c r="B660" s="1"/>
      <c r="C660" s="1"/>
      <c r="D660" s="1"/>
      <c r="E660" s="1"/>
      <c r="G660" s="4"/>
      <c r="H660" s="1"/>
    </row>
    <row r="661" spans="1:8" ht="19.5">
      <c r="A661" s="1"/>
      <c r="B661" s="1"/>
      <c r="C661" s="1"/>
      <c r="D661" s="1"/>
      <c r="E661" s="1"/>
      <c r="G661" s="4"/>
      <c r="H661" s="1"/>
    </row>
    <row r="662" spans="1:8" ht="19.5">
      <c r="A662" s="1"/>
      <c r="B662" s="1"/>
      <c r="C662" s="1"/>
      <c r="D662" s="1"/>
      <c r="E662" s="1"/>
      <c r="G662" s="4"/>
      <c r="H662" s="1"/>
    </row>
    <row r="663" spans="1:8" ht="19.5">
      <c r="A663" s="1"/>
      <c r="B663" s="1"/>
      <c r="C663" s="1"/>
      <c r="D663" s="1"/>
      <c r="E663" s="1"/>
      <c r="G663" s="4"/>
      <c r="H663" s="1"/>
    </row>
    <row r="664" spans="1:8" ht="19.5">
      <c r="A664" s="1"/>
      <c r="B664" s="1"/>
      <c r="C664" s="1"/>
      <c r="D664" s="1"/>
      <c r="E664" s="1"/>
      <c r="G664" s="4"/>
      <c r="H664" s="1"/>
    </row>
    <row r="665" spans="1:8" ht="19.5">
      <c r="A665" s="1"/>
      <c r="B665" s="1"/>
      <c r="C665" s="1"/>
      <c r="D665" s="1"/>
      <c r="E665" s="1"/>
      <c r="G665" s="4"/>
      <c r="H665" s="1"/>
    </row>
    <row r="666" spans="1:8" ht="19.5">
      <c r="A666" s="1"/>
      <c r="B666" s="1"/>
      <c r="C666" s="1"/>
      <c r="D666" s="1"/>
      <c r="E666" s="1"/>
      <c r="G666" s="4"/>
      <c r="H666" s="1"/>
    </row>
    <row r="667" spans="1:8" ht="19.5">
      <c r="A667" s="1"/>
      <c r="B667" s="1"/>
      <c r="C667" s="1"/>
      <c r="D667" s="1"/>
      <c r="E667" s="1"/>
      <c r="G667" s="4"/>
      <c r="H667" s="1"/>
    </row>
    <row r="668" spans="1:8" ht="19.5">
      <c r="A668" s="1"/>
      <c r="B668" s="1"/>
      <c r="C668" s="1"/>
      <c r="D668" s="1"/>
      <c r="E668" s="1"/>
      <c r="G668" s="4"/>
      <c r="H668" s="1"/>
    </row>
    <row r="669" spans="1:8" ht="19.5">
      <c r="A669" s="1"/>
      <c r="B669" s="1"/>
      <c r="C669" s="1"/>
      <c r="D669" s="1"/>
      <c r="E669" s="1"/>
      <c r="G669" s="4"/>
      <c r="H669" s="1"/>
    </row>
    <row r="670" spans="1:8" ht="19.5">
      <c r="A670" s="1"/>
      <c r="B670" s="1"/>
      <c r="C670" s="1"/>
      <c r="D670" s="1"/>
      <c r="E670" s="1"/>
      <c r="G670" s="4"/>
      <c r="H670" s="1"/>
    </row>
    <row r="671" spans="1:8" ht="19.5">
      <c r="A671" s="1"/>
      <c r="B671" s="1"/>
      <c r="C671" s="1"/>
      <c r="D671" s="1"/>
      <c r="E671" s="1"/>
      <c r="G671" s="4"/>
      <c r="H671" s="1"/>
    </row>
    <row r="672" spans="1:8" ht="19.5">
      <c r="A672" s="1"/>
      <c r="B672" s="1"/>
      <c r="C672" s="1"/>
      <c r="D672" s="1"/>
      <c r="E672" s="1"/>
      <c r="G672" s="4"/>
      <c r="H672" s="1"/>
    </row>
    <row r="673" spans="1:8" ht="19.5">
      <c r="A673" s="1"/>
      <c r="B673" s="1"/>
      <c r="C673" s="1"/>
      <c r="D673" s="1"/>
      <c r="E673" s="1"/>
      <c r="G673" s="4"/>
      <c r="H673" s="1"/>
    </row>
    <row r="674" spans="1:8" ht="19.5">
      <c r="A674" s="1"/>
      <c r="B674" s="1"/>
      <c r="C674" s="1"/>
      <c r="D674" s="1"/>
      <c r="E674" s="1"/>
      <c r="G674" s="4"/>
      <c r="H674" s="1"/>
    </row>
    <row r="675" spans="1:8" ht="19.5">
      <c r="A675" s="1"/>
      <c r="B675" s="1"/>
      <c r="C675" s="1"/>
      <c r="D675" s="1"/>
      <c r="E675" s="1"/>
      <c r="G675" s="4"/>
      <c r="H675" s="1"/>
    </row>
    <row r="676" spans="1:8" ht="19.5">
      <c r="A676" s="1"/>
      <c r="B676" s="1"/>
      <c r="C676" s="1"/>
      <c r="D676" s="1"/>
      <c r="E676" s="1"/>
      <c r="G676" s="4"/>
      <c r="H676" s="1"/>
    </row>
    <row r="677" spans="1:8" ht="19.5">
      <c r="A677" s="1"/>
      <c r="B677" s="1"/>
      <c r="C677" s="1"/>
      <c r="D677" s="1"/>
      <c r="E677" s="1"/>
      <c r="G677" s="4"/>
      <c r="H677" s="1"/>
    </row>
    <row r="678" spans="1:8" ht="19.5">
      <c r="A678" s="1"/>
      <c r="B678" s="1"/>
      <c r="C678" s="1"/>
      <c r="D678" s="1"/>
      <c r="E678" s="1"/>
      <c r="G678" s="4"/>
      <c r="H678" s="1"/>
    </row>
    <row r="679" spans="1:8" ht="19.5">
      <c r="A679" s="1"/>
      <c r="B679" s="1"/>
      <c r="C679" s="1"/>
      <c r="D679" s="1"/>
      <c r="E679" s="1"/>
      <c r="G679" s="4"/>
      <c r="H679" s="1"/>
    </row>
    <row r="680" spans="1:8" ht="19.5">
      <c r="A680" s="1"/>
      <c r="B680" s="1"/>
      <c r="C680" s="1"/>
      <c r="D680" s="1"/>
      <c r="E680" s="1"/>
      <c r="G680" s="4"/>
      <c r="H680" s="1"/>
    </row>
    <row r="681" spans="1:8" ht="19.5">
      <c r="A681" s="1"/>
      <c r="B681" s="1"/>
      <c r="C681" s="1"/>
      <c r="D681" s="1"/>
      <c r="E681" s="1"/>
      <c r="G681" s="4"/>
      <c r="H681" s="1"/>
    </row>
    <row r="682" spans="1:8" ht="19.5">
      <c r="A682" s="1"/>
      <c r="B682" s="1"/>
      <c r="C682" s="1"/>
      <c r="D682" s="1"/>
      <c r="E682" s="1"/>
      <c r="G682" s="4"/>
      <c r="H682" s="1"/>
    </row>
    <row r="683" spans="1:8" ht="19.5">
      <c r="A683" s="1"/>
      <c r="B683" s="1"/>
      <c r="C683" s="1"/>
      <c r="D683" s="1"/>
      <c r="E683" s="1"/>
      <c r="G683" s="4"/>
      <c r="H683" s="1"/>
    </row>
    <row r="684" spans="1:8" ht="19.5">
      <c r="A684" s="1"/>
      <c r="B684" s="1"/>
      <c r="C684" s="1"/>
      <c r="D684" s="1"/>
      <c r="E684" s="1"/>
      <c r="G684" s="4"/>
      <c r="H684" s="1"/>
    </row>
    <row r="685" spans="1:8" ht="19.5">
      <c r="A685" s="1"/>
      <c r="B685" s="1"/>
      <c r="C685" s="1"/>
      <c r="D685" s="1"/>
      <c r="E685" s="1"/>
      <c r="G685" s="4"/>
      <c r="H685" s="1"/>
    </row>
    <row r="686" spans="1:8" ht="19.5">
      <c r="A686" s="1"/>
      <c r="B686" s="1"/>
      <c r="C686" s="1"/>
      <c r="D686" s="1"/>
      <c r="E686" s="1"/>
      <c r="G686" s="4"/>
      <c r="H686" s="1"/>
    </row>
    <row r="687" spans="1:8" ht="19.5">
      <c r="A687" s="1"/>
      <c r="B687" s="1"/>
      <c r="C687" s="1"/>
      <c r="D687" s="1"/>
      <c r="E687" s="1"/>
      <c r="G687" s="4"/>
      <c r="H687" s="1"/>
    </row>
    <row r="688" spans="1:8" ht="19.5">
      <c r="A688" s="1"/>
      <c r="B688" s="1"/>
      <c r="C688" s="1"/>
      <c r="D688" s="1"/>
      <c r="E688" s="1"/>
      <c r="G688" s="4"/>
      <c r="H688" s="1"/>
    </row>
    <row r="689" spans="1:8" ht="19.5">
      <c r="A689" s="1"/>
      <c r="B689" s="1"/>
      <c r="C689" s="1"/>
      <c r="D689" s="1"/>
      <c r="E689" s="1"/>
      <c r="G689" s="4"/>
      <c r="H689" s="1"/>
    </row>
    <row r="690" spans="1:8" ht="19.5">
      <c r="A690" s="1"/>
      <c r="B690" s="1"/>
      <c r="C690" s="1"/>
      <c r="D690" s="1"/>
      <c r="E690" s="1"/>
      <c r="G690" s="4"/>
      <c r="H690" s="1"/>
    </row>
    <row r="691" spans="1:8" ht="19.5">
      <c r="A691" s="1"/>
      <c r="B691" s="1"/>
      <c r="C691" s="1"/>
      <c r="D691" s="1"/>
      <c r="E691" s="1"/>
      <c r="G691" s="4"/>
      <c r="H691" s="1"/>
    </row>
    <row r="692" spans="1:8" ht="19.5">
      <c r="A692" s="1"/>
      <c r="B692" s="1"/>
      <c r="C692" s="1"/>
      <c r="D692" s="1"/>
      <c r="E692" s="1"/>
      <c r="G692" s="4"/>
      <c r="H692" s="1"/>
    </row>
    <row r="693" spans="1:8" ht="19.5">
      <c r="A693" s="1"/>
      <c r="B693" s="1"/>
      <c r="C693" s="1"/>
      <c r="D693" s="1"/>
      <c r="E693" s="1"/>
      <c r="G693" s="4"/>
      <c r="H693" s="1"/>
    </row>
    <row r="694" spans="1:8" ht="19.5">
      <c r="A694" s="1"/>
      <c r="B694" s="1"/>
      <c r="C694" s="1"/>
      <c r="D694" s="1"/>
      <c r="E694" s="1"/>
      <c r="G694" s="4"/>
      <c r="H694" s="1"/>
    </row>
    <row r="695" spans="1:8" ht="19.5">
      <c r="A695" s="1"/>
      <c r="B695" s="1"/>
      <c r="C695" s="1"/>
      <c r="D695" s="1"/>
      <c r="E695" s="1"/>
      <c r="G695" s="4"/>
      <c r="H695" s="1"/>
    </row>
    <row r="696" spans="1:8" ht="19.5">
      <c r="A696" s="1"/>
      <c r="B696" s="1"/>
      <c r="C696" s="1"/>
      <c r="D696" s="1"/>
      <c r="E696" s="1"/>
      <c r="G696" s="4"/>
      <c r="H696" s="1"/>
    </row>
    <row r="697" spans="1:8" ht="19.5">
      <c r="A697" s="1"/>
      <c r="B697" s="1"/>
      <c r="C697" s="1"/>
      <c r="D697" s="1"/>
      <c r="E697" s="1"/>
      <c r="G697" s="4"/>
      <c r="H697" s="1"/>
    </row>
    <row r="698" spans="1:8" ht="19.5">
      <c r="A698" s="1"/>
      <c r="B698" s="1"/>
      <c r="C698" s="1"/>
      <c r="D698" s="1"/>
      <c r="E698" s="1"/>
      <c r="G698" s="4"/>
      <c r="H698" s="1"/>
    </row>
    <row r="699" spans="1:8" ht="19.5">
      <c r="A699" s="1"/>
      <c r="B699" s="1"/>
      <c r="C699" s="1"/>
      <c r="D699" s="1"/>
      <c r="E699" s="1"/>
      <c r="G699" s="4"/>
      <c r="H699" s="1"/>
    </row>
    <row r="700" spans="1:8" ht="19.5">
      <c r="A700" s="1"/>
      <c r="B700" s="1"/>
      <c r="C700" s="1"/>
      <c r="D700" s="1"/>
      <c r="E700" s="1"/>
      <c r="G700" s="4"/>
      <c r="H700" s="1"/>
    </row>
    <row r="701" spans="1:8" ht="19.5">
      <c r="A701" s="1"/>
      <c r="B701" s="1"/>
      <c r="C701" s="1"/>
      <c r="D701" s="1"/>
      <c r="E701" s="1"/>
      <c r="G701" s="4"/>
      <c r="H701" s="1"/>
    </row>
    <row r="702" spans="1:8" ht="19.5">
      <c r="A702" s="1"/>
      <c r="B702" s="1"/>
      <c r="C702" s="1"/>
      <c r="D702" s="1"/>
      <c r="E702" s="1"/>
      <c r="G702" s="4"/>
      <c r="H702" s="1"/>
    </row>
    <row r="703" spans="1:8" ht="19.5">
      <c r="A703" s="1"/>
      <c r="B703" s="1"/>
      <c r="C703" s="1"/>
      <c r="D703" s="1"/>
      <c r="E703" s="1"/>
      <c r="G703" s="4"/>
      <c r="H703" s="1"/>
    </row>
    <row r="704" spans="1:8" ht="19.5">
      <c r="A704" s="1"/>
      <c r="B704" s="1"/>
      <c r="C704" s="1"/>
      <c r="D704" s="1"/>
      <c r="E704" s="1"/>
      <c r="G704" s="4"/>
      <c r="H704" s="1"/>
    </row>
    <row r="705" spans="1:8" ht="19.5">
      <c r="A705" s="1"/>
      <c r="B705" s="1"/>
      <c r="C705" s="1"/>
      <c r="D705" s="1"/>
      <c r="E705" s="1"/>
      <c r="G705" s="4"/>
      <c r="H705" s="1"/>
    </row>
    <row r="706" spans="1:8" ht="19.5">
      <c r="A706" s="1"/>
      <c r="B706" s="1"/>
      <c r="C706" s="1"/>
      <c r="D706" s="1"/>
      <c r="E706" s="1"/>
      <c r="G706" s="4"/>
      <c r="H706" s="1"/>
    </row>
    <row r="707" spans="1:8" ht="19.5">
      <c r="A707" s="1"/>
      <c r="B707" s="1"/>
      <c r="C707" s="1"/>
      <c r="D707" s="1"/>
      <c r="E707" s="1"/>
      <c r="G707" s="4"/>
      <c r="H707" s="1"/>
    </row>
    <row r="708" spans="1:8" ht="19.5">
      <c r="A708" s="1"/>
      <c r="B708" s="1"/>
      <c r="C708" s="1"/>
      <c r="D708" s="1"/>
      <c r="E708" s="1"/>
      <c r="G708" s="4"/>
      <c r="H708" s="1"/>
    </row>
    <row r="709" spans="1:8" ht="19.5">
      <c r="A709" s="1"/>
      <c r="B709" s="1"/>
      <c r="C709" s="1"/>
      <c r="D709" s="1"/>
      <c r="E709" s="1"/>
      <c r="G709" s="4"/>
      <c r="H709" s="1"/>
    </row>
    <row r="710" spans="1:8" ht="19.5">
      <c r="A710" s="1"/>
      <c r="B710" s="1"/>
      <c r="C710" s="1"/>
      <c r="D710" s="1"/>
      <c r="E710" s="1"/>
      <c r="G710" s="4"/>
      <c r="H710" s="1"/>
    </row>
    <row r="711" spans="1:8" ht="19.5">
      <c r="A711" s="1"/>
      <c r="B711" s="1"/>
      <c r="C711" s="1"/>
      <c r="D711" s="1"/>
      <c r="E711" s="1"/>
      <c r="G711" s="4"/>
      <c r="H711" s="1"/>
    </row>
    <row r="712" spans="1:8" ht="19.5">
      <c r="A712" s="1"/>
      <c r="B712" s="1"/>
      <c r="C712" s="1"/>
      <c r="D712" s="1"/>
      <c r="E712" s="1"/>
      <c r="G712" s="4"/>
      <c r="H712" s="1"/>
    </row>
    <row r="713" spans="1:8" ht="19.5">
      <c r="A713" s="1"/>
      <c r="B713" s="1"/>
      <c r="C713" s="1"/>
      <c r="D713" s="1"/>
      <c r="E713" s="1"/>
      <c r="G713" s="4"/>
      <c r="H713" s="1"/>
    </row>
    <row r="714" spans="1:8" ht="19.5">
      <c r="A714" s="1"/>
      <c r="B714" s="1"/>
      <c r="C714" s="1"/>
      <c r="D714" s="1"/>
      <c r="E714" s="1"/>
      <c r="G714" s="4"/>
      <c r="H714" s="1"/>
    </row>
    <row r="715" spans="1:8" ht="19.5">
      <c r="A715" s="1"/>
      <c r="B715" s="1"/>
      <c r="C715" s="1"/>
      <c r="D715" s="1"/>
      <c r="E715" s="1"/>
      <c r="G715" s="4"/>
      <c r="H715" s="1"/>
    </row>
    <row r="716" spans="1:8" ht="19.5">
      <c r="A716" s="1"/>
      <c r="B716" s="1"/>
      <c r="C716" s="1"/>
      <c r="D716" s="1"/>
      <c r="E716" s="1"/>
      <c r="G716" s="4"/>
      <c r="H716" s="1"/>
    </row>
    <row r="717" spans="1:8" ht="19.5">
      <c r="A717" s="1"/>
      <c r="B717" s="1"/>
      <c r="C717" s="1"/>
      <c r="D717" s="1"/>
      <c r="E717" s="1"/>
      <c r="G717" s="4"/>
      <c r="H717" s="1"/>
    </row>
    <row r="718" spans="1:8" ht="19.5">
      <c r="A718" s="1"/>
      <c r="B718" s="1"/>
      <c r="C718" s="1"/>
      <c r="D718" s="1"/>
      <c r="E718" s="1"/>
      <c r="G718" s="4"/>
      <c r="H718" s="1"/>
    </row>
    <row r="719" spans="1:8" ht="19.5">
      <c r="A719" s="1"/>
      <c r="B719" s="1"/>
      <c r="C719" s="1"/>
      <c r="D719" s="1"/>
      <c r="E719" s="1"/>
      <c r="G719" s="4"/>
      <c r="H719" s="1"/>
    </row>
    <row r="720" spans="1:8" ht="19.5">
      <c r="A720" s="1"/>
      <c r="B720" s="1"/>
      <c r="C720" s="1"/>
      <c r="D720" s="1"/>
      <c r="E720" s="1"/>
      <c r="G720" s="4"/>
      <c r="H720" s="1"/>
    </row>
    <row r="721" spans="1:8" ht="19.5">
      <c r="A721" s="1"/>
      <c r="B721" s="1"/>
      <c r="C721" s="1"/>
      <c r="D721" s="1"/>
      <c r="E721" s="1"/>
      <c r="G721" s="4"/>
      <c r="H721" s="1"/>
    </row>
    <row r="722" spans="1:8" ht="19.5">
      <c r="A722" s="1"/>
      <c r="B722" s="1"/>
      <c r="C722" s="1"/>
      <c r="D722" s="1"/>
      <c r="E722" s="1"/>
      <c r="G722" s="4"/>
      <c r="H722" s="1"/>
    </row>
    <row r="723" spans="1:8" ht="19.5">
      <c r="A723" s="1"/>
      <c r="B723" s="1"/>
      <c r="C723" s="1"/>
      <c r="D723" s="1"/>
      <c r="E723" s="1"/>
      <c r="G723" s="4"/>
      <c r="H723" s="1"/>
    </row>
    <row r="724" spans="1:8" ht="19.5">
      <c r="A724" s="1"/>
      <c r="B724" s="1"/>
      <c r="C724" s="1"/>
      <c r="D724" s="1"/>
      <c r="E724" s="1"/>
      <c r="G724" s="4"/>
      <c r="H724" s="1"/>
    </row>
    <row r="725" spans="1:8" ht="19.5">
      <c r="A725" s="1"/>
      <c r="B725" s="1"/>
      <c r="C725" s="1"/>
      <c r="D725" s="1"/>
      <c r="E725" s="1"/>
      <c r="G725" s="4"/>
      <c r="H725" s="1"/>
    </row>
    <row r="726" spans="1:8" ht="19.5">
      <c r="A726" s="1"/>
      <c r="B726" s="1"/>
      <c r="C726" s="1"/>
      <c r="D726" s="1"/>
      <c r="E726" s="1"/>
      <c r="G726" s="4"/>
      <c r="H726" s="1"/>
    </row>
    <row r="727" spans="1:8" ht="19.5">
      <c r="A727" s="1"/>
      <c r="B727" s="1"/>
      <c r="C727" s="1"/>
      <c r="D727" s="1"/>
      <c r="E727" s="1"/>
      <c r="G727" s="4"/>
      <c r="H727" s="1"/>
    </row>
    <row r="728" spans="1:8" ht="19.5">
      <c r="A728" s="1"/>
      <c r="B728" s="1"/>
      <c r="C728" s="1"/>
      <c r="D728" s="1"/>
      <c r="E728" s="1"/>
      <c r="G728" s="4"/>
      <c r="H728" s="1"/>
    </row>
    <row r="729" spans="1:8" ht="19.5">
      <c r="A729" s="1"/>
      <c r="B729" s="1"/>
      <c r="C729" s="1"/>
      <c r="D729" s="1"/>
      <c r="E729" s="1"/>
      <c r="G729" s="4"/>
      <c r="H729" s="1"/>
    </row>
    <row r="730" spans="1:8" ht="19.5">
      <c r="A730" s="1"/>
      <c r="B730" s="1"/>
      <c r="C730" s="1"/>
      <c r="D730" s="1"/>
      <c r="E730" s="1"/>
      <c r="G730" s="4"/>
      <c r="H730" s="1"/>
    </row>
    <row r="731" spans="1:8" ht="19.5">
      <c r="A731" s="1"/>
      <c r="B731" s="1"/>
      <c r="C731" s="1"/>
      <c r="D731" s="1"/>
      <c r="E731" s="1"/>
      <c r="G731" s="4"/>
      <c r="H731" s="1"/>
    </row>
    <row r="732" spans="1:8" ht="19.5">
      <c r="A732" s="1"/>
      <c r="B732" s="1"/>
      <c r="C732" s="1"/>
      <c r="D732" s="1"/>
      <c r="E732" s="1"/>
      <c r="G732" s="4"/>
      <c r="H732" s="1"/>
    </row>
    <row r="733" spans="1:8" ht="19.5">
      <c r="A733" s="1"/>
      <c r="B733" s="1"/>
      <c r="C733" s="1"/>
      <c r="D733" s="1"/>
      <c r="E733" s="1"/>
      <c r="G733" s="4"/>
      <c r="H733" s="1"/>
    </row>
    <row r="734" spans="1:8" ht="19.5">
      <c r="A734" s="1"/>
      <c r="B734" s="1"/>
      <c r="C734" s="1"/>
      <c r="D734" s="1"/>
      <c r="E734" s="1"/>
      <c r="G734" s="4"/>
      <c r="H734" s="1"/>
    </row>
    <row r="735" spans="1:8" ht="19.5">
      <c r="A735" s="1"/>
      <c r="B735" s="1"/>
      <c r="C735" s="1"/>
      <c r="D735" s="1"/>
      <c r="E735" s="1"/>
      <c r="G735" s="4"/>
      <c r="H735" s="1"/>
    </row>
    <row r="736" spans="1:8" ht="19.5">
      <c r="A736" s="1"/>
      <c r="B736" s="1"/>
      <c r="C736" s="1"/>
      <c r="D736" s="1"/>
      <c r="E736" s="1"/>
      <c r="G736" s="4"/>
      <c r="H736" s="1"/>
    </row>
    <row r="737" spans="1:8" ht="19.5">
      <c r="A737" s="1"/>
      <c r="B737" s="1"/>
      <c r="C737" s="1"/>
      <c r="D737" s="1"/>
      <c r="E737" s="1"/>
      <c r="G737" s="4"/>
      <c r="H737" s="1"/>
    </row>
    <row r="738" spans="1:8" ht="19.5">
      <c r="A738" s="1"/>
      <c r="B738" s="1"/>
      <c r="C738" s="1"/>
      <c r="D738" s="1"/>
      <c r="E738" s="1"/>
      <c r="G738" s="4"/>
      <c r="H738" s="1"/>
    </row>
    <row r="739" spans="1:8" ht="19.5">
      <c r="A739" s="1"/>
      <c r="B739" s="1"/>
      <c r="C739" s="1"/>
      <c r="D739" s="1"/>
      <c r="E739" s="1"/>
      <c r="G739" s="4"/>
      <c r="H739" s="1"/>
    </row>
    <row r="740" spans="1:8" ht="19.5">
      <c r="A740" s="1"/>
      <c r="B740" s="1"/>
      <c r="C740" s="1"/>
      <c r="D740" s="1"/>
      <c r="E740" s="1"/>
      <c r="G740" s="4"/>
      <c r="H740" s="1"/>
    </row>
    <row r="741" spans="1:8" ht="19.5">
      <c r="A741" s="1"/>
      <c r="B741" s="1"/>
      <c r="C741" s="1"/>
      <c r="D741" s="1"/>
      <c r="E741" s="1"/>
      <c r="G741" s="4"/>
      <c r="H741" s="1"/>
    </row>
    <row r="742" spans="1:8" ht="19.5">
      <c r="A742" s="1"/>
      <c r="B742" s="1"/>
      <c r="C742" s="1"/>
      <c r="D742" s="1"/>
      <c r="E742" s="1"/>
      <c r="G742" s="4"/>
      <c r="H742" s="1"/>
    </row>
    <row r="743" spans="1:8" ht="19.5">
      <c r="A743" s="1"/>
      <c r="B743" s="1"/>
      <c r="C743" s="1"/>
      <c r="D743" s="1"/>
      <c r="E743" s="1"/>
      <c r="G743" s="4"/>
      <c r="H743" s="1"/>
    </row>
    <row r="744" spans="1:8" ht="19.5">
      <c r="A744" s="1"/>
      <c r="B744" s="1"/>
      <c r="C744" s="1"/>
      <c r="D744" s="1"/>
      <c r="E744" s="1"/>
      <c r="G744" s="4"/>
      <c r="H744" s="1"/>
    </row>
    <row r="745" spans="1:8" ht="19.5">
      <c r="A745" s="1"/>
      <c r="B745" s="1"/>
      <c r="C745" s="1"/>
      <c r="D745" s="1"/>
      <c r="E745" s="1"/>
      <c r="G745" s="4"/>
      <c r="H745" s="1"/>
    </row>
    <row r="746" spans="1:8" ht="19.5">
      <c r="A746" s="1"/>
      <c r="B746" s="1"/>
      <c r="C746" s="1"/>
      <c r="D746" s="1"/>
      <c r="E746" s="1"/>
      <c r="G746" s="4"/>
      <c r="H746" s="1"/>
    </row>
    <row r="747" spans="1:8" ht="19.5">
      <c r="A747" s="1"/>
      <c r="B747" s="1"/>
      <c r="C747" s="1"/>
      <c r="D747" s="1"/>
      <c r="E747" s="1"/>
      <c r="G747" s="4"/>
      <c r="H747" s="1"/>
    </row>
    <row r="748" spans="1:8" ht="19.5">
      <c r="A748" s="1"/>
      <c r="B748" s="1"/>
      <c r="C748" s="1"/>
      <c r="D748" s="1"/>
      <c r="E748" s="1"/>
      <c r="G748" s="4"/>
      <c r="H748" s="1"/>
    </row>
    <row r="749" spans="1:8" ht="19.5">
      <c r="A749" s="1"/>
      <c r="B749" s="1"/>
      <c r="C749" s="1"/>
      <c r="D749" s="1"/>
      <c r="E749" s="1"/>
      <c r="G749" s="4"/>
      <c r="H749" s="1"/>
    </row>
    <row r="750" spans="1:8" ht="19.5">
      <c r="A750" s="1"/>
      <c r="B750" s="1"/>
      <c r="C750" s="1"/>
      <c r="D750" s="1"/>
      <c r="E750" s="1"/>
      <c r="G750" s="4"/>
      <c r="H750" s="1"/>
    </row>
    <row r="751" spans="1:8" ht="19.5">
      <c r="A751" s="1"/>
      <c r="B751" s="1"/>
      <c r="C751" s="1"/>
      <c r="D751" s="1"/>
      <c r="E751" s="1"/>
      <c r="G751" s="4"/>
      <c r="H751" s="1"/>
    </row>
    <row r="752" spans="1:8" ht="19.5">
      <c r="A752" s="1"/>
      <c r="B752" s="1"/>
      <c r="C752" s="1"/>
      <c r="D752" s="1"/>
      <c r="E752" s="1"/>
      <c r="G752" s="4"/>
      <c r="H752" s="1"/>
    </row>
    <row r="753" spans="1:8" ht="19.5">
      <c r="A753" s="1"/>
      <c r="B753" s="1"/>
      <c r="C753" s="1"/>
      <c r="D753" s="1"/>
      <c r="E753" s="1"/>
      <c r="G753" s="4"/>
      <c r="H753" s="1"/>
    </row>
    <row r="754" spans="1:8" ht="19.5">
      <c r="A754" s="1"/>
      <c r="B754" s="1"/>
      <c r="C754" s="1"/>
      <c r="D754" s="1"/>
      <c r="E754" s="1"/>
      <c r="G754" s="4"/>
      <c r="H754" s="1"/>
    </row>
    <row r="755" spans="1:8" ht="19.5">
      <c r="A755" s="1"/>
      <c r="B755" s="1"/>
      <c r="C755" s="1"/>
      <c r="D755" s="1"/>
      <c r="E755" s="1"/>
      <c r="G755" s="4"/>
      <c r="H755" s="1"/>
    </row>
    <row r="756" spans="1:8" ht="19.5">
      <c r="A756" s="1"/>
      <c r="B756" s="1"/>
      <c r="C756" s="1"/>
      <c r="D756" s="1"/>
      <c r="E756" s="1"/>
      <c r="G756" s="4"/>
      <c r="H756" s="1"/>
    </row>
    <row r="757" spans="1:8" ht="19.5">
      <c r="A757" s="1"/>
      <c r="B757" s="1"/>
      <c r="C757" s="1"/>
      <c r="D757" s="1"/>
      <c r="E757" s="1"/>
      <c r="G757" s="4"/>
      <c r="H757" s="1"/>
    </row>
    <row r="758" spans="1:8" ht="19.5">
      <c r="A758" s="1"/>
      <c r="B758" s="1"/>
      <c r="C758" s="1"/>
      <c r="D758" s="1"/>
      <c r="E758" s="1"/>
      <c r="G758" s="4"/>
      <c r="H758" s="1"/>
    </row>
    <row r="759" spans="1:8" ht="19.5">
      <c r="A759" s="1"/>
      <c r="B759" s="1"/>
      <c r="C759" s="1"/>
      <c r="D759" s="1"/>
      <c r="E759" s="1"/>
      <c r="G759" s="4"/>
      <c r="H759" s="1"/>
    </row>
    <row r="760" spans="1:8" ht="19.5">
      <c r="A760" s="1"/>
      <c r="B760" s="1"/>
      <c r="C760" s="1"/>
      <c r="D760" s="1"/>
      <c r="E760" s="1"/>
      <c r="G760" s="4"/>
      <c r="H760" s="1"/>
    </row>
    <row r="761" spans="1:8" ht="19.5">
      <c r="A761" s="1"/>
      <c r="B761" s="1"/>
      <c r="C761" s="1"/>
      <c r="D761" s="1"/>
      <c r="E761" s="1"/>
      <c r="G761" s="4"/>
      <c r="H761" s="1"/>
    </row>
    <row r="762" spans="1:8" ht="19.5">
      <c r="A762" s="1"/>
      <c r="B762" s="1"/>
      <c r="C762" s="1"/>
      <c r="D762" s="1"/>
      <c r="E762" s="1"/>
      <c r="G762" s="4"/>
      <c r="H762" s="1"/>
    </row>
    <row r="763" spans="1:8" ht="19.5">
      <c r="A763" s="1"/>
      <c r="B763" s="1"/>
      <c r="C763" s="1"/>
      <c r="D763" s="1"/>
      <c r="E763" s="1"/>
      <c r="G763" s="4"/>
      <c r="H763" s="1"/>
    </row>
    <row r="764" spans="1:8" ht="19.5">
      <c r="A764" s="1"/>
      <c r="B764" s="1"/>
      <c r="C764" s="1"/>
      <c r="D764" s="1"/>
      <c r="E764" s="1"/>
      <c r="G764" s="4"/>
      <c r="H764" s="1"/>
    </row>
    <row r="765" spans="1:8" ht="19.5">
      <c r="A765" s="1"/>
      <c r="B765" s="1"/>
      <c r="C765" s="1"/>
      <c r="D765" s="1"/>
      <c r="E765" s="1"/>
      <c r="G765" s="4"/>
      <c r="H765" s="1"/>
    </row>
    <row r="766" spans="1:8" ht="19.5">
      <c r="A766" s="1"/>
      <c r="B766" s="1"/>
      <c r="C766" s="1"/>
      <c r="D766" s="1"/>
      <c r="E766" s="1"/>
      <c r="G766" s="4"/>
      <c r="H766" s="1"/>
    </row>
    <row r="767" spans="1:8" ht="19.5">
      <c r="A767" s="1"/>
      <c r="B767" s="1"/>
      <c r="C767" s="1"/>
      <c r="D767" s="1"/>
      <c r="E767" s="1"/>
      <c r="G767" s="4"/>
      <c r="H767" s="1"/>
    </row>
    <row r="768" spans="1:8" ht="19.5">
      <c r="A768" s="1"/>
      <c r="B768" s="1"/>
      <c r="C768" s="1"/>
      <c r="D768" s="1"/>
      <c r="E768" s="1"/>
      <c r="G768" s="4"/>
      <c r="H768" s="1"/>
    </row>
    <row r="769" spans="1:8" ht="19.5">
      <c r="A769" s="1"/>
      <c r="B769" s="1"/>
      <c r="C769" s="1"/>
      <c r="D769" s="1"/>
      <c r="E769" s="1"/>
      <c r="G769" s="4"/>
      <c r="H769" s="1"/>
    </row>
    <row r="770" spans="1:8" ht="19.5">
      <c r="A770" s="1"/>
      <c r="B770" s="1"/>
      <c r="C770" s="1"/>
      <c r="D770" s="1"/>
      <c r="E770" s="1"/>
      <c r="G770" s="4"/>
      <c r="H770" s="1"/>
    </row>
    <row r="771" spans="1:8" ht="19.5">
      <c r="A771" s="1"/>
      <c r="B771" s="1"/>
      <c r="C771" s="1"/>
      <c r="D771" s="1"/>
      <c r="E771" s="1"/>
      <c r="G771" s="4"/>
      <c r="H771" s="1"/>
    </row>
    <row r="772" spans="1:8" ht="19.5">
      <c r="A772" s="1"/>
      <c r="B772" s="1"/>
      <c r="C772" s="1"/>
      <c r="D772" s="1"/>
      <c r="E772" s="1"/>
      <c r="G772" s="4"/>
      <c r="H772" s="1"/>
    </row>
    <row r="773" spans="1:8" ht="19.5">
      <c r="A773" s="1"/>
      <c r="B773" s="1"/>
      <c r="C773" s="1"/>
      <c r="D773" s="1"/>
      <c r="E773" s="1"/>
      <c r="G773" s="4"/>
      <c r="H773" s="1"/>
    </row>
    <row r="774" spans="1:8" ht="19.5">
      <c r="A774" s="1"/>
      <c r="B774" s="1"/>
      <c r="C774" s="1"/>
      <c r="D774" s="1"/>
      <c r="E774" s="1"/>
      <c r="G774" s="4"/>
      <c r="H774" s="1"/>
    </row>
    <row r="775" spans="1:8" ht="19.5">
      <c r="A775" s="1"/>
      <c r="B775" s="1"/>
      <c r="C775" s="1"/>
      <c r="D775" s="1"/>
      <c r="E775" s="1"/>
      <c r="G775" s="4"/>
      <c r="H775" s="1"/>
    </row>
    <row r="776" spans="1:8" ht="19.5">
      <c r="A776" s="1"/>
      <c r="B776" s="1"/>
      <c r="C776" s="1"/>
      <c r="D776" s="1"/>
      <c r="E776" s="1"/>
      <c r="G776" s="4"/>
      <c r="H776" s="1"/>
    </row>
    <row r="777" spans="1:8" ht="19.5">
      <c r="A777" s="1"/>
      <c r="B777" s="1"/>
      <c r="C777" s="1"/>
      <c r="D777" s="1"/>
      <c r="E777" s="1"/>
      <c r="G777" s="4"/>
      <c r="H777" s="1"/>
    </row>
    <row r="778" spans="1:8" ht="19.5">
      <c r="A778" s="1"/>
      <c r="B778" s="1"/>
      <c r="C778" s="1"/>
      <c r="D778" s="1"/>
      <c r="E778" s="1"/>
      <c r="G778" s="4"/>
      <c r="H778" s="1"/>
    </row>
    <row r="779" spans="1:8" ht="19.5">
      <c r="A779" s="1"/>
      <c r="B779" s="1"/>
      <c r="C779" s="1"/>
      <c r="D779" s="1"/>
      <c r="E779" s="1"/>
      <c r="G779" s="4"/>
      <c r="H779" s="1"/>
    </row>
    <row r="780" spans="1:8" ht="19.5">
      <c r="A780" s="1"/>
      <c r="B780" s="1"/>
      <c r="C780" s="1"/>
      <c r="D780" s="1"/>
      <c r="E780" s="1"/>
      <c r="G780" s="4"/>
      <c r="H780" s="1"/>
    </row>
    <row r="781" spans="1:8" ht="19.5">
      <c r="A781" s="1"/>
      <c r="B781" s="1"/>
      <c r="C781" s="1"/>
      <c r="D781" s="1"/>
      <c r="E781" s="1"/>
      <c r="G781" s="4"/>
      <c r="H781" s="1"/>
    </row>
    <row r="782" spans="1:8" ht="19.5">
      <c r="A782" s="1"/>
      <c r="B782" s="1"/>
      <c r="C782" s="1"/>
      <c r="D782" s="1"/>
      <c r="E782" s="1"/>
      <c r="G782" s="4"/>
      <c r="H782" s="1"/>
    </row>
    <row r="783" spans="1:8" ht="19.5">
      <c r="A783" s="1"/>
      <c r="B783" s="1"/>
      <c r="C783" s="1"/>
      <c r="D783" s="1"/>
      <c r="E783" s="1"/>
      <c r="G783" s="4"/>
      <c r="H783" s="1"/>
    </row>
    <row r="784" spans="1:8" ht="19.5">
      <c r="A784" s="1"/>
      <c r="B784" s="1"/>
      <c r="C784" s="1"/>
      <c r="D784" s="1"/>
      <c r="E784" s="1"/>
      <c r="G784" s="4"/>
      <c r="H784" s="1"/>
    </row>
    <row r="785" spans="1:8" ht="19.5">
      <c r="A785" s="1"/>
      <c r="B785" s="1"/>
      <c r="C785" s="1"/>
      <c r="D785" s="1"/>
      <c r="E785" s="1"/>
      <c r="G785" s="4"/>
      <c r="H785" s="1"/>
    </row>
    <row r="786" spans="1:8" ht="19.5">
      <c r="A786" s="1"/>
      <c r="B786" s="1"/>
      <c r="C786" s="1"/>
      <c r="D786" s="1"/>
      <c r="E786" s="1"/>
      <c r="G786" s="4"/>
      <c r="H786" s="1"/>
    </row>
    <row r="787" spans="1:8" ht="19.5">
      <c r="A787" s="1"/>
      <c r="B787" s="1"/>
      <c r="C787" s="1"/>
      <c r="D787" s="1"/>
      <c r="E787" s="1"/>
      <c r="G787" s="4"/>
      <c r="H787" s="1"/>
    </row>
    <row r="788" spans="1:8" ht="19.5">
      <c r="A788" s="1"/>
      <c r="B788" s="1"/>
      <c r="C788" s="1"/>
      <c r="D788" s="1"/>
      <c r="E788" s="1"/>
      <c r="G788" s="4"/>
      <c r="H788" s="1"/>
    </row>
    <row r="789" spans="1:8" ht="19.5">
      <c r="A789" s="1"/>
      <c r="B789" s="1"/>
      <c r="C789" s="1"/>
      <c r="D789" s="1"/>
      <c r="E789" s="1"/>
      <c r="G789" s="4"/>
      <c r="H789" s="1"/>
    </row>
    <row r="790" spans="1:8" ht="19.5">
      <c r="A790" s="1"/>
      <c r="B790" s="1"/>
      <c r="C790" s="1"/>
      <c r="D790" s="1"/>
      <c r="E790" s="1"/>
      <c r="G790" s="4"/>
      <c r="H790" s="1"/>
    </row>
    <row r="791" spans="1:8" ht="19.5">
      <c r="A791" s="1"/>
      <c r="B791" s="1"/>
      <c r="C791" s="1"/>
      <c r="D791" s="1"/>
      <c r="E791" s="1"/>
      <c r="G791" s="4"/>
      <c r="H791" s="1"/>
    </row>
    <row r="792" spans="1:8" ht="19.5">
      <c r="A792" s="1"/>
      <c r="B792" s="1"/>
      <c r="C792" s="1"/>
      <c r="D792" s="1"/>
      <c r="E792" s="1"/>
      <c r="G792" s="4"/>
      <c r="H792" s="1"/>
    </row>
    <row r="793" spans="1:8" ht="19.5">
      <c r="A793" s="1"/>
      <c r="B793" s="1"/>
      <c r="C793" s="1"/>
      <c r="D793" s="1"/>
      <c r="E793" s="1"/>
      <c r="G793" s="4"/>
      <c r="H793" s="1"/>
    </row>
    <row r="794" spans="1:8" ht="19.5">
      <c r="A794" s="1"/>
      <c r="B794" s="1"/>
      <c r="C794" s="1"/>
      <c r="D794" s="1"/>
      <c r="E794" s="1"/>
      <c r="G794" s="4"/>
      <c r="H794" s="1"/>
    </row>
    <row r="795" spans="1:8" ht="19.5">
      <c r="A795" s="1"/>
      <c r="B795" s="1"/>
      <c r="C795" s="1"/>
      <c r="D795" s="1"/>
      <c r="E795" s="1"/>
      <c r="G795" s="4"/>
      <c r="H795" s="1"/>
    </row>
    <row r="796" spans="1:8" ht="19.5">
      <c r="A796" s="1"/>
      <c r="B796" s="1"/>
      <c r="C796" s="1"/>
      <c r="D796" s="1"/>
      <c r="E796" s="1"/>
      <c r="G796" s="4"/>
      <c r="H796" s="1"/>
    </row>
    <row r="797" spans="1:8" ht="19.5">
      <c r="A797" s="1"/>
      <c r="B797" s="1"/>
      <c r="C797" s="1"/>
      <c r="D797" s="1"/>
      <c r="E797" s="1"/>
      <c r="G797" s="4"/>
      <c r="H797" s="1"/>
    </row>
    <row r="798" spans="1:8" ht="19.5">
      <c r="A798" s="1"/>
      <c r="B798" s="1"/>
      <c r="C798" s="1"/>
      <c r="D798" s="1"/>
      <c r="E798" s="1"/>
      <c r="G798" s="4"/>
      <c r="H798" s="1"/>
    </row>
    <row r="799" spans="1:8" ht="19.5">
      <c r="A799" s="1"/>
      <c r="B799" s="1"/>
      <c r="C799" s="1"/>
      <c r="D799" s="1"/>
      <c r="E799" s="1"/>
      <c r="G799" s="4"/>
      <c r="H799" s="1"/>
    </row>
    <row r="800" spans="1:8" ht="19.5">
      <c r="A800" s="1"/>
      <c r="B800" s="1"/>
      <c r="C800" s="1"/>
      <c r="D800" s="1"/>
      <c r="E800" s="1"/>
      <c r="G800" s="4"/>
      <c r="H800" s="1"/>
    </row>
    <row r="801" spans="1:8" ht="19.5">
      <c r="A801" s="1"/>
      <c r="B801" s="1"/>
      <c r="C801" s="1"/>
      <c r="D801" s="1"/>
      <c r="E801" s="1"/>
      <c r="G801" s="4"/>
      <c r="H801" s="1"/>
    </row>
    <row r="802" spans="1:8" ht="19.5">
      <c r="A802" s="1"/>
      <c r="B802" s="1"/>
      <c r="C802" s="1"/>
      <c r="D802" s="1"/>
      <c r="E802" s="1"/>
      <c r="G802" s="4"/>
      <c r="H802" s="1"/>
    </row>
    <row r="803" spans="1:8" ht="19.5">
      <c r="A803" s="1"/>
      <c r="B803" s="1"/>
      <c r="C803" s="1"/>
      <c r="D803" s="1"/>
      <c r="E803" s="1"/>
      <c r="G803" s="4"/>
      <c r="H803" s="1"/>
    </row>
    <row r="804" spans="1:8" ht="19.5">
      <c r="A804" s="1"/>
      <c r="B804" s="1"/>
      <c r="C804" s="1"/>
      <c r="D804" s="1"/>
      <c r="E804" s="1"/>
      <c r="G804" s="4"/>
      <c r="H804" s="1"/>
    </row>
    <row r="805" spans="1:8" ht="19.5">
      <c r="A805" s="1"/>
      <c r="B805" s="1"/>
      <c r="C805" s="1"/>
      <c r="D805" s="1"/>
      <c r="E805" s="1"/>
      <c r="G805" s="4"/>
      <c r="H805" s="1"/>
    </row>
    <row r="806" spans="1:8" ht="19.5">
      <c r="A806" s="1"/>
      <c r="B806" s="1"/>
      <c r="C806" s="1"/>
      <c r="D806" s="1"/>
      <c r="E806" s="1"/>
      <c r="G806" s="4"/>
      <c r="H806" s="1"/>
    </row>
    <row r="807" spans="1:8" ht="19.5">
      <c r="A807" s="1"/>
      <c r="B807" s="1"/>
      <c r="C807" s="1"/>
      <c r="D807" s="1"/>
      <c r="E807" s="1"/>
      <c r="G807" s="4"/>
      <c r="H807" s="1"/>
    </row>
    <row r="808" spans="1:8" ht="19.5">
      <c r="A808" s="1"/>
      <c r="B808" s="1"/>
      <c r="C808" s="1"/>
      <c r="D808" s="1"/>
      <c r="E808" s="1"/>
      <c r="G808" s="4"/>
      <c r="H808" s="1"/>
    </row>
    <row r="809" spans="1:8" ht="19.5">
      <c r="A809" s="1"/>
      <c r="B809" s="1"/>
      <c r="C809" s="1"/>
      <c r="D809" s="1"/>
      <c r="E809" s="1"/>
      <c r="G809" s="4"/>
      <c r="H809" s="1"/>
    </row>
    <row r="810" spans="1:8" ht="19.5">
      <c r="A810" s="1"/>
      <c r="B810" s="1"/>
      <c r="C810" s="1"/>
      <c r="D810" s="1"/>
      <c r="E810" s="1"/>
      <c r="G810" s="4"/>
      <c r="H810" s="1"/>
    </row>
    <row r="811" spans="1:8" ht="19.5">
      <c r="A811" s="1"/>
      <c r="B811" s="1"/>
      <c r="C811" s="1"/>
      <c r="D811" s="1"/>
      <c r="E811" s="1"/>
      <c r="G811" s="4"/>
      <c r="H811" s="1"/>
    </row>
    <row r="812" spans="1:8" ht="19.5">
      <c r="A812" s="1"/>
      <c r="B812" s="1"/>
      <c r="C812" s="1"/>
      <c r="D812" s="1"/>
      <c r="E812" s="1"/>
      <c r="G812" s="4"/>
      <c r="H812" s="1"/>
    </row>
    <row r="813" spans="1:8" ht="19.5">
      <c r="A813" s="1"/>
      <c r="B813" s="1"/>
      <c r="C813" s="1"/>
      <c r="D813" s="1"/>
      <c r="E813" s="1"/>
      <c r="G813" s="4"/>
      <c r="H813" s="1"/>
    </row>
    <row r="814" spans="1:8" ht="19.5">
      <c r="A814" s="1"/>
      <c r="B814" s="1"/>
      <c r="C814" s="1"/>
      <c r="D814" s="1"/>
      <c r="E814" s="1"/>
      <c r="G814" s="4"/>
      <c r="H814" s="1"/>
    </row>
    <row r="815" spans="1:8" ht="19.5">
      <c r="A815" s="1"/>
      <c r="B815" s="1"/>
      <c r="C815" s="1"/>
      <c r="D815" s="1"/>
      <c r="E815" s="1"/>
      <c r="G815" s="4"/>
      <c r="H815" s="1"/>
    </row>
    <row r="816" spans="1:8" ht="19.5">
      <c r="A816" s="1"/>
      <c r="B816" s="1"/>
      <c r="C816" s="1"/>
      <c r="D816" s="1"/>
      <c r="E816" s="1"/>
      <c r="G816" s="4"/>
      <c r="H816" s="1"/>
    </row>
    <row r="817" spans="1:8" ht="19.5">
      <c r="A817" s="1"/>
      <c r="B817" s="1"/>
      <c r="C817" s="1"/>
      <c r="D817" s="1"/>
      <c r="E817" s="1"/>
      <c r="G817" s="4"/>
      <c r="H817" s="1"/>
    </row>
    <row r="818" spans="1:8" ht="19.5">
      <c r="A818" s="1"/>
      <c r="B818" s="1"/>
      <c r="C818" s="1"/>
      <c r="D818" s="1"/>
      <c r="E818" s="1"/>
      <c r="G818" s="4"/>
      <c r="H818" s="1"/>
    </row>
    <row r="819" spans="1:8" ht="19.5">
      <c r="A819" s="1"/>
      <c r="B819" s="1"/>
      <c r="C819" s="1"/>
      <c r="D819" s="1"/>
      <c r="E819" s="1"/>
      <c r="G819" s="4"/>
      <c r="H819" s="1"/>
    </row>
    <row r="820" spans="1:8" ht="19.5">
      <c r="A820" s="1"/>
      <c r="B820" s="1"/>
      <c r="C820" s="1"/>
      <c r="D820" s="1"/>
      <c r="E820" s="1"/>
      <c r="G820" s="4"/>
      <c r="H820" s="1"/>
    </row>
    <row r="821" spans="1:8" ht="19.5">
      <c r="A821" s="1"/>
      <c r="B821" s="1"/>
      <c r="C821" s="1"/>
      <c r="D821" s="1"/>
      <c r="E821" s="1"/>
      <c r="G821" s="4"/>
      <c r="H821" s="1"/>
    </row>
    <row r="822" spans="1:8" ht="19.5">
      <c r="A822" s="1"/>
      <c r="B822" s="1"/>
      <c r="C822" s="1"/>
      <c r="D822" s="1"/>
      <c r="E822" s="1"/>
      <c r="G822" s="4"/>
      <c r="H822" s="1"/>
    </row>
    <row r="823" spans="1:8" ht="19.5">
      <c r="A823" s="1"/>
      <c r="B823" s="1"/>
      <c r="C823" s="1"/>
      <c r="D823" s="1"/>
      <c r="E823" s="1"/>
      <c r="G823" s="4"/>
      <c r="H823" s="1"/>
    </row>
    <row r="824" spans="1:8" ht="19.5">
      <c r="A824" s="1"/>
      <c r="B824" s="1"/>
      <c r="C824" s="1"/>
      <c r="D824" s="1"/>
      <c r="E824" s="1"/>
      <c r="G824" s="4"/>
      <c r="H824" s="1"/>
    </row>
    <row r="825" spans="1:8" ht="19.5">
      <c r="A825" s="1"/>
      <c r="B825" s="1"/>
      <c r="C825" s="1"/>
      <c r="D825" s="1"/>
      <c r="E825" s="1"/>
      <c r="G825" s="4"/>
      <c r="H825" s="1"/>
    </row>
    <row r="826" spans="1:8" ht="19.5">
      <c r="A826" s="1"/>
      <c r="B826" s="1"/>
      <c r="C826" s="1"/>
      <c r="D826" s="1"/>
      <c r="E826" s="1"/>
      <c r="G826" s="4"/>
      <c r="H826" s="1"/>
    </row>
    <row r="827" spans="1:8" ht="19.5">
      <c r="A827" s="1"/>
      <c r="B827" s="1"/>
      <c r="C827" s="1"/>
      <c r="D827" s="1"/>
      <c r="E827" s="1"/>
      <c r="G827" s="4"/>
      <c r="H827" s="1"/>
    </row>
    <row r="828" spans="1:8" ht="19.5">
      <c r="A828" s="1"/>
      <c r="B828" s="1"/>
      <c r="C828" s="1"/>
      <c r="D828" s="1"/>
      <c r="E828" s="1"/>
      <c r="G828" s="4"/>
      <c r="H828" s="1"/>
    </row>
    <row r="829" spans="1:8" ht="19.5">
      <c r="A829" s="1"/>
      <c r="B829" s="1"/>
      <c r="C829" s="1"/>
      <c r="D829" s="1"/>
      <c r="E829" s="1"/>
      <c r="G829" s="4"/>
      <c r="H829" s="1"/>
    </row>
    <row r="830" spans="1:8" ht="19.5">
      <c r="A830" s="1"/>
      <c r="B830" s="1"/>
      <c r="C830" s="1"/>
      <c r="D830" s="1"/>
      <c r="E830" s="1"/>
      <c r="G830" s="4"/>
      <c r="H830" s="1"/>
    </row>
    <row r="831" spans="1:8" ht="19.5">
      <c r="A831" s="1"/>
      <c r="B831" s="1"/>
      <c r="C831" s="1"/>
      <c r="D831" s="1"/>
      <c r="E831" s="1"/>
      <c r="G831" s="4"/>
      <c r="H831" s="1"/>
    </row>
    <row r="832" spans="1:8" ht="19.5">
      <c r="A832" s="1"/>
      <c r="B832" s="1"/>
      <c r="C832" s="1"/>
      <c r="D832" s="1"/>
      <c r="E832" s="1"/>
      <c r="G832" s="4"/>
      <c r="H832" s="1"/>
    </row>
    <row r="833" spans="1:8" ht="19.5">
      <c r="A833" s="1"/>
      <c r="B833" s="1"/>
      <c r="C833" s="1"/>
      <c r="D833" s="1"/>
      <c r="E833" s="1"/>
      <c r="G833" s="4"/>
      <c r="H833" s="1"/>
    </row>
    <row r="834" spans="1:8" ht="19.5">
      <c r="A834" s="1"/>
      <c r="B834" s="1"/>
      <c r="C834" s="1"/>
      <c r="D834" s="1"/>
      <c r="E834" s="1"/>
      <c r="G834" s="4"/>
      <c r="H834" s="1"/>
    </row>
    <row r="835" spans="1:8" ht="19.5">
      <c r="A835" s="1"/>
      <c r="B835" s="1"/>
      <c r="C835" s="1"/>
      <c r="D835" s="1"/>
      <c r="E835" s="1"/>
      <c r="G835" s="4"/>
      <c r="H835" s="1"/>
    </row>
    <row r="836" spans="1:8" ht="19.5">
      <c r="A836" s="1"/>
      <c r="B836" s="1"/>
      <c r="C836" s="1"/>
      <c r="D836" s="1"/>
      <c r="E836" s="1"/>
      <c r="G836" s="4"/>
      <c r="H836" s="1"/>
    </row>
    <row r="837" spans="1:8" ht="19.5">
      <c r="A837" s="1"/>
      <c r="B837" s="1"/>
      <c r="C837" s="1"/>
      <c r="D837" s="1"/>
      <c r="E837" s="1"/>
      <c r="G837" s="4"/>
      <c r="H837" s="1"/>
    </row>
    <row r="838" spans="1:8" ht="19.5">
      <c r="A838" s="1"/>
      <c r="B838" s="1"/>
      <c r="C838" s="1"/>
      <c r="D838" s="1"/>
      <c r="E838" s="1"/>
      <c r="G838" s="4"/>
      <c r="H838" s="1"/>
    </row>
    <row r="839" spans="1:8" ht="19.5">
      <c r="A839" s="1"/>
      <c r="B839" s="1"/>
      <c r="C839" s="1"/>
      <c r="D839" s="1"/>
      <c r="E839" s="1"/>
      <c r="G839" s="4"/>
      <c r="H839" s="1"/>
    </row>
    <row r="840" spans="1:8" ht="19.5">
      <c r="A840" s="1"/>
      <c r="B840" s="1"/>
      <c r="C840" s="1"/>
      <c r="D840" s="1"/>
      <c r="E840" s="1"/>
      <c r="G840" s="4"/>
      <c r="H840" s="1"/>
    </row>
    <row r="841" spans="1:8" ht="19.5">
      <c r="A841" s="1"/>
      <c r="B841" s="1"/>
      <c r="C841" s="1"/>
      <c r="D841" s="1"/>
      <c r="E841" s="1"/>
      <c r="G841" s="4"/>
      <c r="H841" s="1"/>
    </row>
    <row r="842" spans="1:8" ht="19.5">
      <c r="A842" s="1"/>
      <c r="B842" s="1"/>
      <c r="C842" s="1"/>
      <c r="D842" s="1"/>
      <c r="E842" s="1"/>
      <c r="G842" s="4"/>
      <c r="H842" s="1"/>
    </row>
    <row r="843" spans="1:8" ht="19.5">
      <c r="A843" s="1"/>
      <c r="B843" s="1"/>
      <c r="C843" s="1"/>
      <c r="D843" s="1"/>
      <c r="E843" s="1"/>
      <c r="G843" s="4"/>
      <c r="H843" s="1"/>
    </row>
    <row r="844" spans="1:8" ht="19.5">
      <c r="A844" s="1"/>
      <c r="B844" s="1"/>
      <c r="C844" s="1"/>
      <c r="D844" s="1"/>
      <c r="E844" s="1"/>
      <c r="G844" s="4"/>
      <c r="H844" s="1"/>
    </row>
    <row r="845" spans="1:8" ht="19.5">
      <c r="A845" s="1"/>
      <c r="B845" s="1"/>
      <c r="C845" s="1"/>
      <c r="D845" s="1"/>
      <c r="E845" s="1"/>
      <c r="G845" s="4"/>
      <c r="H845" s="1"/>
    </row>
    <row r="846" spans="1:8" ht="19.5">
      <c r="A846" s="1"/>
      <c r="B846" s="1"/>
      <c r="C846" s="1"/>
      <c r="D846" s="1"/>
      <c r="E846" s="1"/>
      <c r="G846" s="4"/>
      <c r="H846" s="1"/>
    </row>
    <row r="847" spans="1:8" ht="19.5">
      <c r="A847" s="1"/>
      <c r="B847" s="1"/>
      <c r="C847" s="1"/>
      <c r="D847" s="1"/>
      <c r="E847" s="1"/>
      <c r="G847" s="4"/>
      <c r="H847" s="1"/>
    </row>
    <row r="848" spans="1:8" ht="19.5">
      <c r="A848" s="1"/>
      <c r="B848" s="1"/>
      <c r="C848" s="1"/>
      <c r="D848" s="1"/>
      <c r="E848" s="1"/>
      <c r="G848" s="4"/>
      <c r="H848" s="1"/>
    </row>
    <row r="849" spans="1:8" ht="19.5">
      <c r="A849" s="1"/>
      <c r="B849" s="1"/>
      <c r="C849" s="1"/>
      <c r="D849" s="1"/>
      <c r="E849" s="1"/>
      <c r="G849" s="4"/>
      <c r="H849" s="1"/>
    </row>
    <row r="850" spans="1:8" ht="19.5">
      <c r="A850" s="1"/>
      <c r="B850" s="1"/>
      <c r="C850" s="1"/>
      <c r="D850" s="1"/>
      <c r="E850" s="1"/>
      <c r="G850" s="4"/>
      <c r="H850" s="1"/>
    </row>
    <row r="851" spans="1:8" ht="19.5">
      <c r="A851" s="1"/>
      <c r="B851" s="1"/>
      <c r="C851" s="1"/>
      <c r="D851" s="1"/>
      <c r="E851" s="1"/>
      <c r="G851" s="4"/>
      <c r="H851" s="1"/>
    </row>
    <row r="852" spans="1:8" ht="19.5">
      <c r="A852" s="1"/>
      <c r="B852" s="1"/>
      <c r="C852" s="1"/>
      <c r="D852" s="1"/>
      <c r="E852" s="1"/>
      <c r="G852" s="4"/>
      <c r="H852" s="1"/>
    </row>
    <row r="853" spans="1:8" ht="19.5">
      <c r="A853" s="1"/>
      <c r="B853" s="1"/>
      <c r="C853" s="1"/>
      <c r="D853" s="1"/>
      <c r="E853" s="1"/>
      <c r="G853" s="4"/>
      <c r="H853" s="1"/>
    </row>
    <row r="854" spans="1:8" ht="19.5">
      <c r="A854" s="1"/>
      <c r="B854" s="1"/>
      <c r="C854" s="1"/>
      <c r="D854" s="1"/>
      <c r="E854" s="1"/>
      <c r="G854" s="4"/>
      <c r="H854" s="1"/>
    </row>
    <row r="855" spans="1:8" ht="19.5">
      <c r="A855" s="1"/>
      <c r="B855" s="1"/>
      <c r="C855" s="1"/>
      <c r="D855" s="1"/>
      <c r="E855" s="1"/>
      <c r="G855" s="4"/>
      <c r="H855" s="1"/>
    </row>
    <row r="856" spans="1:8" ht="19.5">
      <c r="A856" s="1"/>
      <c r="B856" s="1"/>
      <c r="C856" s="1"/>
      <c r="D856" s="1"/>
      <c r="E856" s="1"/>
      <c r="G856" s="4"/>
      <c r="H856" s="1"/>
    </row>
    <row r="857" spans="1:8" ht="19.5">
      <c r="A857" s="1"/>
      <c r="B857" s="1"/>
      <c r="C857" s="1"/>
      <c r="D857" s="1"/>
      <c r="E857" s="1"/>
      <c r="G857" s="4"/>
      <c r="H857" s="1"/>
    </row>
    <row r="858" spans="1:8" ht="19.5">
      <c r="A858" s="1"/>
      <c r="B858" s="1"/>
      <c r="C858" s="1"/>
      <c r="D858" s="1"/>
      <c r="E858" s="1"/>
      <c r="G858" s="4"/>
      <c r="H858" s="1"/>
    </row>
    <row r="859" spans="1:8" ht="19.5">
      <c r="A859" s="1"/>
      <c r="B859" s="1"/>
      <c r="C859" s="1"/>
      <c r="D859" s="1"/>
      <c r="E859" s="1"/>
      <c r="G859" s="4"/>
      <c r="H859" s="1"/>
    </row>
    <row r="860" spans="1:8" ht="19.5">
      <c r="A860" s="1"/>
      <c r="B860" s="1"/>
      <c r="C860" s="1"/>
      <c r="D860" s="1"/>
      <c r="E860" s="1"/>
      <c r="G860" s="4"/>
      <c r="H860" s="1"/>
    </row>
    <row r="861" spans="1:8" ht="19.5">
      <c r="A861" s="1"/>
      <c r="B861" s="1"/>
      <c r="C861" s="1"/>
      <c r="D861" s="1"/>
      <c r="E861" s="1"/>
      <c r="G861" s="4"/>
      <c r="H861" s="1"/>
    </row>
    <row r="862" spans="1:8" ht="19.5">
      <c r="A862" s="1"/>
      <c r="B862" s="1"/>
      <c r="C862" s="1"/>
      <c r="D862" s="1"/>
      <c r="E862" s="1"/>
      <c r="G862" s="4"/>
      <c r="H862" s="1"/>
    </row>
    <row r="863" spans="1:8" ht="19.5">
      <c r="A863" s="1"/>
      <c r="B863" s="1"/>
      <c r="C863" s="1"/>
      <c r="D863" s="1"/>
      <c r="E863" s="1"/>
      <c r="G863" s="4"/>
      <c r="H863" s="1"/>
    </row>
    <row r="864" spans="1:8" ht="19.5">
      <c r="A864" s="1"/>
      <c r="B864" s="1"/>
      <c r="C864" s="1"/>
      <c r="D864" s="1"/>
      <c r="E864" s="1"/>
      <c r="G864" s="4"/>
      <c r="H864" s="1"/>
    </row>
    <row r="865" spans="1:8" ht="19.5">
      <c r="A865" s="1"/>
      <c r="B865" s="1"/>
      <c r="C865" s="1"/>
      <c r="D865" s="1"/>
      <c r="E865" s="1"/>
      <c r="G865" s="4"/>
      <c r="H865" s="1"/>
    </row>
    <row r="866" spans="1:8" ht="19.5">
      <c r="A866" s="1"/>
      <c r="B866" s="1"/>
      <c r="C866" s="1"/>
      <c r="D866" s="1"/>
      <c r="E866" s="1"/>
      <c r="G866" s="4"/>
      <c r="H866" s="1"/>
    </row>
    <row r="867" spans="1:8" ht="19.5">
      <c r="A867" s="1"/>
      <c r="B867" s="1"/>
      <c r="C867" s="1"/>
      <c r="D867" s="1"/>
      <c r="E867" s="1"/>
      <c r="G867" s="4"/>
      <c r="H867" s="1"/>
    </row>
    <row r="868" spans="1:8" ht="19.5">
      <c r="A868" s="1"/>
      <c r="B868" s="1"/>
      <c r="C868" s="1"/>
      <c r="D868" s="1"/>
      <c r="E868" s="1"/>
      <c r="G868" s="4"/>
      <c r="H868" s="1"/>
    </row>
    <row r="869" spans="1:8" ht="19.5">
      <c r="A869" s="1"/>
      <c r="B869" s="1"/>
      <c r="C869" s="1"/>
      <c r="D869" s="1"/>
      <c r="E869" s="1"/>
      <c r="G869" s="4"/>
      <c r="H869" s="1"/>
    </row>
    <row r="870" spans="1:8" ht="19.5">
      <c r="A870" s="1"/>
      <c r="B870" s="1"/>
      <c r="C870" s="1"/>
      <c r="D870" s="1"/>
      <c r="E870" s="1"/>
      <c r="G870" s="4"/>
      <c r="H870" s="1"/>
    </row>
    <row r="871" spans="1:8" ht="19.5">
      <c r="A871" s="1"/>
      <c r="B871" s="1"/>
      <c r="C871" s="1"/>
      <c r="D871" s="1"/>
      <c r="E871" s="1"/>
      <c r="G871" s="4"/>
      <c r="H871" s="1"/>
    </row>
    <row r="872" spans="1:8" ht="19.5">
      <c r="A872" s="1"/>
      <c r="B872" s="1"/>
      <c r="C872" s="1"/>
      <c r="D872" s="1"/>
      <c r="E872" s="1"/>
      <c r="G872" s="4"/>
      <c r="H872" s="1"/>
    </row>
    <row r="873" spans="1:8" ht="19.5">
      <c r="A873" s="1"/>
      <c r="B873" s="1"/>
      <c r="C873" s="1"/>
      <c r="D873" s="1"/>
      <c r="E873" s="1"/>
      <c r="G873" s="4"/>
      <c r="H873" s="1"/>
    </row>
    <row r="874" spans="1:8" ht="19.5">
      <c r="A874" s="1"/>
      <c r="B874" s="1"/>
      <c r="C874" s="1"/>
      <c r="D874" s="1"/>
      <c r="E874" s="1"/>
      <c r="G874" s="4"/>
      <c r="H874" s="1"/>
    </row>
    <row r="875" spans="1:8" ht="19.5">
      <c r="A875" s="1"/>
      <c r="B875" s="1"/>
      <c r="C875" s="1"/>
      <c r="D875" s="1"/>
      <c r="E875" s="1"/>
      <c r="G875" s="4"/>
      <c r="H875" s="1"/>
    </row>
    <row r="876" spans="1:8" ht="19.5">
      <c r="A876" s="1"/>
      <c r="B876" s="1"/>
      <c r="C876" s="1"/>
      <c r="D876" s="1"/>
      <c r="E876" s="1"/>
      <c r="G876" s="4"/>
      <c r="H876" s="1"/>
    </row>
    <row r="877" spans="1:8" ht="19.5">
      <c r="A877" s="1"/>
      <c r="B877" s="1"/>
      <c r="C877" s="1"/>
      <c r="D877" s="1"/>
      <c r="E877" s="1"/>
      <c r="G877" s="4"/>
      <c r="H877" s="1"/>
    </row>
    <row r="878" spans="1:8" ht="19.5">
      <c r="A878" s="1"/>
      <c r="B878" s="1"/>
      <c r="C878" s="1"/>
      <c r="D878" s="1"/>
      <c r="E878" s="1"/>
      <c r="G878" s="4"/>
      <c r="H878" s="1"/>
    </row>
    <row r="879" spans="1:8" ht="19.5">
      <c r="A879" s="1"/>
      <c r="B879" s="1"/>
      <c r="C879" s="1"/>
      <c r="D879" s="1"/>
      <c r="E879" s="1"/>
      <c r="G879" s="4"/>
      <c r="H879" s="1"/>
    </row>
    <row r="880" spans="1:8" ht="19.5">
      <c r="A880" s="1"/>
      <c r="B880" s="1"/>
      <c r="C880" s="1"/>
      <c r="D880" s="1"/>
      <c r="E880" s="1"/>
      <c r="G880" s="4"/>
      <c r="H880" s="1"/>
    </row>
    <row r="881" spans="1:8" ht="19.5">
      <c r="A881" s="1"/>
      <c r="B881" s="1"/>
      <c r="C881" s="1"/>
      <c r="D881" s="1"/>
      <c r="E881" s="1"/>
      <c r="G881" s="4"/>
      <c r="H881" s="1"/>
    </row>
    <row r="882" spans="1:8" ht="19.5">
      <c r="A882" s="1"/>
      <c r="B882" s="1"/>
      <c r="C882" s="1"/>
      <c r="D882" s="1"/>
      <c r="E882" s="1"/>
      <c r="G882" s="4"/>
      <c r="H882" s="1"/>
    </row>
    <row r="883" spans="1:8" ht="19.5">
      <c r="A883" s="1"/>
      <c r="B883" s="1"/>
      <c r="C883" s="1"/>
      <c r="D883" s="1"/>
      <c r="E883" s="1"/>
      <c r="G883" s="4"/>
      <c r="H883" s="1"/>
    </row>
    <row r="884" spans="1:8" ht="19.5">
      <c r="A884" s="1"/>
      <c r="B884" s="1"/>
      <c r="C884" s="1"/>
      <c r="D884" s="1"/>
      <c r="E884" s="1"/>
      <c r="G884" s="4"/>
      <c r="H884" s="1"/>
    </row>
    <row r="885" spans="1:8" ht="19.5">
      <c r="A885" s="1"/>
      <c r="B885" s="1"/>
      <c r="C885" s="1"/>
      <c r="D885" s="1"/>
      <c r="E885" s="1"/>
      <c r="G885" s="4"/>
      <c r="H885" s="1"/>
    </row>
    <row r="886" spans="1:8" ht="19.5">
      <c r="A886" s="1"/>
      <c r="B886" s="1"/>
      <c r="C886" s="1"/>
      <c r="D886" s="1"/>
      <c r="E886" s="1"/>
      <c r="G886" s="4"/>
      <c r="H886" s="1"/>
    </row>
    <row r="887" spans="1:8" ht="19.5">
      <c r="A887" s="1"/>
      <c r="B887" s="1"/>
      <c r="C887" s="1"/>
      <c r="D887" s="1"/>
      <c r="E887" s="1"/>
      <c r="G887" s="4"/>
      <c r="H887" s="1"/>
    </row>
    <row r="888" spans="1:8" ht="19.5">
      <c r="A888" s="1"/>
      <c r="B888" s="1"/>
      <c r="C888" s="1"/>
      <c r="D888" s="1"/>
      <c r="E888" s="1"/>
      <c r="G888" s="4"/>
      <c r="H888" s="1"/>
    </row>
    <row r="889" spans="1:8" ht="19.5">
      <c r="A889" s="1"/>
      <c r="B889" s="1"/>
      <c r="C889" s="1"/>
      <c r="D889" s="1"/>
      <c r="E889" s="1"/>
      <c r="G889" s="4"/>
      <c r="H889" s="1"/>
    </row>
    <row r="890" spans="1:8" ht="19.5">
      <c r="A890" s="1"/>
      <c r="B890" s="1"/>
      <c r="C890" s="1"/>
      <c r="D890" s="1"/>
      <c r="E890" s="1"/>
      <c r="G890" s="4"/>
      <c r="H890" s="1"/>
    </row>
    <row r="891" spans="1:8" ht="19.5">
      <c r="A891" s="1"/>
      <c r="B891" s="1"/>
      <c r="C891" s="1"/>
      <c r="D891" s="1"/>
      <c r="E891" s="1"/>
      <c r="G891" s="4"/>
      <c r="H891" s="1"/>
    </row>
    <row r="892" spans="1:8" ht="19.5">
      <c r="A892" s="1"/>
      <c r="B892" s="1"/>
      <c r="C892" s="1"/>
      <c r="D892" s="1"/>
      <c r="E892" s="1"/>
      <c r="G892" s="4"/>
      <c r="H892" s="1"/>
    </row>
    <row r="893" spans="1:8" ht="19.5">
      <c r="A893" s="1"/>
      <c r="B893" s="1"/>
      <c r="C893" s="1"/>
      <c r="D893" s="1"/>
      <c r="E893" s="1"/>
      <c r="G893" s="4"/>
      <c r="H893" s="1"/>
    </row>
    <row r="894" spans="1:8" ht="19.5">
      <c r="A894" s="1"/>
      <c r="B894" s="1"/>
      <c r="C894" s="1"/>
      <c r="D894" s="1"/>
      <c r="E894" s="1"/>
      <c r="G894" s="4"/>
      <c r="H894" s="1"/>
    </row>
    <row r="895" spans="1:8" ht="19.5">
      <c r="A895" s="1"/>
      <c r="B895" s="1"/>
      <c r="C895" s="1"/>
      <c r="D895" s="1"/>
      <c r="E895" s="1"/>
      <c r="G895" s="4"/>
      <c r="H895" s="1"/>
    </row>
    <row r="896" spans="1:8" ht="19.5">
      <c r="A896" s="1"/>
      <c r="B896" s="1"/>
      <c r="C896" s="1"/>
      <c r="D896" s="1"/>
      <c r="E896" s="1"/>
      <c r="G896" s="4"/>
      <c r="H896" s="1"/>
    </row>
    <row r="897" spans="1:8" ht="19.5">
      <c r="A897" s="1"/>
      <c r="B897" s="1"/>
      <c r="C897" s="1"/>
      <c r="D897" s="1"/>
      <c r="E897" s="1"/>
      <c r="G897" s="4"/>
      <c r="H897" s="1"/>
    </row>
    <row r="898" spans="1:8" ht="19.5">
      <c r="A898" s="1"/>
      <c r="B898" s="1"/>
      <c r="C898" s="1"/>
      <c r="D898" s="1"/>
      <c r="E898" s="1"/>
      <c r="G898" s="4"/>
      <c r="H898" s="1"/>
    </row>
    <row r="899" spans="1:8" ht="19.5">
      <c r="A899" s="1"/>
      <c r="B899" s="1"/>
      <c r="C899" s="1"/>
      <c r="D899" s="1"/>
      <c r="E899" s="1"/>
      <c r="G899" s="4"/>
      <c r="H899" s="1"/>
    </row>
    <row r="900" spans="1:8" ht="19.5">
      <c r="A900" s="1"/>
      <c r="B900" s="1"/>
      <c r="C900" s="1"/>
      <c r="D900" s="1"/>
      <c r="E900" s="1"/>
      <c r="G900" s="4"/>
      <c r="H900" s="1"/>
    </row>
    <row r="901" spans="1:8" ht="19.5">
      <c r="A901" s="1"/>
      <c r="B901" s="1"/>
      <c r="C901" s="1"/>
      <c r="D901" s="1"/>
      <c r="E901" s="1"/>
      <c r="G901" s="4"/>
      <c r="H901" s="1"/>
    </row>
    <row r="902" spans="1:8" ht="19.5">
      <c r="A902" s="1"/>
      <c r="B902" s="1"/>
      <c r="C902" s="1"/>
      <c r="D902" s="1"/>
      <c r="E902" s="1"/>
      <c r="G902" s="4"/>
      <c r="H902" s="1"/>
    </row>
    <row r="903" spans="1:8" ht="19.5">
      <c r="A903" s="1"/>
      <c r="B903" s="1"/>
      <c r="C903" s="1"/>
      <c r="D903" s="1"/>
      <c r="E903" s="1"/>
      <c r="G903" s="4"/>
      <c r="H903" s="1"/>
    </row>
    <row r="904" spans="1:8" ht="19.5">
      <c r="A904" s="1"/>
      <c r="B904" s="1"/>
      <c r="C904" s="1"/>
      <c r="D904" s="1"/>
      <c r="E904" s="1"/>
      <c r="G904" s="4"/>
      <c r="H904" s="1"/>
    </row>
    <row r="905" spans="1:8" ht="19.5">
      <c r="A905" s="1"/>
      <c r="B905" s="1"/>
      <c r="C905" s="1"/>
      <c r="D905" s="1"/>
      <c r="E905" s="1"/>
      <c r="G905" s="4"/>
      <c r="H905" s="1"/>
    </row>
    <row r="906" spans="1:8" ht="19.5">
      <c r="A906" s="1"/>
      <c r="B906" s="1"/>
      <c r="C906" s="1"/>
      <c r="D906" s="1"/>
      <c r="E906" s="1"/>
      <c r="G906" s="4"/>
      <c r="H906" s="1"/>
    </row>
    <row r="907" spans="1:8" ht="19.5">
      <c r="A907" s="1"/>
      <c r="B907" s="1"/>
      <c r="C907" s="1"/>
      <c r="D907" s="1"/>
      <c r="E907" s="1"/>
      <c r="G907" s="4"/>
      <c r="H907" s="1"/>
    </row>
    <row r="908" spans="1:8" ht="19.5">
      <c r="A908" s="1"/>
      <c r="B908" s="1"/>
      <c r="C908" s="1"/>
      <c r="D908" s="1"/>
      <c r="E908" s="1"/>
      <c r="G908" s="4"/>
      <c r="H908" s="1"/>
    </row>
    <row r="909" spans="1:8" ht="19.5">
      <c r="A909" s="1"/>
      <c r="B909" s="1"/>
      <c r="C909" s="1"/>
      <c r="D909" s="1"/>
      <c r="E909" s="1"/>
      <c r="G909" s="4"/>
      <c r="H909" s="1"/>
    </row>
    <row r="910" spans="1:8" ht="19.5">
      <c r="A910" s="1"/>
      <c r="B910" s="1"/>
      <c r="C910" s="1"/>
      <c r="D910" s="1"/>
      <c r="E910" s="1"/>
      <c r="G910" s="4"/>
      <c r="H910" s="1"/>
    </row>
    <row r="911" spans="1:8" ht="19.5">
      <c r="A911" s="1"/>
      <c r="B911" s="1"/>
      <c r="C911" s="1"/>
      <c r="D911" s="1"/>
      <c r="E911" s="1"/>
      <c r="G911" s="4"/>
      <c r="H911" s="1"/>
    </row>
    <row r="912" spans="1:8" ht="19.5">
      <c r="A912" s="1"/>
      <c r="B912" s="1"/>
      <c r="C912" s="1"/>
      <c r="D912" s="1"/>
      <c r="E912" s="1"/>
      <c r="G912" s="4"/>
      <c r="H912" s="1"/>
    </row>
    <row r="913" spans="1:8" ht="19.5">
      <c r="A913" s="1"/>
      <c r="B913" s="1"/>
      <c r="C913" s="1"/>
      <c r="D913" s="1"/>
      <c r="E913" s="1"/>
      <c r="G913" s="4"/>
      <c r="H913" s="1"/>
    </row>
    <row r="914" spans="1:8" ht="19.5">
      <c r="A914" s="1"/>
      <c r="B914" s="1"/>
      <c r="C914" s="1"/>
      <c r="D914" s="1"/>
      <c r="E914" s="1"/>
      <c r="G914" s="4"/>
      <c r="H914" s="1"/>
    </row>
    <row r="915" spans="1:8" ht="19.5">
      <c r="A915" s="1"/>
      <c r="B915" s="1"/>
      <c r="C915" s="1"/>
      <c r="D915" s="1"/>
      <c r="E915" s="1"/>
      <c r="G915" s="4"/>
      <c r="H915" s="1"/>
    </row>
    <row r="916" spans="1:8" ht="19.5">
      <c r="A916" s="1"/>
      <c r="B916" s="1"/>
      <c r="C916" s="1"/>
      <c r="D916" s="1"/>
      <c r="E916" s="1"/>
      <c r="G916" s="4"/>
      <c r="H916" s="1"/>
    </row>
    <row r="917" spans="1:8" ht="19.5">
      <c r="A917" s="1"/>
      <c r="B917" s="1"/>
      <c r="C917" s="1"/>
      <c r="D917" s="1"/>
      <c r="E917" s="1"/>
      <c r="G917" s="4"/>
      <c r="H917" s="1"/>
    </row>
    <row r="918" spans="1:8" ht="19.5">
      <c r="A918" s="1"/>
      <c r="B918" s="1"/>
      <c r="C918" s="1"/>
      <c r="D918" s="1"/>
      <c r="E918" s="1"/>
      <c r="G918" s="4"/>
      <c r="H918" s="1"/>
    </row>
    <row r="919" spans="1:8" ht="19.5">
      <c r="A919" s="1"/>
      <c r="B919" s="1"/>
      <c r="C919" s="1"/>
      <c r="D919" s="1"/>
      <c r="E919" s="1"/>
      <c r="G919" s="4"/>
      <c r="H919" s="1"/>
    </row>
    <row r="920" spans="1:8" ht="19.5">
      <c r="A920" s="1"/>
      <c r="B920" s="1"/>
      <c r="C920" s="1"/>
      <c r="D920" s="1"/>
      <c r="E920" s="1"/>
      <c r="G920" s="4"/>
      <c r="H920" s="1"/>
    </row>
    <row r="921" spans="1:8" ht="19.5">
      <c r="A921" s="1"/>
      <c r="B921" s="1"/>
      <c r="C921" s="1"/>
      <c r="D921" s="1"/>
      <c r="E921" s="1"/>
      <c r="G921" s="4"/>
      <c r="H921" s="1"/>
    </row>
    <row r="922" spans="1:8" ht="19.5">
      <c r="A922" s="1"/>
      <c r="B922" s="1"/>
      <c r="C922" s="1"/>
      <c r="D922" s="1"/>
      <c r="E922" s="1"/>
      <c r="G922" s="4"/>
      <c r="H922" s="1"/>
    </row>
    <row r="923" spans="1:8" ht="19.5">
      <c r="A923" s="1"/>
      <c r="B923" s="1"/>
      <c r="C923" s="1"/>
      <c r="D923" s="1"/>
      <c r="E923" s="1"/>
      <c r="G923" s="4"/>
      <c r="H923" s="1"/>
    </row>
    <row r="924" spans="1:8" ht="19.5">
      <c r="A924" s="1"/>
      <c r="B924" s="1"/>
      <c r="C924" s="1"/>
      <c r="D924" s="1"/>
      <c r="E924" s="1"/>
      <c r="G924" s="4"/>
      <c r="H924" s="1"/>
    </row>
    <row r="925" spans="1:8" ht="19.5">
      <c r="A925" s="1"/>
      <c r="B925" s="1"/>
      <c r="C925" s="1"/>
      <c r="D925" s="1"/>
      <c r="E925" s="1"/>
      <c r="G925" s="4"/>
      <c r="H925" s="1"/>
    </row>
    <row r="926" spans="1:8" ht="19.5">
      <c r="A926" s="1"/>
      <c r="B926" s="1"/>
      <c r="C926" s="1"/>
      <c r="D926" s="1"/>
      <c r="E926" s="1"/>
      <c r="G926" s="4"/>
      <c r="H926" s="1"/>
    </row>
    <row r="927" spans="1:8" ht="19.5">
      <c r="A927" s="1"/>
      <c r="B927" s="1"/>
      <c r="C927" s="1"/>
      <c r="D927" s="1"/>
      <c r="E927" s="1"/>
      <c r="G927" s="4"/>
      <c r="H927" s="1"/>
    </row>
    <row r="928" spans="1:8" ht="19.5">
      <c r="A928" s="1"/>
      <c r="B928" s="1"/>
      <c r="C928" s="1"/>
      <c r="D928" s="1"/>
      <c r="E928" s="1"/>
      <c r="G928" s="4"/>
      <c r="H928" s="1"/>
    </row>
    <row r="929" spans="1:8" ht="19.5">
      <c r="A929" s="1"/>
      <c r="B929" s="1"/>
      <c r="C929" s="1"/>
      <c r="D929" s="1"/>
      <c r="E929" s="1"/>
      <c r="G929" s="4"/>
      <c r="H929" s="1"/>
    </row>
    <row r="930" spans="1:8" ht="19.5">
      <c r="A930" s="1"/>
      <c r="B930" s="1"/>
      <c r="C930" s="1"/>
      <c r="D930" s="1"/>
      <c r="E930" s="1"/>
      <c r="G930" s="4"/>
      <c r="H930" s="1"/>
    </row>
    <row r="931" spans="1:8" ht="19.5">
      <c r="A931" s="1"/>
      <c r="B931" s="1"/>
      <c r="C931" s="1"/>
      <c r="D931" s="1"/>
      <c r="E931" s="1"/>
      <c r="G931" s="4"/>
      <c r="H931" s="1"/>
    </row>
    <row r="932" spans="1:8" ht="19.5">
      <c r="A932" s="1"/>
      <c r="B932" s="1"/>
      <c r="C932" s="1"/>
      <c r="D932" s="1"/>
      <c r="E932" s="1"/>
      <c r="G932" s="4"/>
      <c r="H932" s="1"/>
    </row>
    <row r="933" spans="1:8" ht="19.5">
      <c r="A933" s="1"/>
      <c r="B933" s="1"/>
      <c r="C933" s="1"/>
      <c r="D933" s="1"/>
      <c r="E933" s="1"/>
      <c r="G933" s="4"/>
      <c r="H933" s="1"/>
    </row>
    <row r="934" spans="1:8" ht="19.5">
      <c r="A934" s="1"/>
      <c r="B934" s="1"/>
      <c r="C934" s="1"/>
      <c r="D934" s="1"/>
      <c r="E934" s="1"/>
      <c r="G934" s="4"/>
      <c r="H934" s="1"/>
    </row>
    <row r="935" spans="1:8" ht="19.5">
      <c r="A935" s="1"/>
      <c r="B935" s="1"/>
      <c r="C935" s="1"/>
      <c r="D935" s="1"/>
      <c r="E935" s="1"/>
      <c r="G935" s="4"/>
      <c r="H935" s="1"/>
    </row>
    <row r="936" spans="1:8" ht="19.5">
      <c r="A936" s="1"/>
      <c r="B936" s="1"/>
      <c r="C936" s="1"/>
      <c r="D936" s="1"/>
      <c r="E936" s="1"/>
      <c r="G936" s="4"/>
      <c r="H936" s="1"/>
    </row>
    <row r="937" spans="1:8" ht="19.5">
      <c r="A937" s="1"/>
      <c r="B937" s="1"/>
      <c r="C937" s="1"/>
      <c r="D937" s="1"/>
      <c r="E937" s="1"/>
      <c r="G937" s="4"/>
      <c r="H937" s="1"/>
    </row>
    <row r="938" spans="1:8" ht="19.5">
      <c r="A938" s="1"/>
      <c r="B938" s="1"/>
      <c r="C938" s="1"/>
      <c r="D938" s="1"/>
      <c r="E938" s="1"/>
      <c r="G938" s="4"/>
      <c r="H938" s="1"/>
    </row>
    <row r="939" spans="1:8" ht="19.5">
      <c r="A939" s="1"/>
      <c r="B939" s="1"/>
      <c r="C939" s="1"/>
      <c r="D939" s="1"/>
      <c r="E939" s="1"/>
      <c r="G939" s="4"/>
      <c r="H939" s="1"/>
    </row>
    <row r="940" spans="1:8" ht="19.5">
      <c r="A940" s="1"/>
      <c r="B940" s="1"/>
      <c r="C940" s="1"/>
      <c r="D940" s="1"/>
      <c r="E940" s="1"/>
      <c r="G940" s="4"/>
      <c r="H940" s="1"/>
    </row>
    <row r="941" spans="1:8" ht="19.5">
      <c r="A941" s="1"/>
      <c r="B941" s="1"/>
      <c r="C941" s="1"/>
      <c r="D941" s="1"/>
      <c r="E941" s="1"/>
      <c r="G941" s="4"/>
      <c r="H941" s="1"/>
    </row>
    <row r="942" spans="1:8" ht="19.5">
      <c r="A942" s="1"/>
      <c r="B942" s="1"/>
      <c r="C942" s="1"/>
      <c r="D942" s="1"/>
      <c r="E942" s="1"/>
      <c r="G942" s="4"/>
      <c r="H942" s="1"/>
    </row>
    <row r="943" spans="1:8" ht="19.5">
      <c r="A943" s="1"/>
      <c r="B943" s="1"/>
      <c r="C943" s="1"/>
      <c r="D943" s="1"/>
      <c r="E943" s="1"/>
      <c r="G943" s="4"/>
      <c r="H943" s="1"/>
    </row>
    <row r="944" spans="1:8" ht="19.5">
      <c r="A944" s="1"/>
      <c r="B944" s="1"/>
      <c r="C944" s="1"/>
      <c r="D944" s="1"/>
      <c r="E944" s="1"/>
      <c r="G944" s="4"/>
      <c r="H944" s="1"/>
    </row>
    <row r="945" spans="1:8" ht="19.5">
      <c r="A945" s="1"/>
      <c r="B945" s="1"/>
      <c r="C945" s="1"/>
      <c r="D945" s="1"/>
      <c r="E945" s="1"/>
      <c r="G945" s="4"/>
      <c r="H945" s="1"/>
    </row>
    <row r="946" spans="1:8" ht="19.5">
      <c r="A946" s="1"/>
      <c r="B946" s="1"/>
      <c r="C946" s="1"/>
      <c r="D946" s="1"/>
      <c r="E946" s="1"/>
      <c r="G946" s="4"/>
      <c r="H946" s="1"/>
    </row>
    <row r="947" spans="1:8" ht="19.5">
      <c r="A947" s="1"/>
      <c r="B947" s="1"/>
      <c r="C947" s="1"/>
      <c r="D947" s="1"/>
      <c r="E947" s="1"/>
      <c r="G947" s="4"/>
      <c r="H947" s="1"/>
    </row>
    <row r="948" spans="1:8" ht="19.5">
      <c r="A948" s="1"/>
      <c r="B948" s="1"/>
      <c r="C948" s="1"/>
      <c r="D948" s="1"/>
      <c r="E948" s="1"/>
      <c r="G948" s="4"/>
      <c r="H948" s="1"/>
    </row>
    <row r="949" spans="1:8" ht="19.5">
      <c r="A949" s="1"/>
      <c r="B949" s="1"/>
      <c r="C949" s="1"/>
      <c r="D949" s="1"/>
      <c r="E949" s="1"/>
      <c r="G949" s="4"/>
      <c r="H949" s="1"/>
    </row>
    <row r="950" spans="1:8" ht="19.5">
      <c r="A950" s="1"/>
      <c r="B950" s="1"/>
      <c r="C950" s="1"/>
      <c r="D950" s="1"/>
      <c r="E950" s="1"/>
      <c r="G950" s="4"/>
      <c r="H950" s="1"/>
    </row>
    <row r="951" spans="1:8" ht="19.5">
      <c r="A951" s="1"/>
      <c r="B951" s="1"/>
      <c r="C951" s="1"/>
      <c r="D951" s="1"/>
      <c r="E951" s="1"/>
      <c r="G951" s="4"/>
      <c r="H951" s="1"/>
    </row>
    <row r="952" spans="1:8" ht="19.5">
      <c r="A952" s="1"/>
      <c r="B952" s="1"/>
      <c r="C952" s="1"/>
      <c r="D952" s="1"/>
      <c r="E952" s="1"/>
      <c r="G952" s="4"/>
      <c r="H952" s="1"/>
    </row>
    <row r="953" spans="1:8" ht="19.5">
      <c r="A953" s="1"/>
      <c r="B953" s="1"/>
      <c r="C953" s="1"/>
      <c r="D953" s="1"/>
      <c r="E953" s="1"/>
      <c r="G953" s="4"/>
      <c r="H953" s="1"/>
    </row>
    <row r="954" spans="1:8" ht="19.5">
      <c r="A954" s="1"/>
      <c r="B954" s="1"/>
      <c r="C954" s="1"/>
      <c r="D954" s="1"/>
      <c r="E954" s="1"/>
      <c r="G954" s="4"/>
      <c r="H954" s="1"/>
    </row>
    <row r="955" spans="1:8" ht="19.5">
      <c r="A955" s="1"/>
      <c r="B955" s="1"/>
      <c r="C955" s="1"/>
      <c r="D955" s="1"/>
      <c r="E955" s="1"/>
      <c r="G955" s="4"/>
      <c r="H955" s="1"/>
    </row>
    <row r="956" spans="1:8" ht="19.5">
      <c r="A956" s="1"/>
      <c r="B956" s="1"/>
      <c r="C956" s="1"/>
      <c r="D956" s="1"/>
      <c r="E956" s="1"/>
      <c r="G956" s="4"/>
      <c r="H956" s="1"/>
    </row>
    <row r="957" spans="1:8" ht="19.5">
      <c r="A957" s="1"/>
      <c r="B957" s="1"/>
      <c r="C957" s="1"/>
      <c r="D957" s="1"/>
      <c r="E957" s="1"/>
      <c r="G957" s="4"/>
      <c r="H957" s="1"/>
    </row>
    <row r="958" spans="1:8" ht="19.5">
      <c r="A958" s="1"/>
      <c r="B958" s="1"/>
      <c r="C958" s="1"/>
      <c r="D958" s="1"/>
      <c r="E958" s="1"/>
      <c r="G958" s="4"/>
      <c r="H958" s="1"/>
    </row>
    <row r="959" spans="1:8" ht="19.5">
      <c r="A959" s="1"/>
      <c r="B959" s="1"/>
      <c r="C959" s="1"/>
      <c r="D959" s="1"/>
      <c r="E959" s="1"/>
      <c r="G959" s="4"/>
      <c r="H959" s="1"/>
    </row>
    <row r="960" spans="1:8" ht="19.5">
      <c r="A960" s="1"/>
      <c r="B960" s="1"/>
      <c r="C960" s="1"/>
      <c r="D960" s="1"/>
      <c r="E960" s="1"/>
      <c r="G960" s="4"/>
      <c r="H960" s="1"/>
    </row>
    <row r="961" spans="1:8" ht="19.5">
      <c r="A961" s="1"/>
      <c r="B961" s="1"/>
      <c r="C961" s="1"/>
      <c r="D961" s="1"/>
      <c r="E961" s="1"/>
      <c r="G961" s="4"/>
      <c r="H961" s="1"/>
    </row>
    <row r="962" spans="1:8" ht="19.5">
      <c r="A962" s="1"/>
      <c r="B962" s="1"/>
      <c r="C962" s="1"/>
      <c r="D962" s="1"/>
      <c r="E962" s="1"/>
      <c r="G962" s="4"/>
      <c r="H962" s="1"/>
    </row>
    <row r="963" spans="1:8" ht="19.5">
      <c r="A963" s="1"/>
      <c r="B963" s="1"/>
      <c r="C963" s="1"/>
      <c r="D963" s="1"/>
      <c r="E963" s="1"/>
      <c r="G963" s="4"/>
      <c r="H963" s="1"/>
    </row>
    <row r="964" spans="1:8" ht="19.5">
      <c r="A964" s="1"/>
      <c r="B964" s="1"/>
      <c r="C964" s="1"/>
      <c r="D964" s="1"/>
      <c r="E964" s="1"/>
      <c r="G964" s="4"/>
      <c r="H964" s="1"/>
    </row>
    <row r="965" spans="1:8" ht="19.5">
      <c r="A965" s="1"/>
      <c r="B965" s="1"/>
      <c r="C965" s="1"/>
      <c r="D965" s="1"/>
      <c r="E965" s="1"/>
      <c r="G965" s="4"/>
      <c r="H965" s="1"/>
    </row>
    <row r="966" spans="1:8" ht="19.5">
      <c r="A966" s="1"/>
      <c r="B966" s="1"/>
      <c r="C966" s="1"/>
      <c r="D966" s="1"/>
      <c r="E966" s="1"/>
      <c r="G966" s="4"/>
      <c r="H966" s="1"/>
    </row>
    <row r="967" spans="1:8" ht="19.5">
      <c r="A967" s="1"/>
      <c r="B967" s="1"/>
      <c r="C967" s="1"/>
      <c r="D967" s="1"/>
      <c r="E967" s="1"/>
      <c r="G967" s="4"/>
      <c r="H967" s="1"/>
    </row>
    <row r="968" spans="1:8" ht="19.5">
      <c r="A968" s="1"/>
      <c r="B968" s="1"/>
      <c r="C968" s="1"/>
      <c r="D968" s="1"/>
      <c r="E968" s="1"/>
      <c r="G968" s="4"/>
      <c r="H968" s="1"/>
    </row>
    <row r="969" spans="1:8" ht="19.5">
      <c r="A969" s="1"/>
      <c r="B969" s="1"/>
      <c r="C969" s="1"/>
      <c r="D969" s="1"/>
      <c r="E969" s="1"/>
      <c r="G969" s="4"/>
      <c r="H969" s="1"/>
    </row>
    <row r="970" spans="1:8" ht="19.5">
      <c r="A970" s="1"/>
      <c r="B970" s="1"/>
      <c r="C970" s="1"/>
      <c r="D970" s="1"/>
      <c r="E970" s="1"/>
      <c r="G970" s="4"/>
      <c r="H970" s="1"/>
    </row>
    <row r="971" spans="1:8" ht="19.5">
      <c r="A971" s="1"/>
      <c r="B971" s="1"/>
      <c r="C971" s="1"/>
      <c r="D971" s="1"/>
      <c r="E971" s="1"/>
      <c r="G971" s="4"/>
      <c r="H971" s="1"/>
    </row>
    <row r="972" spans="1:8" ht="19.5">
      <c r="A972" s="1"/>
      <c r="B972" s="1"/>
      <c r="C972" s="1"/>
      <c r="D972" s="1"/>
      <c r="E972" s="1"/>
      <c r="G972" s="4"/>
      <c r="H972" s="1"/>
    </row>
    <row r="973" spans="1:8" ht="19.5">
      <c r="A973" s="1"/>
      <c r="B973" s="1"/>
      <c r="C973" s="1"/>
      <c r="D973" s="1"/>
      <c r="E973" s="1"/>
      <c r="G973" s="4"/>
      <c r="H973" s="1"/>
    </row>
    <row r="974" spans="1:8" ht="19.5">
      <c r="A974" s="1"/>
      <c r="B974" s="1"/>
      <c r="C974" s="1"/>
      <c r="D974" s="1"/>
      <c r="E974" s="1"/>
      <c r="G974" s="4"/>
      <c r="H974" s="1"/>
    </row>
    <row r="975" spans="1:8" ht="19.5">
      <c r="A975" s="1"/>
      <c r="B975" s="1"/>
      <c r="C975" s="1"/>
      <c r="D975" s="1"/>
      <c r="E975" s="1"/>
      <c r="G975" s="4"/>
      <c r="H975" s="1"/>
    </row>
    <row r="976" spans="1:8" ht="19.5">
      <c r="A976" s="1"/>
      <c r="B976" s="1"/>
      <c r="C976" s="1"/>
      <c r="D976" s="1"/>
      <c r="E976" s="1"/>
      <c r="G976" s="4"/>
      <c r="H976" s="1"/>
    </row>
    <row r="977" spans="1:8" ht="19.5">
      <c r="A977" s="1"/>
      <c r="B977" s="1"/>
      <c r="C977" s="1"/>
      <c r="D977" s="1"/>
      <c r="E977" s="1"/>
      <c r="G977" s="4"/>
      <c r="H977" s="1"/>
    </row>
    <row r="978" spans="1:8" ht="19.5">
      <c r="A978" s="1"/>
      <c r="B978" s="1"/>
      <c r="C978" s="1"/>
      <c r="D978" s="1"/>
      <c r="E978" s="1"/>
      <c r="G978" s="4"/>
      <c r="H978" s="1"/>
    </row>
    <row r="979" spans="1:8" ht="19.5">
      <c r="A979" s="1"/>
      <c r="B979" s="1"/>
      <c r="C979" s="1"/>
      <c r="D979" s="1"/>
      <c r="E979" s="1"/>
      <c r="G979" s="4"/>
      <c r="H979" s="1"/>
    </row>
    <row r="980" spans="1:8" ht="19.5">
      <c r="A980" s="1"/>
      <c r="B980" s="1"/>
      <c r="C980" s="1"/>
      <c r="D980" s="1"/>
      <c r="E980" s="1"/>
      <c r="G980" s="4"/>
      <c r="H980" s="1"/>
    </row>
    <row r="981" spans="1:8" ht="19.5">
      <c r="A981" s="1"/>
      <c r="B981" s="1"/>
      <c r="C981" s="1"/>
      <c r="D981" s="1"/>
      <c r="E981" s="1"/>
      <c r="G981" s="4"/>
      <c r="H981" s="1"/>
    </row>
    <row r="982" spans="1:8" ht="19.5">
      <c r="A982" s="1"/>
      <c r="B982" s="1"/>
      <c r="C982" s="1"/>
      <c r="D982" s="1"/>
      <c r="E982" s="1"/>
      <c r="G982" s="4"/>
      <c r="H982" s="1"/>
    </row>
    <row r="983" spans="1:8" ht="19.5">
      <c r="A983" s="1"/>
      <c r="B983" s="1"/>
      <c r="C983" s="1"/>
      <c r="D983" s="1"/>
      <c r="E983" s="1"/>
      <c r="G983" s="4"/>
      <c r="H983" s="1"/>
    </row>
    <row r="984" spans="1:8" ht="19.5">
      <c r="A984" s="1"/>
      <c r="B984" s="1"/>
      <c r="C984" s="1"/>
      <c r="D984" s="1"/>
      <c r="E984" s="1"/>
      <c r="G984" s="4"/>
      <c r="H984" s="1"/>
    </row>
    <row r="985" spans="1:8" ht="19.5">
      <c r="A985" s="1"/>
      <c r="B985" s="1"/>
      <c r="C985" s="1"/>
      <c r="D985" s="1"/>
      <c r="E985" s="1"/>
      <c r="G985" s="4"/>
      <c r="H985" s="1"/>
    </row>
    <row r="986" spans="1:8" ht="19.5">
      <c r="A986" s="1"/>
      <c r="B986" s="1"/>
      <c r="C986" s="1"/>
      <c r="D986" s="1"/>
      <c r="E986" s="1"/>
      <c r="G986" s="4"/>
      <c r="H986" s="1"/>
    </row>
    <row r="987" spans="1:8" ht="19.5">
      <c r="A987" s="1"/>
      <c r="B987" s="1"/>
      <c r="C987" s="1"/>
      <c r="D987" s="1"/>
      <c r="E987" s="1"/>
      <c r="G987" s="4"/>
      <c r="H987" s="1"/>
    </row>
    <row r="988" spans="1:8" ht="19.5">
      <c r="A988" s="1"/>
      <c r="B988" s="1"/>
      <c r="C988" s="1"/>
      <c r="D988" s="1"/>
      <c r="E988" s="1"/>
      <c r="G988" s="4"/>
      <c r="H988" s="1"/>
    </row>
    <row r="989" spans="1:8" ht="19.5">
      <c r="A989" s="1"/>
      <c r="B989" s="1"/>
      <c r="C989" s="1"/>
      <c r="D989" s="1"/>
      <c r="E989" s="1"/>
      <c r="G989" s="4"/>
      <c r="H989" s="1"/>
    </row>
    <row r="990" spans="1:8" ht="19.5">
      <c r="A990" s="1"/>
      <c r="B990" s="1"/>
      <c r="C990" s="1"/>
      <c r="D990" s="1"/>
      <c r="E990" s="1"/>
      <c r="G990" s="4"/>
      <c r="H990" s="1"/>
    </row>
    <row r="991" spans="1:8" ht="19.5">
      <c r="A991" s="1"/>
      <c r="B991" s="1"/>
      <c r="C991" s="1"/>
      <c r="D991" s="1"/>
      <c r="E991" s="1"/>
      <c r="G991" s="4"/>
      <c r="H991" s="1"/>
    </row>
    <row r="992" spans="1:8" ht="19.5">
      <c r="A992" s="1"/>
      <c r="B992" s="1"/>
      <c r="C992" s="1"/>
      <c r="D992" s="1"/>
      <c r="E992" s="1"/>
      <c r="G992" s="4"/>
      <c r="H992" s="1"/>
    </row>
    <row r="993" spans="1:8" ht="19.5">
      <c r="A993" s="1"/>
      <c r="B993" s="1"/>
      <c r="C993" s="1"/>
      <c r="D993" s="1"/>
      <c r="E993" s="1"/>
      <c r="G993" s="4"/>
      <c r="H993" s="1"/>
    </row>
    <row r="994" spans="1:8" ht="19.5">
      <c r="A994" s="1"/>
      <c r="B994" s="1"/>
      <c r="C994" s="1"/>
      <c r="D994" s="1"/>
      <c r="E994" s="1"/>
      <c r="G994" s="4"/>
      <c r="H994" s="1"/>
    </row>
    <row r="995" spans="1:8" ht="19.5">
      <c r="A995" s="1"/>
      <c r="B995" s="1"/>
      <c r="C995" s="1"/>
      <c r="D995" s="1"/>
      <c r="E995" s="1"/>
      <c r="G995" s="4"/>
      <c r="H995" s="1"/>
    </row>
    <row r="996" spans="1:8" ht="19.5">
      <c r="A996" s="1"/>
      <c r="B996" s="1"/>
      <c r="C996" s="1"/>
      <c r="D996" s="1"/>
      <c r="E996" s="1"/>
      <c r="G996" s="4"/>
      <c r="H996" s="1"/>
    </row>
    <row r="997" spans="1:8" ht="19.5">
      <c r="A997" s="1"/>
      <c r="B997" s="1"/>
      <c r="C997" s="1"/>
      <c r="D997" s="1"/>
      <c r="E997" s="1"/>
      <c r="G997" s="4"/>
      <c r="H997" s="1"/>
    </row>
    <row r="998" spans="1:8" ht="19.5">
      <c r="A998" s="1"/>
      <c r="B998" s="1"/>
      <c r="C998" s="1"/>
      <c r="D998" s="1"/>
      <c r="E998" s="1"/>
      <c r="G998" s="4"/>
      <c r="H998" s="1"/>
    </row>
    <row r="999" spans="1:8" ht="19.5">
      <c r="A999" s="1"/>
      <c r="B999" s="1"/>
      <c r="C999" s="1"/>
      <c r="D999" s="1"/>
      <c r="E999" s="1"/>
      <c r="G999" s="4"/>
      <c r="H999" s="1"/>
    </row>
    <row r="1000" spans="1:8" ht="19.5">
      <c r="A1000" s="1"/>
      <c r="B1000" s="1"/>
      <c r="C1000" s="1"/>
      <c r="D1000" s="1"/>
      <c r="E1000" s="1"/>
      <c r="G1000" s="4"/>
      <c r="H1000" s="1"/>
    </row>
    <row r="1001" spans="1:8" ht="19.5">
      <c r="A1001" s="1"/>
      <c r="B1001" s="1"/>
      <c r="C1001" s="1"/>
      <c r="D1001" s="1"/>
      <c r="E1001" s="1"/>
      <c r="G1001" s="4"/>
      <c r="H1001" s="1"/>
    </row>
    <row r="1002" spans="1:8" ht="19.5">
      <c r="A1002" s="1"/>
      <c r="B1002" s="1"/>
      <c r="C1002" s="1"/>
      <c r="D1002" s="1"/>
      <c r="E1002" s="1"/>
      <c r="G1002" s="4"/>
      <c r="H1002" s="1"/>
    </row>
    <row r="1003" spans="1:8" ht="19.5">
      <c r="A1003" s="1"/>
      <c r="B1003" s="1"/>
      <c r="C1003" s="1"/>
      <c r="D1003" s="1"/>
      <c r="E1003" s="1"/>
      <c r="G1003" s="4"/>
      <c r="H1003" s="1"/>
    </row>
    <row r="1004" spans="1:8" ht="19.5">
      <c r="A1004" s="1"/>
      <c r="B1004" s="1"/>
      <c r="C1004" s="1"/>
      <c r="D1004" s="1"/>
      <c r="E1004" s="1"/>
      <c r="G1004" s="4"/>
      <c r="H1004" s="1"/>
    </row>
    <row r="1005" spans="1:8" ht="19.5">
      <c r="A1005" s="1"/>
      <c r="B1005" s="1"/>
      <c r="C1005" s="1"/>
      <c r="D1005" s="1"/>
      <c r="E1005" s="1"/>
      <c r="G1005" s="4"/>
      <c r="H1005" s="1"/>
    </row>
    <row r="1006" spans="1:8" ht="19.5">
      <c r="A1006" s="1"/>
      <c r="B1006" s="1"/>
      <c r="C1006" s="1"/>
      <c r="D1006" s="1"/>
      <c r="E1006" s="1"/>
      <c r="G1006" s="4"/>
      <c r="H1006" s="1"/>
    </row>
    <row r="1007" spans="1:8" ht="19.5">
      <c r="A1007" s="1"/>
      <c r="B1007" s="1"/>
      <c r="C1007" s="1"/>
      <c r="D1007" s="1"/>
      <c r="E1007" s="1"/>
      <c r="G1007" s="4"/>
      <c r="H1007" s="1"/>
    </row>
    <row r="1008" spans="1:8" ht="19.5">
      <c r="A1008" s="1"/>
      <c r="B1008" s="1"/>
      <c r="C1008" s="1"/>
      <c r="D1008" s="1"/>
      <c r="E1008" s="1"/>
      <c r="G1008" s="4"/>
      <c r="H1008" s="1"/>
    </row>
  </sheetData>
  <mergeCells count="2">
    <mergeCell ref="C1:E1"/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010"/>
  <sheetViews>
    <sheetView workbookViewId="0"/>
  </sheetViews>
  <sheetFormatPr baseColWidth="10" defaultColWidth="14.42578125" defaultRowHeight="15" customHeight="1"/>
  <cols>
    <col min="1" max="1" width="7" customWidth="1"/>
    <col min="2" max="2" width="13.85546875" customWidth="1"/>
    <col min="3" max="3" width="89.140625" customWidth="1"/>
    <col min="4" max="4" width="11.7109375" customWidth="1"/>
    <col min="5" max="5" width="11.42578125" customWidth="1"/>
    <col min="6" max="6" width="13.42578125" customWidth="1"/>
    <col min="7" max="7" width="18.5703125" customWidth="1"/>
    <col min="8" max="8" width="14.28515625" customWidth="1"/>
    <col min="9" max="9" width="13.85546875" customWidth="1"/>
    <col min="11" max="11" width="21" customWidth="1"/>
  </cols>
  <sheetData>
    <row r="1" spans="1:39" ht="23.25" customHeight="1">
      <c r="A1" s="1"/>
      <c r="B1" s="1"/>
      <c r="C1" s="506" t="s">
        <v>96</v>
      </c>
      <c r="D1" s="507"/>
      <c r="E1" s="508"/>
      <c r="F1" s="3" t="s">
        <v>0</v>
      </c>
      <c r="G1" s="4"/>
      <c r="H1" s="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1.5" customHeight="1">
      <c r="A2" s="6"/>
      <c r="B2" s="514" t="s">
        <v>135</v>
      </c>
      <c r="C2" s="510"/>
      <c r="D2" s="7">
        <f t="shared" ref="D2:E2" si="0">SUM(D4:D76)</f>
        <v>1271200</v>
      </c>
      <c r="E2" s="7">
        <f t="shared" si="0"/>
        <v>1496800</v>
      </c>
      <c r="F2" s="227">
        <f>SUM(D2-E2)</f>
        <v>-225600</v>
      </c>
      <c r="G2" s="228" t="s">
        <v>136</v>
      </c>
      <c r="H2" s="6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39" ht="23.25" customHeight="1">
      <c r="A3" s="1"/>
      <c r="B3" s="12" t="s">
        <v>2</v>
      </c>
      <c r="C3" s="12" t="s">
        <v>3</v>
      </c>
      <c r="D3" s="13" t="s">
        <v>4</v>
      </c>
      <c r="E3" s="13" t="s">
        <v>5</v>
      </c>
      <c r="F3" s="13" t="s">
        <v>0</v>
      </c>
      <c r="G3" s="229"/>
      <c r="H3" s="1"/>
      <c r="I3" s="5"/>
    </row>
    <row r="4" spans="1:39" ht="15" customHeight="1">
      <c r="A4" s="15"/>
      <c r="B4" s="16"/>
      <c r="C4" s="17" t="s">
        <v>98</v>
      </c>
      <c r="D4" s="18"/>
      <c r="E4" s="230"/>
      <c r="F4" s="20">
        <v>0</v>
      </c>
      <c r="G4" s="21"/>
      <c r="H4" s="15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1:39" ht="15" customHeight="1">
      <c r="A5" s="15"/>
      <c r="B5" s="16"/>
      <c r="C5" s="23"/>
      <c r="D5" s="24"/>
      <c r="E5" s="231"/>
      <c r="F5" s="26"/>
      <c r="G5" s="21"/>
      <c r="H5" s="15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</row>
    <row r="6" spans="1:39" ht="15" customHeight="1">
      <c r="A6" s="15"/>
      <c r="B6" s="27"/>
      <c r="C6" s="232" t="s">
        <v>137</v>
      </c>
      <c r="D6" s="233"/>
      <c r="E6" s="234"/>
      <c r="F6" s="235"/>
      <c r="G6" s="302">
        <f>E7+E8+E9</f>
        <v>200000</v>
      </c>
      <c r="H6" s="15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pans="1:39" ht="15" customHeight="1">
      <c r="A7" s="15"/>
      <c r="B7" s="237">
        <v>46127</v>
      </c>
      <c r="C7" s="238" t="s">
        <v>138</v>
      </c>
      <c r="D7" s="239"/>
      <c r="E7" s="240">
        <v>100000</v>
      </c>
      <c r="F7" s="119"/>
      <c r="G7" s="77"/>
      <c r="H7" s="15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15" customHeight="1">
      <c r="A8" s="15"/>
      <c r="B8" s="237">
        <v>46137</v>
      </c>
      <c r="C8" s="317" t="s">
        <v>139</v>
      </c>
      <c r="D8" s="318"/>
      <c r="E8" s="319">
        <v>80000</v>
      </c>
      <c r="F8" s="20"/>
      <c r="G8" s="77"/>
      <c r="H8" s="15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pans="1:39" ht="17.25" customHeight="1">
      <c r="A9" s="15"/>
      <c r="B9" s="237">
        <v>46137</v>
      </c>
      <c r="C9" s="320" t="s">
        <v>140</v>
      </c>
      <c r="D9" s="260"/>
      <c r="E9" s="319">
        <v>20000</v>
      </c>
      <c r="F9" s="20"/>
      <c r="G9" s="77"/>
      <c r="H9" s="15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pans="1:39" ht="15" customHeight="1">
      <c r="A10" s="15"/>
      <c r="B10" s="83"/>
      <c r="C10" s="88"/>
      <c r="D10" s="260"/>
      <c r="E10" s="230"/>
      <c r="F10" s="20"/>
      <c r="G10" s="321"/>
      <c r="H10" s="15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</row>
    <row r="11" spans="1:39" ht="15" customHeight="1">
      <c r="A11" s="15"/>
      <c r="B11" s="249"/>
      <c r="C11" s="244" t="s">
        <v>12</v>
      </c>
      <c r="D11" s="250"/>
      <c r="E11" s="251"/>
      <c r="F11" s="252"/>
      <c r="G11" s="322">
        <f>SUM(E12:E17)</f>
        <v>34000</v>
      </c>
      <c r="H11" s="49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39" ht="15" customHeight="1">
      <c r="A12" s="73"/>
      <c r="B12" s="254"/>
      <c r="C12" s="68" t="s">
        <v>13</v>
      </c>
      <c r="D12" s="69"/>
      <c r="E12" s="255"/>
      <c r="F12" s="71"/>
      <c r="G12" s="72"/>
      <c r="H12" s="73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</row>
    <row r="13" spans="1:39" ht="15" customHeight="1">
      <c r="A13" s="15"/>
      <c r="B13" s="237">
        <v>46116</v>
      </c>
      <c r="C13" s="256" t="s">
        <v>141</v>
      </c>
      <c r="D13" s="178"/>
      <c r="E13" s="257">
        <v>34000</v>
      </c>
      <c r="F13" s="81"/>
      <c r="G13" s="77"/>
      <c r="H13" s="15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39" ht="15" customHeight="1">
      <c r="A14" s="15"/>
      <c r="B14" s="258"/>
      <c r="C14" s="323"/>
      <c r="D14" s="311"/>
      <c r="E14" s="260"/>
      <c r="F14" s="82"/>
      <c r="G14" s="77"/>
      <c r="H14" s="15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39" ht="15" customHeight="1">
      <c r="A15" s="15"/>
      <c r="B15" s="258"/>
      <c r="C15" s="79" t="s">
        <v>14</v>
      </c>
      <c r="D15" s="46"/>
      <c r="E15" s="260"/>
      <c r="F15" s="82"/>
      <c r="G15" s="77"/>
      <c r="H15" s="15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15" customHeight="1">
      <c r="A16" s="15"/>
      <c r="B16" s="83"/>
      <c r="C16" s="84"/>
      <c r="D16" s="260"/>
      <c r="E16" s="261"/>
      <c r="F16" s="20"/>
      <c r="G16" s="85"/>
      <c r="H16" s="262"/>
      <c r="I16" s="87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1:39" ht="15" customHeight="1">
      <c r="A17" s="15"/>
      <c r="B17" s="83"/>
      <c r="C17" s="88"/>
      <c r="D17" s="260"/>
      <c r="E17" s="230"/>
      <c r="F17" s="20"/>
      <c r="G17" s="85" t="s">
        <v>102</v>
      </c>
      <c r="H17" s="262" t="s">
        <v>16</v>
      </c>
      <c r="I17" s="87" t="s">
        <v>18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" customHeight="1">
      <c r="A18" s="15"/>
      <c r="B18" s="90"/>
      <c r="C18" s="263" t="s">
        <v>19</v>
      </c>
      <c r="D18" s="264"/>
      <c r="E18" s="265"/>
      <c r="F18" s="266"/>
      <c r="G18" s="267">
        <f>SUM(D20:D28)</f>
        <v>1271200</v>
      </c>
      <c r="H18" s="96">
        <v>1293500</v>
      </c>
      <c r="I18" s="97">
        <f>SUM(G18-H18)</f>
        <v>-22300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39" ht="18" customHeight="1">
      <c r="A19" s="15"/>
      <c r="B19" s="268"/>
      <c r="C19" s="324"/>
      <c r="D19" s="269"/>
      <c r="E19" s="260"/>
      <c r="F19" s="82"/>
      <c r="H19" s="15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39" ht="18" customHeight="1">
      <c r="A20" s="15"/>
      <c r="B20" s="237">
        <v>46118</v>
      </c>
      <c r="C20" s="101" t="s">
        <v>142</v>
      </c>
      <c r="D20" s="325">
        <v>63000</v>
      </c>
      <c r="E20" s="271"/>
      <c r="F20" s="81"/>
      <c r="G20" s="104"/>
      <c r="H20" s="15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39" ht="16.5" customHeight="1">
      <c r="A21" s="15"/>
      <c r="B21" s="237">
        <v>46116</v>
      </c>
      <c r="C21" s="105" t="s">
        <v>143</v>
      </c>
      <c r="D21" s="325">
        <v>100000</v>
      </c>
      <c r="E21" s="260"/>
      <c r="F21" s="82"/>
      <c r="G21" s="106"/>
      <c r="H21" s="15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39" ht="17.25" customHeight="1">
      <c r="A22" s="15"/>
      <c r="B22" s="237">
        <v>46118</v>
      </c>
      <c r="C22" s="105" t="s">
        <v>144</v>
      </c>
      <c r="D22" s="269">
        <v>126000</v>
      </c>
      <c r="E22" s="260"/>
      <c r="F22" s="82"/>
      <c r="G22" s="106"/>
      <c r="H22" s="15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 ht="17.25" customHeight="1">
      <c r="A23" s="15"/>
      <c r="B23" s="237">
        <v>46119</v>
      </c>
      <c r="C23" s="105" t="s">
        <v>145</v>
      </c>
      <c r="D23" s="269">
        <v>53000</v>
      </c>
      <c r="E23" s="260"/>
      <c r="F23" s="82"/>
      <c r="G23" s="106"/>
      <c r="H23" s="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 ht="17.25" customHeight="1">
      <c r="A24" s="15"/>
      <c r="B24" s="237">
        <v>46118</v>
      </c>
      <c r="C24" s="105" t="s">
        <v>146</v>
      </c>
      <c r="D24" s="105">
        <v>90000</v>
      </c>
      <c r="E24" s="260"/>
      <c r="F24" s="82"/>
      <c r="G24" s="106"/>
      <c r="H24" s="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</row>
    <row r="25" spans="1:39" ht="17.25" customHeight="1">
      <c r="A25" s="15"/>
      <c r="B25" s="237">
        <v>46122</v>
      </c>
      <c r="C25" s="286" t="s">
        <v>147</v>
      </c>
      <c r="D25" s="105">
        <v>85000</v>
      </c>
      <c r="E25" s="260"/>
      <c r="F25" s="82"/>
      <c r="G25" s="106"/>
      <c r="H25" s="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39" ht="17.25" customHeight="1">
      <c r="A26" s="15"/>
      <c r="B26" s="237">
        <v>46106</v>
      </c>
      <c r="C26" s="105" t="s">
        <v>148</v>
      </c>
      <c r="D26" s="279">
        <v>85000</v>
      </c>
      <c r="E26" s="260"/>
      <c r="F26" s="82"/>
      <c r="G26" s="106"/>
      <c r="H26" s="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39" ht="17.25" customHeight="1">
      <c r="A27" s="15"/>
      <c r="B27" s="237">
        <v>46104</v>
      </c>
      <c r="C27" s="286" t="s">
        <v>149</v>
      </c>
      <c r="D27" s="108">
        <v>74000</v>
      </c>
      <c r="E27" s="260"/>
      <c r="F27" s="82"/>
      <c r="G27" s="106"/>
      <c r="H27" s="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39" ht="17.25" customHeight="1">
      <c r="A28" s="15"/>
      <c r="B28" s="237">
        <v>46098</v>
      </c>
      <c r="C28" s="109" t="s">
        <v>150</v>
      </c>
      <c r="D28" s="108">
        <v>595200</v>
      </c>
      <c r="E28" s="260"/>
      <c r="F28" s="82"/>
      <c r="G28" s="106"/>
      <c r="H28" s="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39" ht="17.25" customHeight="1">
      <c r="A29" s="15"/>
      <c r="B29" s="83"/>
      <c r="C29" s="111"/>
      <c r="D29" s="20"/>
      <c r="E29" s="260"/>
      <c r="F29" s="20"/>
      <c r="G29" s="77"/>
      <c r="H29" s="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 ht="17.25" customHeight="1">
      <c r="A30" s="15"/>
      <c r="B30" s="113"/>
      <c r="C30" s="274" t="s">
        <v>29</v>
      </c>
      <c r="D30" s="233"/>
      <c r="E30" s="234"/>
      <c r="F30" s="235"/>
      <c r="G30" s="267">
        <f>SUM(E31)</f>
        <v>700000</v>
      </c>
      <c r="H30" s="115">
        <v>700000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</row>
    <row r="31" spans="1:39" ht="33.75" customHeight="1">
      <c r="A31" s="15"/>
      <c r="B31" s="254">
        <v>46123</v>
      </c>
      <c r="C31" s="116" t="s">
        <v>151</v>
      </c>
      <c r="D31" s="117"/>
      <c r="E31" s="275">
        <v>700000</v>
      </c>
      <c r="F31" s="119"/>
      <c r="G31" s="77"/>
      <c r="H31" s="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 ht="17.25" customHeight="1">
      <c r="A32" s="15"/>
      <c r="B32" s="83"/>
      <c r="C32" s="120"/>
      <c r="D32" s="26"/>
      <c r="E32" s="276"/>
      <c r="F32" s="26"/>
      <c r="G32" s="77"/>
      <c r="H32" s="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</row>
    <row r="33" spans="1:39" ht="17.25" customHeight="1">
      <c r="A33" s="15"/>
      <c r="B33" s="123"/>
      <c r="C33" s="277" t="s">
        <v>31</v>
      </c>
      <c r="D33" s="233"/>
      <c r="E33" s="234"/>
      <c r="F33" s="235"/>
      <c r="G33" s="267">
        <f>SUM(E34:E37)</f>
        <v>168300</v>
      </c>
      <c r="H33" s="125">
        <v>177070</v>
      </c>
      <c r="I33" s="22" t="s">
        <v>107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39" ht="15" customHeight="1">
      <c r="A34" s="15"/>
      <c r="B34" s="237">
        <v>46125</v>
      </c>
      <c r="C34" s="126" t="s">
        <v>152</v>
      </c>
      <c r="D34" s="127"/>
      <c r="E34" s="278">
        <v>16040</v>
      </c>
      <c r="F34" s="119"/>
      <c r="G34" s="77"/>
      <c r="H34" s="1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 ht="15" customHeight="1">
      <c r="A35" s="15"/>
      <c r="B35" s="237">
        <v>46125</v>
      </c>
      <c r="C35" s="130" t="s">
        <v>153</v>
      </c>
      <c r="D35" s="46"/>
      <c r="E35" s="279">
        <v>93160</v>
      </c>
      <c r="F35" s="82"/>
      <c r="G35" s="77"/>
      <c r="H35" s="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39" ht="15" customHeight="1">
      <c r="A36" s="15"/>
      <c r="B36" s="237">
        <v>46125</v>
      </c>
      <c r="C36" s="131" t="s">
        <v>154</v>
      </c>
      <c r="D36" s="46"/>
      <c r="E36" s="105">
        <v>59100</v>
      </c>
      <c r="F36" s="82"/>
      <c r="G36" s="77"/>
      <c r="H36" s="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</row>
    <row r="37" spans="1:39" ht="15" customHeight="1">
      <c r="A37" s="15"/>
      <c r="B37" s="132"/>
      <c r="C37" s="133"/>
      <c r="D37" s="46"/>
      <c r="E37" s="260"/>
      <c r="F37" s="82"/>
      <c r="G37" s="77"/>
      <c r="H37" s="1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39" ht="15" customHeight="1">
      <c r="A38" s="15"/>
      <c r="B38" s="27"/>
      <c r="C38" s="232" t="s">
        <v>37</v>
      </c>
      <c r="D38" s="233"/>
      <c r="E38" s="234"/>
      <c r="F38" s="235"/>
      <c r="G38" s="267">
        <f>SUM(E39:E46)</f>
        <v>90000</v>
      </c>
      <c r="H38" s="125">
        <v>90000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39" ht="15" customHeight="1">
      <c r="A39" s="15"/>
      <c r="B39" s="237">
        <v>46116</v>
      </c>
      <c r="C39" s="134" t="s">
        <v>155</v>
      </c>
      <c r="D39" s="80"/>
      <c r="E39" s="42">
        <v>20000</v>
      </c>
      <c r="F39" s="20"/>
      <c r="G39" s="77"/>
      <c r="H39" s="1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</row>
    <row r="40" spans="1:39" ht="15" customHeight="1">
      <c r="A40" s="15"/>
      <c r="B40" s="237">
        <v>46120</v>
      </c>
      <c r="C40" s="134" t="s">
        <v>156</v>
      </c>
      <c r="D40" s="80"/>
      <c r="E40" s="280">
        <v>10000</v>
      </c>
      <c r="F40" s="20"/>
      <c r="G40" s="77"/>
      <c r="H40" s="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</row>
    <row r="41" spans="1:39" ht="15" customHeight="1">
      <c r="A41" s="15"/>
      <c r="B41" s="237">
        <v>46122</v>
      </c>
      <c r="C41" s="134" t="s">
        <v>157</v>
      </c>
      <c r="D41" s="136"/>
      <c r="E41" s="280">
        <v>10000</v>
      </c>
      <c r="F41" s="82"/>
      <c r="G41" s="77"/>
      <c r="H41" s="1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</row>
    <row r="42" spans="1:39" ht="15" customHeight="1">
      <c r="A42" s="15"/>
      <c r="B42" s="237">
        <v>46126</v>
      </c>
      <c r="C42" s="134" t="s">
        <v>158</v>
      </c>
      <c r="D42" s="136"/>
      <c r="E42" s="146">
        <v>10000</v>
      </c>
      <c r="F42" s="20"/>
      <c r="G42" s="22"/>
      <c r="H42" s="15"/>
      <c r="I42" s="22"/>
      <c r="J42" s="15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</row>
    <row r="43" spans="1:39" ht="15" customHeight="1">
      <c r="A43" s="15"/>
      <c r="B43" s="237">
        <v>46128</v>
      </c>
      <c r="C43" s="134" t="s">
        <v>159</v>
      </c>
      <c r="D43" s="80"/>
      <c r="E43" s="146">
        <v>10000</v>
      </c>
      <c r="F43" s="20"/>
      <c r="G43" s="22"/>
      <c r="H43" s="1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39" ht="15" customHeight="1">
      <c r="A44" s="15"/>
      <c r="B44" s="237">
        <v>46128</v>
      </c>
      <c r="C44" s="134" t="s">
        <v>160</v>
      </c>
      <c r="D44" s="137"/>
      <c r="E44" s="146">
        <v>10000</v>
      </c>
      <c r="F44" s="139"/>
      <c r="G44" s="77"/>
      <c r="H44" s="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39" ht="15" customHeight="1">
      <c r="A45" s="15"/>
      <c r="B45" s="237">
        <v>46129</v>
      </c>
      <c r="C45" s="134" t="s">
        <v>161</v>
      </c>
      <c r="D45" s="80"/>
      <c r="E45" s="146">
        <v>10000</v>
      </c>
      <c r="F45" s="139"/>
      <c r="G45" s="77"/>
      <c r="H45" s="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</row>
    <row r="46" spans="1:39" ht="15" customHeight="1">
      <c r="A46" s="59"/>
      <c r="B46" s="237">
        <v>46129</v>
      </c>
      <c r="C46" s="105" t="s">
        <v>161</v>
      </c>
      <c r="D46" s="46"/>
      <c r="E46" s="222">
        <v>10000</v>
      </c>
      <c r="F46" s="20"/>
      <c r="G46" s="162"/>
      <c r="H46" s="1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</row>
    <row r="47" spans="1:39" ht="15" customHeight="1">
      <c r="A47" s="59"/>
      <c r="B47" s="237">
        <v>46142</v>
      </c>
      <c r="C47" s="105" t="s">
        <v>162</v>
      </c>
      <c r="D47" s="46"/>
      <c r="E47" s="326">
        <v>10000</v>
      </c>
      <c r="F47" s="20"/>
      <c r="G47" s="104"/>
      <c r="H47" s="153"/>
      <c r="I47" s="15"/>
      <c r="J47" s="154"/>
      <c r="K47" s="145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</row>
    <row r="48" spans="1:39" ht="15" customHeight="1">
      <c r="A48" s="59"/>
      <c r="B48" s="75"/>
      <c r="C48" s="196"/>
      <c r="D48" s="46"/>
      <c r="E48" s="230"/>
      <c r="F48" s="20"/>
      <c r="G48" s="104"/>
      <c r="H48" s="153"/>
      <c r="I48" s="15"/>
      <c r="J48" s="154"/>
      <c r="K48" s="145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</row>
    <row r="49" spans="1:39" ht="15" customHeight="1">
      <c r="A49" s="59"/>
      <c r="B49" s="75"/>
      <c r="C49" s="196"/>
      <c r="D49" s="46"/>
      <c r="E49" s="230"/>
      <c r="F49" s="20"/>
      <c r="G49" s="104"/>
      <c r="H49" s="153"/>
      <c r="I49" s="15"/>
      <c r="J49" s="154"/>
      <c r="K49" s="145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</row>
    <row r="50" spans="1:39" ht="15" customHeight="1">
      <c r="A50" s="59"/>
      <c r="B50" s="75"/>
      <c r="C50" s="196" t="s">
        <v>163</v>
      </c>
      <c r="D50" s="46"/>
      <c r="E50" s="230"/>
      <c r="F50" s="20"/>
      <c r="G50" s="281"/>
      <c r="H50" s="153">
        <v>85000</v>
      </c>
      <c r="I50" s="15" t="s">
        <v>44</v>
      </c>
      <c r="J50" s="154">
        <v>327460</v>
      </c>
      <c r="K50" s="145" t="s">
        <v>45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39" ht="15" customHeight="1">
      <c r="A51" s="59"/>
      <c r="B51" s="327"/>
      <c r="C51" s="328"/>
      <c r="D51" s="53"/>
      <c r="E51" s="221">
        <v>0</v>
      </c>
      <c r="F51" s="157"/>
      <c r="G51" s="158"/>
      <c r="H51" s="143"/>
      <c r="I51" s="22"/>
      <c r="J51" s="15"/>
      <c r="K51" s="15"/>
      <c r="L51" s="145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</row>
    <row r="52" spans="1:39" ht="15" customHeight="1">
      <c r="A52" s="59"/>
      <c r="B52" s="237"/>
      <c r="C52" s="165"/>
      <c r="D52" s="46"/>
      <c r="E52" s="261"/>
      <c r="F52" s="157"/>
      <c r="G52" s="162"/>
      <c r="H52" s="15"/>
      <c r="I52" s="22"/>
      <c r="J52" s="15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</row>
    <row r="53" spans="1:39" ht="15" customHeight="1">
      <c r="A53" s="59"/>
      <c r="B53" s="75"/>
      <c r="C53" s="196" t="s">
        <v>164</v>
      </c>
      <c r="D53" s="46"/>
      <c r="E53" s="230"/>
      <c r="F53" s="20"/>
      <c r="G53" s="281">
        <f>SUM(E54:E55)</f>
        <v>92000</v>
      </c>
      <c r="H53" s="153">
        <v>157460</v>
      </c>
      <c r="I53" s="15" t="s">
        <v>44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</row>
    <row r="54" spans="1:39" ht="15" customHeight="1">
      <c r="A54" s="59"/>
      <c r="B54" s="237">
        <v>46116</v>
      </c>
      <c r="C54" s="165" t="s">
        <v>165</v>
      </c>
      <c r="D54" s="285"/>
      <c r="E54" s="286">
        <v>92000</v>
      </c>
      <c r="F54" s="20"/>
      <c r="G54" s="162"/>
      <c r="H54" s="1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</row>
    <row r="55" spans="1:39" ht="15" customHeight="1">
      <c r="A55" s="59"/>
      <c r="B55" s="282"/>
      <c r="C55" s="160"/>
      <c r="D55" s="161"/>
      <c r="E55" s="230"/>
      <c r="F55" s="20"/>
      <c r="G55" s="162"/>
      <c r="H55" s="15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</row>
    <row r="56" spans="1:39" ht="15" customHeight="1">
      <c r="A56" s="59"/>
      <c r="B56" s="75"/>
      <c r="C56" s="196" t="s">
        <v>48</v>
      </c>
      <c r="D56" s="46"/>
      <c r="E56" s="230"/>
      <c r="F56" s="20"/>
      <c r="G56" s="283">
        <f>SUM(E57:E58)</f>
        <v>100000</v>
      </c>
      <c r="H56" s="284">
        <v>85000</v>
      </c>
      <c r="I56" s="15" t="s">
        <v>44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</row>
    <row r="57" spans="1:39" ht="15" customHeight="1">
      <c r="A57" s="59"/>
      <c r="B57" s="237">
        <v>46116</v>
      </c>
      <c r="C57" s="165" t="s">
        <v>166</v>
      </c>
      <c r="D57" s="285"/>
      <c r="E57" s="286">
        <v>100000</v>
      </c>
      <c r="F57" s="20"/>
      <c r="G57" s="162"/>
      <c r="H57" s="15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39" ht="15" customHeight="1">
      <c r="A58" s="59"/>
      <c r="B58" s="282"/>
      <c r="C58" s="160"/>
      <c r="D58" s="46"/>
      <c r="E58" s="230"/>
      <c r="F58" s="20"/>
      <c r="G58" s="167"/>
      <c r="H58" s="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39" ht="15" customHeight="1">
      <c r="A59" s="15"/>
      <c r="B59" s="27"/>
      <c r="C59" s="196" t="s">
        <v>50</v>
      </c>
      <c r="D59" s="46"/>
      <c r="E59" s="230"/>
      <c r="F59" s="20"/>
      <c r="G59" s="287">
        <f>SUM(E60:E62)</f>
        <v>14000</v>
      </c>
      <c r="H59" s="49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</row>
    <row r="60" spans="1:39" ht="15" customHeight="1">
      <c r="A60" s="15"/>
      <c r="B60" s="237">
        <v>46127</v>
      </c>
      <c r="C60" s="173" t="s">
        <v>167</v>
      </c>
      <c r="D60" s="242"/>
      <c r="E60" s="288">
        <v>5000</v>
      </c>
      <c r="F60" s="37"/>
      <c r="G60" s="329"/>
      <c r="H60" s="1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</row>
    <row r="61" spans="1:39" ht="15" customHeight="1">
      <c r="A61" s="15"/>
      <c r="B61" s="237">
        <v>46122</v>
      </c>
      <c r="C61" s="330" t="s">
        <v>168</v>
      </c>
      <c r="D61" s="331"/>
      <c r="E61" s="240">
        <v>4000</v>
      </c>
      <c r="F61" s="20"/>
      <c r="G61" s="77"/>
      <c r="H61" s="1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</row>
    <row r="62" spans="1:39" ht="15" customHeight="1">
      <c r="A62" s="15"/>
      <c r="B62" s="294">
        <v>46132</v>
      </c>
      <c r="C62" s="173" t="s">
        <v>167</v>
      </c>
      <c r="D62" s="46"/>
      <c r="E62" s="319">
        <v>5000</v>
      </c>
      <c r="F62" s="20"/>
      <c r="G62" s="332"/>
      <c r="H62" s="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</row>
    <row r="63" spans="1:39" ht="15" customHeight="1">
      <c r="A63" s="15"/>
      <c r="B63" s="294">
        <v>46134</v>
      </c>
      <c r="C63" s="180" t="s">
        <v>169</v>
      </c>
      <c r="D63" s="46"/>
      <c r="E63" s="319">
        <v>2500</v>
      </c>
      <c r="F63" s="20"/>
      <c r="G63" s="332"/>
      <c r="H63" s="1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</row>
    <row r="64" spans="1:39" ht="15" customHeight="1">
      <c r="A64" s="15"/>
      <c r="B64" s="294">
        <v>46142</v>
      </c>
      <c r="C64" s="173" t="s">
        <v>167</v>
      </c>
      <c r="D64" s="46"/>
      <c r="E64" s="319">
        <v>5000</v>
      </c>
      <c r="F64" s="20"/>
      <c r="G64" s="332"/>
      <c r="H64" s="1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</row>
    <row r="65" spans="1:39" ht="15" customHeight="1">
      <c r="A65" s="15"/>
      <c r="B65" s="282"/>
      <c r="C65" s="180" t="s">
        <v>170</v>
      </c>
      <c r="D65" s="46"/>
      <c r="E65" s="319">
        <v>11000</v>
      </c>
      <c r="F65" s="20"/>
      <c r="G65" s="332"/>
      <c r="H65" s="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</row>
    <row r="66" spans="1:39" ht="15" customHeight="1">
      <c r="A66" s="15"/>
      <c r="B66" s="282"/>
      <c r="C66" s="196"/>
      <c r="D66" s="46"/>
      <c r="E66" s="230"/>
      <c r="F66" s="20"/>
      <c r="G66" s="332"/>
      <c r="H66" s="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</row>
    <row r="67" spans="1:39" ht="15" customHeight="1">
      <c r="A67" s="15"/>
      <c r="B67" s="282"/>
      <c r="C67" s="196"/>
      <c r="D67" s="46"/>
      <c r="E67" s="230"/>
      <c r="F67" s="20"/>
      <c r="G67" s="332"/>
      <c r="H67" s="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</row>
    <row r="68" spans="1:39" ht="15" customHeight="1">
      <c r="A68" s="15"/>
      <c r="B68" s="282"/>
      <c r="C68" s="289" t="s">
        <v>128</v>
      </c>
      <c r="D68" s="290"/>
      <c r="E68" s="291"/>
      <c r="F68" s="292"/>
      <c r="G68" s="333">
        <f>SUM(E69:E71)</f>
        <v>60000</v>
      </c>
      <c r="H68" s="1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1:39" ht="15" customHeight="1">
      <c r="A69" s="188"/>
      <c r="B69" s="294">
        <v>46116</v>
      </c>
      <c r="C69" s="189" t="s">
        <v>88</v>
      </c>
      <c r="D69" s="295"/>
      <c r="E69" s="296">
        <v>20000</v>
      </c>
      <c r="F69" s="192"/>
      <c r="G69" s="193"/>
      <c r="H69" s="188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</row>
    <row r="70" spans="1:39" ht="12.75" customHeight="1">
      <c r="A70" s="15"/>
      <c r="B70" s="294">
        <v>46124</v>
      </c>
      <c r="C70" s="157" t="s">
        <v>171</v>
      </c>
      <c r="D70" s="20"/>
      <c r="E70" s="296">
        <v>20000</v>
      </c>
      <c r="F70" s="20"/>
      <c r="G70" s="22"/>
      <c r="H70" s="1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</row>
    <row r="71" spans="1:39" ht="15" customHeight="1">
      <c r="A71" s="15"/>
      <c r="B71" s="294">
        <v>46134</v>
      </c>
      <c r="C71" s="157" t="s">
        <v>172</v>
      </c>
      <c r="D71" s="20"/>
      <c r="E71" s="296">
        <v>20000</v>
      </c>
      <c r="F71" s="297"/>
      <c r="G71" s="334"/>
      <c r="H71" s="1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</row>
    <row r="72" spans="1:39" ht="15" customHeight="1">
      <c r="A72" s="59"/>
      <c r="B72" s="294">
        <v>46142</v>
      </c>
      <c r="C72" s="180" t="s">
        <v>173</v>
      </c>
      <c r="D72" s="46"/>
      <c r="E72" s="319">
        <v>10000</v>
      </c>
      <c r="F72" s="297"/>
      <c r="G72" s="334"/>
      <c r="H72" s="1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</row>
    <row r="73" spans="1:39" ht="15" customHeight="1">
      <c r="A73" s="15"/>
      <c r="B73" s="298"/>
      <c r="C73" s="299"/>
      <c r="D73" s="300"/>
      <c r="E73" s="301"/>
      <c r="F73" s="297"/>
      <c r="G73" s="334"/>
      <c r="H73" s="1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</row>
    <row r="74" spans="1:39" ht="15" customHeight="1">
      <c r="A74" s="15"/>
      <c r="B74" s="123"/>
      <c r="C74" s="277" t="s">
        <v>174</v>
      </c>
      <c r="D74" s="233"/>
      <c r="E74" s="234"/>
      <c r="F74" s="235"/>
      <c r="G74" s="267">
        <f>SUM(E75:E76)</f>
        <v>0</v>
      </c>
      <c r="H74" s="1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</row>
    <row r="75" spans="1:39" ht="15" customHeight="1">
      <c r="A75" s="15"/>
      <c r="B75" s="83"/>
      <c r="C75" s="335"/>
      <c r="D75" s="335"/>
      <c r="E75" s="303"/>
      <c r="F75" s="119"/>
      <c r="G75" s="77"/>
      <c r="H75" s="15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</row>
    <row r="76" spans="1:39" ht="15" customHeight="1">
      <c r="A76" s="59"/>
      <c r="B76" s="16"/>
      <c r="C76" s="20"/>
      <c r="D76" s="20"/>
      <c r="E76" s="20"/>
      <c r="F76" s="20"/>
      <c r="G76" s="207"/>
      <c r="H76" s="15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</row>
    <row r="77" spans="1:39" ht="19.5">
      <c r="A77" s="1"/>
      <c r="B77" s="1"/>
      <c r="C77" s="1"/>
      <c r="D77" s="1"/>
      <c r="E77" s="1"/>
      <c r="G77" s="4"/>
      <c r="H77" s="1"/>
    </row>
    <row r="78" spans="1:39" ht="25.5" customHeight="1">
      <c r="A78" s="1"/>
      <c r="B78" s="1"/>
      <c r="C78" s="309" t="s">
        <v>133</v>
      </c>
      <c r="D78" s="196">
        <f>SUM(D79:D80)</f>
        <v>0</v>
      </c>
      <c r="E78" s="1"/>
      <c r="G78" s="4"/>
      <c r="H78" s="1"/>
    </row>
    <row r="79" spans="1:39" ht="15.75" customHeight="1">
      <c r="A79" s="1"/>
      <c r="B79" s="1"/>
      <c r="C79" s="310"/>
      <c r="D79" s="311"/>
      <c r="E79" s="1"/>
      <c r="G79" s="4"/>
      <c r="H79" s="1"/>
    </row>
    <row r="80" spans="1:39" ht="15" customHeight="1">
      <c r="A80" s="1"/>
      <c r="B80" s="1"/>
      <c r="C80" s="312"/>
      <c r="D80" s="1"/>
      <c r="E80" s="1"/>
      <c r="G80" s="4"/>
      <c r="H80" s="1"/>
    </row>
    <row r="81" spans="1:8" ht="27.75" customHeight="1">
      <c r="A81" s="1"/>
      <c r="B81" s="1"/>
      <c r="C81" s="313" t="s">
        <v>134</v>
      </c>
      <c r="D81" s="314"/>
      <c r="E81" s="1"/>
      <c r="G81" s="4"/>
      <c r="H81" s="1"/>
    </row>
    <row r="82" spans="1:8" ht="15" customHeight="1">
      <c r="A82" s="1"/>
      <c r="B82" s="1"/>
      <c r="C82" s="315"/>
      <c r="D82" s="315"/>
      <c r="E82" s="316"/>
      <c r="G82" s="4"/>
      <c r="H82" s="1"/>
    </row>
    <row r="83" spans="1:8" ht="15" customHeight="1">
      <c r="A83" s="1"/>
      <c r="B83" s="1"/>
      <c r="C83" s="1"/>
      <c r="D83" s="1"/>
      <c r="E83" s="1"/>
      <c r="G83" s="4"/>
      <c r="H83" s="1"/>
    </row>
    <row r="84" spans="1:8" ht="19.5">
      <c r="A84" s="1"/>
      <c r="B84" s="1"/>
      <c r="C84" s="1"/>
      <c r="D84" s="1"/>
      <c r="E84" s="1"/>
      <c r="G84" s="4"/>
      <c r="H84" s="1"/>
    </row>
    <row r="85" spans="1:8" ht="19.5">
      <c r="A85" s="1"/>
      <c r="B85" s="1"/>
      <c r="C85" s="1"/>
      <c r="D85" s="1"/>
      <c r="E85" s="1"/>
      <c r="G85" s="4"/>
      <c r="H85" s="1"/>
    </row>
    <row r="86" spans="1:8" ht="19.5">
      <c r="A86" s="1"/>
      <c r="B86" s="1"/>
      <c r="C86" s="1"/>
      <c r="D86" s="1"/>
      <c r="E86" s="1"/>
      <c r="G86" s="4"/>
      <c r="H86" s="1"/>
    </row>
    <row r="87" spans="1:8" ht="19.5">
      <c r="A87" s="1"/>
      <c r="B87" s="1"/>
      <c r="C87" s="1"/>
      <c r="D87" s="1"/>
      <c r="E87" s="1"/>
      <c r="G87" s="4"/>
      <c r="H87" s="1"/>
    </row>
    <row r="88" spans="1:8" ht="19.5">
      <c r="A88" s="1"/>
      <c r="B88" s="1"/>
      <c r="C88" s="1"/>
      <c r="D88" s="1"/>
      <c r="E88" s="1"/>
      <c r="G88" s="4"/>
      <c r="H88" s="1"/>
    </row>
    <row r="89" spans="1:8" ht="19.5">
      <c r="A89" s="1"/>
      <c r="B89" s="1"/>
      <c r="C89" s="1"/>
      <c r="D89" s="1"/>
      <c r="E89" s="1"/>
      <c r="G89" s="4"/>
      <c r="H89" s="1"/>
    </row>
    <row r="90" spans="1:8" ht="19.5">
      <c r="A90" s="1"/>
      <c r="B90" s="1"/>
      <c r="C90" s="1"/>
      <c r="D90" s="1"/>
      <c r="E90" s="1"/>
      <c r="G90" s="4"/>
      <c r="H90" s="1"/>
    </row>
    <row r="91" spans="1:8" ht="19.5">
      <c r="A91" s="1"/>
      <c r="B91" s="1"/>
      <c r="C91" s="1"/>
      <c r="D91" s="1"/>
      <c r="E91" s="1"/>
      <c r="G91" s="4"/>
      <c r="H91" s="1"/>
    </row>
    <row r="92" spans="1:8" ht="19.5">
      <c r="A92" s="1"/>
      <c r="B92" s="1"/>
      <c r="C92" s="1"/>
      <c r="D92" s="1"/>
      <c r="E92" s="1"/>
      <c r="G92" s="4"/>
      <c r="H92" s="1"/>
    </row>
    <row r="93" spans="1:8" ht="19.5">
      <c r="A93" s="1"/>
      <c r="B93" s="1"/>
      <c r="C93" s="1"/>
      <c r="D93" s="1"/>
      <c r="E93" s="1"/>
      <c r="G93" s="4"/>
      <c r="H93" s="1"/>
    </row>
    <row r="94" spans="1:8" ht="19.5">
      <c r="A94" s="1"/>
      <c r="B94" s="1"/>
      <c r="C94" s="1"/>
      <c r="D94" s="1"/>
      <c r="E94" s="1"/>
      <c r="G94" s="4"/>
      <c r="H94" s="1"/>
    </row>
    <row r="95" spans="1:8" ht="19.5">
      <c r="A95" s="1"/>
      <c r="B95" s="1"/>
      <c r="C95" s="1"/>
      <c r="D95" s="1"/>
      <c r="E95" s="1"/>
      <c r="G95" s="4"/>
      <c r="H95" s="1"/>
    </row>
    <row r="96" spans="1:8" ht="19.5">
      <c r="A96" s="1"/>
      <c r="B96" s="1"/>
      <c r="C96" s="1"/>
      <c r="D96" s="1"/>
      <c r="E96" s="1"/>
      <c r="G96" s="4"/>
      <c r="H96" s="1"/>
    </row>
    <row r="97" spans="1:8" ht="19.5">
      <c r="A97" s="1"/>
      <c r="B97" s="1"/>
      <c r="C97" s="1"/>
      <c r="D97" s="1"/>
      <c r="E97" s="1"/>
      <c r="G97" s="4"/>
      <c r="H97" s="1"/>
    </row>
    <row r="98" spans="1:8" ht="19.5">
      <c r="A98" s="1"/>
      <c r="B98" s="1"/>
      <c r="C98" s="1"/>
      <c r="D98" s="1"/>
      <c r="E98" s="1"/>
      <c r="G98" s="4"/>
      <c r="H98" s="1"/>
    </row>
    <row r="99" spans="1:8" ht="19.5">
      <c r="A99" s="1"/>
      <c r="B99" s="1"/>
      <c r="C99" s="1"/>
      <c r="D99" s="1"/>
      <c r="E99" s="1"/>
      <c r="G99" s="4"/>
      <c r="H99" s="1"/>
    </row>
    <row r="100" spans="1:8" ht="19.5">
      <c r="A100" s="1"/>
      <c r="B100" s="1"/>
      <c r="C100" s="1"/>
      <c r="D100" s="1"/>
      <c r="E100" s="1"/>
      <c r="G100" s="4"/>
      <c r="H100" s="1"/>
    </row>
    <row r="101" spans="1:8" ht="19.5">
      <c r="A101" s="1"/>
      <c r="B101" s="1"/>
      <c r="C101" s="1"/>
      <c r="D101" s="1"/>
      <c r="E101" s="1"/>
      <c r="G101" s="4"/>
      <c r="H101" s="1"/>
    </row>
    <row r="102" spans="1:8" ht="19.5">
      <c r="A102" s="1"/>
      <c r="B102" s="1"/>
      <c r="C102" s="1"/>
      <c r="D102" s="1"/>
      <c r="E102" s="1"/>
      <c r="G102" s="4"/>
      <c r="H102" s="1"/>
    </row>
    <row r="103" spans="1:8" ht="19.5">
      <c r="A103" s="1"/>
      <c r="B103" s="1"/>
      <c r="C103" s="1"/>
      <c r="D103" s="1"/>
      <c r="E103" s="1"/>
      <c r="G103" s="4"/>
      <c r="H103" s="1"/>
    </row>
    <row r="104" spans="1:8" ht="19.5">
      <c r="A104" s="1"/>
      <c r="B104" s="1"/>
      <c r="C104" s="1"/>
      <c r="D104" s="1"/>
      <c r="E104" s="1"/>
      <c r="G104" s="4"/>
      <c r="H104" s="1"/>
    </row>
    <row r="105" spans="1:8" ht="19.5">
      <c r="A105" s="1"/>
      <c r="B105" s="1"/>
      <c r="C105" s="1"/>
      <c r="D105" s="1"/>
      <c r="E105" s="1"/>
      <c r="G105" s="4"/>
      <c r="H105" s="1"/>
    </row>
    <row r="106" spans="1:8" ht="19.5">
      <c r="A106" s="1"/>
      <c r="B106" s="1"/>
      <c r="C106" s="1"/>
      <c r="D106" s="1"/>
      <c r="E106" s="1"/>
      <c r="G106" s="4"/>
      <c r="H106" s="1"/>
    </row>
    <row r="107" spans="1:8" ht="19.5">
      <c r="A107" s="1"/>
      <c r="B107" s="1"/>
      <c r="C107" s="1"/>
      <c r="D107" s="1"/>
      <c r="E107" s="1"/>
      <c r="G107" s="4"/>
      <c r="H107" s="1"/>
    </row>
    <row r="108" spans="1:8" ht="19.5">
      <c r="A108" s="1"/>
      <c r="B108" s="1"/>
      <c r="C108" s="1"/>
      <c r="D108" s="1"/>
      <c r="E108" s="1"/>
      <c r="G108" s="4"/>
      <c r="H108" s="1"/>
    </row>
    <row r="109" spans="1:8" ht="19.5">
      <c r="A109" s="1"/>
      <c r="B109" s="1"/>
      <c r="C109" s="1"/>
      <c r="D109" s="1"/>
      <c r="E109" s="1"/>
      <c r="G109" s="4"/>
      <c r="H109" s="1"/>
    </row>
    <row r="110" spans="1:8" ht="19.5">
      <c r="A110" s="1"/>
      <c r="B110" s="1"/>
      <c r="C110" s="1"/>
      <c r="D110" s="1"/>
      <c r="E110" s="1"/>
      <c r="G110" s="4"/>
      <c r="H110" s="1"/>
    </row>
    <row r="111" spans="1:8" ht="19.5">
      <c r="A111" s="1"/>
      <c r="B111" s="1"/>
      <c r="C111" s="1"/>
      <c r="D111" s="1"/>
      <c r="E111" s="1"/>
      <c r="G111" s="4"/>
      <c r="H111" s="1"/>
    </row>
    <row r="112" spans="1:8" ht="19.5">
      <c r="A112" s="1"/>
      <c r="B112" s="1"/>
      <c r="C112" s="1"/>
      <c r="D112" s="1"/>
      <c r="E112" s="1"/>
      <c r="G112" s="4"/>
      <c r="H112" s="1"/>
    </row>
    <row r="113" spans="1:8" ht="19.5">
      <c r="A113" s="1"/>
      <c r="B113" s="1"/>
      <c r="C113" s="1"/>
      <c r="D113" s="1"/>
      <c r="E113" s="1"/>
      <c r="G113" s="4"/>
      <c r="H113" s="1"/>
    </row>
    <row r="114" spans="1:8" ht="19.5">
      <c r="A114" s="1"/>
      <c r="B114" s="1"/>
      <c r="C114" s="1"/>
      <c r="D114" s="1"/>
      <c r="E114" s="1"/>
      <c r="G114" s="4"/>
      <c r="H114" s="1"/>
    </row>
    <row r="115" spans="1:8" ht="19.5">
      <c r="A115" s="1"/>
      <c r="B115" s="1"/>
      <c r="C115" s="1"/>
      <c r="D115" s="1"/>
      <c r="E115" s="1"/>
      <c r="G115" s="4"/>
      <c r="H115" s="1"/>
    </row>
    <row r="116" spans="1:8" ht="19.5">
      <c r="A116" s="1"/>
      <c r="B116" s="1"/>
      <c r="C116" s="1"/>
      <c r="D116" s="1"/>
      <c r="E116" s="1"/>
      <c r="G116" s="4"/>
      <c r="H116" s="1"/>
    </row>
    <row r="117" spans="1:8" ht="19.5">
      <c r="A117" s="1"/>
      <c r="B117" s="1"/>
      <c r="C117" s="1"/>
      <c r="D117" s="1"/>
      <c r="E117" s="1"/>
      <c r="G117" s="4"/>
      <c r="H117" s="1"/>
    </row>
    <row r="118" spans="1:8" ht="19.5">
      <c r="A118" s="1"/>
      <c r="B118" s="1"/>
      <c r="C118" s="1"/>
      <c r="D118" s="1"/>
      <c r="E118" s="1"/>
      <c r="G118" s="4"/>
      <c r="H118" s="1"/>
    </row>
    <row r="119" spans="1:8" ht="19.5">
      <c r="A119" s="1"/>
      <c r="B119" s="1"/>
      <c r="C119" s="1"/>
      <c r="D119" s="1"/>
      <c r="E119" s="1"/>
      <c r="G119" s="4"/>
      <c r="H119" s="1"/>
    </row>
    <row r="120" spans="1:8" ht="19.5">
      <c r="A120" s="1"/>
      <c r="B120" s="1"/>
      <c r="C120" s="1"/>
      <c r="D120" s="1"/>
      <c r="E120" s="1"/>
      <c r="G120" s="4"/>
      <c r="H120" s="1"/>
    </row>
    <row r="121" spans="1:8" ht="19.5">
      <c r="A121" s="1"/>
      <c r="B121" s="1"/>
      <c r="C121" s="1"/>
      <c r="D121" s="1"/>
      <c r="E121" s="1"/>
      <c r="G121" s="4"/>
      <c r="H121" s="1"/>
    </row>
    <row r="122" spans="1:8" ht="19.5">
      <c r="A122" s="1"/>
      <c r="B122" s="1"/>
      <c r="C122" s="1"/>
      <c r="D122" s="1"/>
      <c r="E122" s="1"/>
      <c r="G122" s="4"/>
      <c r="H122" s="1"/>
    </row>
    <row r="123" spans="1:8" ht="19.5">
      <c r="A123" s="1"/>
      <c r="B123" s="1"/>
      <c r="C123" s="1"/>
      <c r="D123" s="1"/>
      <c r="E123" s="1"/>
      <c r="G123" s="4"/>
      <c r="H123" s="1"/>
    </row>
    <row r="124" spans="1:8" ht="19.5">
      <c r="A124" s="1"/>
      <c r="B124" s="1"/>
      <c r="C124" s="1"/>
      <c r="D124" s="1"/>
      <c r="E124" s="1"/>
      <c r="G124" s="4"/>
      <c r="H124" s="1"/>
    </row>
    <row r="125" spans="1:8" ht="19.5">
      <c r="A125" s="1"/>
      <c r="B125" s="1"/>
      <c r="C125" s="1"/>
      <c r="D125" s="1"/>
      <c r="E125" s="1"/>
      <c r="G125" s="4"/>
      <c r="H125" s="1"/>
    </row>
    <row r="126" spans="1:8" ht="19.5">
      <c r="A126" s="1"/>
      <c r="B126" s="1"/>
      <c r="C126" s="1"/>
      <c r="D126" s="1"/>
      <c r="E126" s="1"/>
      <c r="G126" s="4"/>
      <c r="H126" s="1"/>
    </row>
    <row r="127" spans="1:8" ht="19.5">
      <c r="A127" s="1"/>
      <c r="B127" s="1"/>
      <c r="C127" s="1"/>
      <c r="D127" s="1"/>
      <c r="E127" s="1"/>
      <c r="G127" s="4"/>
      <c r="H127" s="1"/>
    </row>
    <row r="128" spans="1:8" ht="19.5">
      <c r="A128" s="1"/>
      <c r="B128" s="1"/>
      <c r="C128" s="1"/>
      <c r="D128" s="1"/>
      <c r="E128" s="1"/>
      <c r="G128" s="4"/>
      <c r="H128" s="1"/>
    </row>
    <row r="129" spans="1:8" ht="19.5">
      <c r="A129" s="1"/>
      <c r="B129" s="1"/>
      <c r="C129" s="1"/>
      <c r="D129" s="1"/>
      <c r="E129" s="1"/>
      <c r="G129" s="4"/>
      <c r="H129" s="1"/>
    </row>
    <row r="130" spans="1:8" ht="19.5">
      <c r="A130" s="1"/>
      <c r="B130" s="1"/>
      <c r="C130" s="1"/>
      <c r="D130" s="1"/>
      <c r="E130" s="1"/>
      <c r="G130" s="4"/>
      <c r="H130" s="1"/>
    </row>
    <row r="131" spans="1:8" ht="19.5">
      <c r="A131" s="1"/>
      <c r="B131" s="1"/>
      <c r="C131" s="1"/>
      <c r="D131" s="1"/>
      <c r="E131" s="1"/>
      <c r="G131" s="4"/>
      <c r="H131" s="1"/>
    </row>
    <row r="132" spans="1:8" ht="19.5">
      <c r="A132" s="1"/>
      <c r="B132" s="1"/>
      <c r="C132" s="1"/>
      <c r="D132" s="1"/>
      <c r="E132" s="1"/>
      <c r="G132" s="4"/>
      <c r="H132" s="1"/>
    </row>
    <row r="133" spans="1:8" ht="19.5">
      <c r="A133" s="1"/>
      <c r="B133" s="1"/>
      <c r="C133" s="1"/>
      <c r="D133" s="1"/>
      <c r="E133" s="1"/>
      <c r="G133" s="4"/>
      <c r="H133" s="1"/>
    </row>
    <row r="134" spans="1:8" ht="19.5">
      <c r="A134" s="1"/>
      <c r="B134" s="1"/>
      <c r="C134" s="1"/>
      <c r="D134" s="1"/>
      <c r="E134" s="1"/>
      <c r="G134" s="4"/>
      <c r="H134" s="1"/>
    </row>
    <row r="135" spans="1:8" ht="19.5">
      <c r="A135" s="1"/>
      <c r="B135" s="1"/>
      <c r="C135" s="1"/>
      <c r="D135" s="1"/>
      <c r="E135" s="1"/>
      <c r="G135" s="4"/>
      <c r="H135" s="1"/>
    </row>
    <row r="136" spans="1:8" ht="19.5">
      <c r="A136" s="1"/>
      <c r="B136" s="1"/>
      <c r="C136" s="1"/>
      <c r="D136" s="1"/>
      <c r="E136" s="1"/>
      <c r="G136" s="4"/>
      <c r="H136" s="1"/>
    </row>
    <row r="137" spans="1:8" ht="19.5">
      <c r="A137" s="1"/>
      <c r="B137" s="1"/>
      <c r="C137" s="1"/>
      <c r="D137" s="1"/>
      <c r="E137" s="1"/>
      <c r="G137" s="4"/>
      <c r="H137" s="1"/>
    </row>
    <row r="138" spans="1:8" ht="19.5">
      <c r="A138" s="1"/>
      <c r="B138" s="1"/>
      <c r="C138" s="1"/>
      <c r="D138" s="1"/>
      <c r="E138" s="1"/>
      <c r="G138" s="4"/>
      <c r="H138" s="1"/>
    </row>
    <row r="139" spans="1:8" ht="19.5">
      <c r="A139" s="1"/>
      <c r="B139" s="1"/>
      <c r="C139" s="1"/>
      <c r="D139" s="1"/>
      <c r="E139" s="1"/>
      <c r="G139" s="4"/>
      <c r="H139" s="1"/>
    </row>
    <row r="140" spans="1:8" ht="19.5">
      <c r="A140" s="1"/>
      <c r="B140" s="1"/>
      <c r="C140" s="1"/>
      <c r="D140" s="1"/>
      <c r="E140" s="1"/>
      <c r="G140" s="4"/>
      <c r="H140" s="1"/>
    </row>
    <row r="141" spans="1:8" ht="19.5">
      <c r="A141" s="1"/>
      <c r="B141" s="1"/>
      <c r="C141" s="1"/>
      <c r="D141" s="1"/>
      <c r="E141" s="1"/>
      <c r="G141" s="4"/>
      <c r="H141" s="1"/>
    </row>
    <row r="142" spans="1:8" ht="19.5">
      <c r="A142" s="1"/>
      <c r="B142" s="1"/>
      <c r="C142" s="1"/>
      <c r="D142" s="1"/>
      <c r="E142" s="1"/>
      <c r="G142" s="4"/>
      <c r="H142" s="1"/>
    </row>
    <row r="143" spans="1:8" ht="19.5">
      <c r="A143" s="1"/>
      <c r="B143" s="1"/>
      <c r="C143" s="1"/>
      <c r="D143" s="1"/>
      <c r="E143" s="1"/>
      <c r="G143" s="4"/>
      <c r="H143" s="1"/>
    </row>
    <row r="144" spans="1:8" ht="19.5">
      <c r="A144" s="1"/>
      <c r="B144" s="1"/>
      <c r="C144" s="1"/>
      <c r="D144" s="1"/>
      <c r="E144" s="1"/>
      <c r="G144" s="4"/>
      <c r="H144" s="1"/>
    </row>
    <row r="145" spans="1:8" ht="19.5">
      <c r="A145" s="1"/>
      <c r="B145" s="1"/>
      <c r="C145" s="1"/>
      <c r="D145" s="1"/>
      <c r="E145" s="1"/>
      <c r="G145" s="4"/>
      <c r="H145" s="1"/>
    </row>
    <row r="146" spans="1:8" ht="19.5">
      <c r="A146" s="1"/>
      <c r="B146" s="1"/>
      <c r="C146" s="1"/>
      <c r="D146" s="1"/>
      <c r="E146" s="1"/>
      <c r="G146" s="4"/>
      <c r="H146" s="1"/>
    </row>
    <row r="147" spans="1:8" ht="19.5">
      <c r="A147" s="1"/>
      <c r="B147" s="1"/>
      <c r="C147" s="1"/>
      <c r="D147" s="1"/>
      <c r="E147" s="1"/>
      <c r="G147" s="4"/>
      <c r="H147" s="1"/>
    </row>
    <row r="148" spans="1:8" ht="19.5">
      <c r="A148" s="1"/>
      <c r="B148" s="1"/>
      <c r="C148" s="1"/>
      <c r="D148" s="1"/>
      <c r="E148" s="1"/>
      <c r="G148" s="4"/>
      <c r="H148" s="1"/>
    </row>
    <row r="149" spans="1:8" ht="19.5">
      <c r="A149" s="1"/>
      <c r="B149" s="1"/>
      <c r="C149" s="1"/>
      <c r="D149" s="1"/>
      <c r="E149" s="1"/>
      <c r="G149" s="4"/>
      <c r="H149" s="1"/>
    </row>
    <row r="150" spans="1:8" ht="19.5">
      <c r="A150" s="1"/>
      <c r="B150" s="1"/>
      <c r="C150" s="1"/>
      <c r="D150" s="1"/>
      <c r="E150" s="1"/>
      <c r="G150" s="4"/>
      <c r="H150" s="1"/>
    </row>
    <row r="151" spans="1:8" ht="19.5">
      <c r="A151" s="1"/>
      <c r="B151" s="1"/>
      <c r="C151" s="1"/>
      <c r="D151" s="1"/>
      <c r="E151" s="1"/>
      <c r="G151" s="4"/>
      <c r="H151" s="1"/>
    </row>
    <row r="152" spans="1:8" ht="19.5">
      <c r="A152" s="1"/>
      <c r="B152" s="1"/>
      <c r="C152" s="1"/>
      <c r="D152" s="1"/>
      <c r="E152" s="1"/>
      <c r="G152" s="4"/>
      <c r="H152" s="1"/>
    </row>
    <row r="153" spans="1:8" ht="19.5">
      <c r="A153" s="1"/>
      <c r="B153" s="1"/>
      <c r="C153" s="1"/>
      <c r="D153" s="1"/>
      <c r="E153" s="1"/>
      <c r="G153" s="4"/>
      <c r="H153" s="1"/>
    </row>
    <row r="154" spans="1:8" ht="19.5">
      <c r="A154" s="1"/>
      <c r="B154" s="1"/>
      <c r="C154" s="1"/>
      <c r="D154" s="1"/>
      <c r="E154" s="1"/>
      <c r="G154" s="4"/>
      <c r="H154" s="1"/>
    </row>
    <row r="155" spans="1:8" ht="19.5">
      <c r="A155" s="1"/>
      <c r="B155" s="1"/>
      <c r="C155" s="1"/>
      <c r="D155" s="1"/>
      <c r="E155" s="1"/>
      <c r="G155" s="4"/>
      <c r="H155" s="1"/>
    </row>
    <row r="156" spans="1:8" ht="19.5">
      <c r="A156" s="1"/>
      <c r="B156" s="1"/>
      <c r="C156" s="1"/>
      <c r="D156" s="1"/>
      <c r="E156" s="1"/>
      <c r="G156" s="4"/>
      <c r="H156" s="1"/>
    </row>
    <row r="157" spans="1:8" ht="19.5">
      <c r="A157" s="1"/>
      <c r="B157" s="1"/>
      <c r="C157" s="1"/>
      <c r="D157" s="1"/>
      <c r="E157" s="1"/>
      <c r="G157" s="4"/>
      <c r="H157" s="1"/>
    </row>
    <row r="158" spans="1:8" ht="19.5">
      <c r="A158" s="1"/>
      <c r="B158" s="1"/>
      <c r="C158" s="1"/>
      <c r="D158" s="1"/>
      <c r="E158" s="1"/>
      <c r="G158" s="4"/>
      <c r="H158" s="1"/>
    </row>
    <row r="159" spans="1:8" ht="19.5">
      <c r="A159" s="1"/>
      <c r="B159" s="1"/>
      <c r="C159" s="1"/>
      <c r="D159" s="1"/>
      <c r="E159" s="1"/>
      <c r="G159" s="4"/>
      <c r="H159" s="1"/>
    </row>
    <row r="160" spans="1:8" ht="19.5">
      <c r="A160" s="1"/>
      <c r="B160" s="1"/>
      <c r="C160" s="1"/>
      <c r="D160" s="1"/>
      <c r="E160" s="1"/>
      <c r="G160" s="4"/>
      <c r="H160" s="1"/>
    </row>
    <row r="161" spans="1:8" ht="19.5">
      <c r="A161" s="1"/>
      <c r="B161" s="1"/>
      <c r="C161" s="1"/>
      <c r="D161" s="1"/>
      <c r="E161" s="1"/>
      <c r="G161" s="4"/>
      <c r="H161" s="1"/>
    </row>
    <row r="162" spans="1:8" ht="19.5">
      <c r="A162" s="1"/>
      <c r="B162" s="1"/>
      <c r="C162" s="1"/>
      <c r="D162" s="1"/>
      <c r="E162" s="1"/>
      <c r="G162" s="4"/>
      <c r="H162" s="1"/>
    </row>
    <row r="163" spans="1:8" ht="19.5">
      <c r="A163" s="1"/>
      <c r="B163" s="1"/>
      <c r="C163" s="1"/>
      <c r="D163" s="1"/>
      <c r="E163" s="1"/>
      <c r="G163" s="4"/>
      <c r="H163" s="1"/>
    </row>
    <row r="164" spans="1:8" ht="19.5">
      <c r="A164" s="1"/>
      <c r="B164" s="1"/>
      <c r="C164" s="1"/>
      <c r="D164" s="1"/>
      <c r="E164" s="1"/>
      <c r="G164" s="4"/>
      <c r="H164" s="1"/>
    </row>
    <row r="165" spans="1:8" ht="19.5">
      <c r="A165" s="1"/>
      <c r="B165" s="1"/>
      <c r="C165" s="1"/>
      <c r="D165" s="1"/>
      <c r="E165" s="1"/>
      <c r="G165" s="4"/>
      <c r="H165" s="1"/>
    </row>
    <row r="166" spans="1:8" ht="19.5">
      <c r="A166" s="1"/>
      <c r="B166" s="1"/>
      <c r="C166" s="1"/>
      <c r="D166" s="1"/>
      <c r="E166" s="1"/>
      <c r="G166" s="4"/>
      <c r="H166" s="1"/>
    </row>
    <row r="167" spans="1:8" ht="19.5">
      <c r="A167" s="1"/>
      <c r="B167" s="1"/>
      <c r="C167" s="1"/>
      <c r="D167" s="1"/>
      <c r="E167" s="1"/>
      <c r="G167" s="4"/>
      <c r="H167" s="1"/>
    </row>
    <row r="168" spans="1:8" ht="19.5">
      <c r="A168" s="1"/>
      <c r="B168" s="1"/>
      <c r="C168" s="1"/>
      <c r="D168" s="1"/>
      <c r="E168" s="1"/>
      <c r="G168" s="4"/>
      <c r="H168" s="1"/>
    </row>
    <row r="169" spans="1:8" ht="19.5">
      <c r="A169" s="1"/>
      <c r="B169" s="1"/>
      <c r="C169" s="1"/>
      <c r="D169" s="1"/>
      <c r="E169" s="1"/>
      <c r="G169" s="4"/>
      <c r="H169" s="1"/>
    </row>
    <row r="170" spans="1:8" ht="19.5">
      <c r="A170" s="1"/>
      <c r="B170" s="1"/>
      <c r="C170" s="1"/>
      <c r="D170" s="1"/>
      <c r="E170" s="1"/>
      <c r="G170" s="4"/>
      <c r="H170" s="1"/>
    </row>
    <row r="171" spans="1:8" ht="19.5">
      <c r="A171" s="1"/>
      <c r="B171" s="1"/>
      <c r="C171" s="1"/>
      <c r="D171" s="1"/>
      <c r="E171" s="1"/>
      <c r="G171" s="4"/>
      <c r="H171" s="1"/>
    </row>
    <row r="172" spans="1:8" ht="19.5">
      <c r="A172" s="1"/>
      <c r="B172" s="1"/>
      <c r="C172" s="1"/>
      <c r="D172" s="1"/>
      <c r="E172" s="1"/>
      <c r="G172" s="4"/>
      <c r="H172" s="1"/>
    </row>
    <row r="173" spans="1:8" ht="19.5">
      <c r="A173" s="1"/>
      <c r="B173" s="1"/>
      <c r="C173" s="1"/>
      <c r="D173" s="1"/>
      <c r="E173" s="1"/>
      <c r="G173" s="4"/>
      <c r="H173" s="1"/>
    </row>
    <row r="174" spans="1:8" ht="19.5">
      <c r="A174" s="1"/>
      <c r="B174" s="1"/>
      <c r="C174" s="1"/>
      <c r="D174" s="1"/>
      <c r="E174" s="1"/>
      <c r="G174" s="4"/>
      <c r="H174" s="1"/>
    </row>
    <row r="175" spans="1:8" ht="19.5">
      <c r="A175" s="1"/>
      <c r="B175" s="1"/>
      <c r="C175" s="1"/>
      <c r="D175" s="1"/>
      <c r="E175" s="1"/>
      <c r="G175" s="4"/>
      <c r="H175" s="1"/>
    </row>
    <row r="176" spans="1:8" ht="19.5">
      <c r="A176" s="1"/>
      <c r="B176" s="1"/>
      <c r="C176" s="1"/>
      <c r="D176" s="1"/>
      <c r="E176" s="1"/>
      <c r="G176" s="4"/>
      <c r="H176" s="1"/>
    </row>
    <row r="177" spans="1:8" ht="19.5">
      <c r="A177" s="1"/>
      <c r="B177" s="1"/>
      <c r="C177" s="1"/>
      <c r="D177" s="1"/>
      <c r="E177" s="1"/>
      <c r="G177" s="4"/>
      <c r="H177" s="1"/>
    </row>
    <row r="178" spans="1:8" ht="19.5">
      <c r="A178" s="1"/>
      <c r="B178" s="1"/>
      <c r="C178" s="1"/>
      <c r="D178" s="1"/>
      <c r="E178" s="1"/>
      <c r="G178" s="4"/>
      <c r="H178" s="1"/>
    </row>
    <row r="179" spans="1:8" ht="19.5">
      <c r="A179" s="1"/>
      <c r="B179" s="1"/>
      <c r="C179" s="1"/>
      <c r="D179" s="1"/>
      <c r="E179" s="1"/>
      <c r="G179" s="4"/>
      <c r="H179" s="1"/>
    </row>
    <row r="180" spans="1:8" ht="19.5">
      <c r="A180" s="1"/>
      <c r="B180" s="1"/>
      <c r="C180" s="1"/>
      <c r="D180" s="1"/>
      <c r="E180" s="1"/>
      <c r="G180" s="4"/>
      <c r="H180" s="1"/>
    </row>
    <row r="181" spans="1:8" ht="19.5">
      <c r="A181" s="1"/>
      <c r="B181" s="1"/>
      <c r="C181" s="1"/>
      <c r="D181" s="1"/>
      <c r="E181" s="1"/>
      <c r="G181" s="4"/>
      <c r="H181" s="1"/>
    </row>
    <row r="182" spans="1:8" ht="19.5">
      <c r="A182" s="1"/>
      <c r="B182" s="1"/>
      <c r="C182" s="1"/>
      <c r="D182" s="1"/>
      <c r="E182" s="1"/>
      <c r="G182" s="4"/>
      <c r="H182" s="1"/>
    </row>
    <row r="183" spans="1:8" ht="19.5">
      <c r="A183" s="1"/>
      <c r="B183" s="1"/>
      <c r="C183" s="1"/>
      <c r="D183" s="1"/>
      <c r="E183" s="1"/>
      <c r="G183" s="4"/>
      <c r="H183" s="1"/>
    </row>
    <row r="184" spans="1:8" ht="19.5">
      <c r="A184" s="1"/>
      <c r="B184" s="1"/>
      <c r="C184" s="1"/>
      <c r="D184" s="1"/>
      <c r="E184" s="1"/>
      <c r="G184" s="4"/>
      <c r="H184" s="1"/>
    </row>
    <row r="185" spans="1:8" ht="19.5">
      <c r="A185" s="1"/>
      <c r="B185" s="1"/>
      <c r="C185" s="1"/>
      <c r="D185" s="1"/>
      <c r="E185" s="1"/>
      <c r="G185" s="4"/>
      <c r="H185" s="1"/>
    </row>
    <row r="186" spans="1:8" ht="19.5">
      <c r="A186" s="1"/>
      <c r="B186" s="1"/>
      <c r="C186" s="1"/>
      <c r="D186" s="1"/>
      <c r="E186" s="1"/>
      <c r="G186" s="4"/>
      <c r="H186" s="1"/>
    </row>
    <row r="187" spans="1:8" ht="19.5">
      <c r="A187" s="1"/>
      <c r="B187" s="1"/>
      <c r="C187" s="1"/>
      <c r="D187" s="1"/>
      <c r="E187" s="1"/>
      <c r="G187" s="4"/>
      <c r="H187" s="1"/>
    </row>
    <row r="188" spans="1:8" ht="19.5">
      <c r="A188" s="1"/>
      <c r="B188" s="1"/>
      <c r="C188" s="1"/>
      <c r="D188" s="1"/>
      <c r="E188" s="1"/>
      <c r="G188" s="4"/>
      <c r="H188" s="1"/>
    </row>
    <row r="189" spans="1:8" ht="19.5">
      <c r="A189" s="1"/>
      <c r="B189" s="1"/>
      <c r="C189" s="1"/>
      <c r="D189" s="1"/>
      <c r="E189" s="1"/>
      <c r="G189" s="4"/>
      <c r="H189" s="1"/>
    </row>
    <row r="190" spans="1:8" ht="19.5">
      <c r="A190" s="1"/>
      <c r="B190" s="1"/>
      <c r="C190" s="1"/>
      <c r="D190" s="1"/>
      <c r="E190" s="1"/>
      <c r="G190" s="4"/>
      <c r="H190" s="1"/>
    </row>
    <row r="191" spans="1:8" ht="19.5">
      <c r="A191" s="1"/>
      <c r="B191" s="1"/>
      <c r="C191" s="1"/>
      <c r="D191" s="1"/>
      <c r="E191" s="1"/>
      <c r="G191" s="4"/>
      <c r="H191" s="1"/>
    </row>
    <row r="192" spans="1:8" ht="19.5">
      <c r="A192" s="1"/>
      <c r="B192" s="1"/>
      <c r="C192" s="1"/>
      <c r="D192" s="1"/>
      <c r="E192" s="1"/>
      <c r="G192" s="4"/>
      <c r="H192" s="1"/>
    </row>
    <row r="193" spans="1:8" ht="19.5">
      <c r="A193" s="1"/>
      <c r="B193" s="1"/>
      <c r="C193" s="1"/>
      <c r="D193" s="1"/>
      <c r="E193" s="1"/>
      <c r="G193" s="4"/>
      <c r="H193" s="1"/>
    </row>
    <row r="194" spans="1:8" ht="19.5">
      <c r="A194" s="1"/>
      <c r="B194" s="1"/>
      <c r="C194" s="1"/>
      <c r="D194" s="1"/>
      <c r="E194" s="1"/>
      <c r="G194" s="4"/>
      <c r="H194" s="1"/>
    </row>
    <row r="195" spans="1:8" ht="19.5">
      <c r="A195" s="1"/>
      <c r="B195" s="1"/>
      <c r="C195" s="1"/>
      <c r="D195" s="1"/>
      <c r="E195" s="1"/>
      <c r="G195" s="4"/>
      <c r="H195" s="1"/>
    </row>
    <row r="196" spans="1:8" ht="19.5">
      <c r="A196" s="1"/>
      <c r="B196" s="1"/>
      <c r="C196" s="1"/>
      <c r="D196" s="1"/>
      <c r="E196" s="1"/>
      <c r="G196" s="4"/>
      <c r="H196" s="1"/>
    </row>
    <row r="197" spans="1:8" ht="19.5">
      <c r="A197" s="1"/>
      <c r="B197" s="1"/>
      <c r="C197" s="1"/>
      <c r="D197" s="1"/>
      <c r="E197" s="1"/>
      <c r="G197" s="4"/>
      <c r="H197" s="1"/>
    </row>
    <row r="198" spans="1:8" ht="19.5">
      <c r="A198" s="1"/>
      <c r="B198" s="1"/>
      <c r="C198" s="1"/>
      <c r="D198" s="1"/>
      <c r="E198" s="1"/>
      <c r="G198" s="4"/>
      <c r="H198" s="1"/>
    </row>
    <row r="199" spans="1:8" ht="19.5">
      <c r="A199" s="1"/>
      <c r="B199" s="1"/>
      <c r="C199" s="1"/>
      <c r="D199" s="1"/>
      <c r="E199" s="1"/>
      <c r="G199" s="4"/>
      <c r="H199" s="1"/>
    </row>
    <row r="200" spans="1:8" ht="19.5">
      <c r="A200" s="1"/>
      <c r="B200" s="1"/>
      <c r="C200" s="1"/>
      <c r="D200" s="1"/>
      <c r="E200" s="1"/>
      <c r="G200" s="4"/>
      <c r="H200" s="1"/>
    </row>
    <row r="201" spans="1:8" ht="19.5">
      <c r="A201" s="1"/>
      <c r="B201" s="1"/>
      <c r="C201" s="1"/>
      <c r="D201" s="1"/>
      <c r="E201" s="1"/>
      <c r="G201" s="4"/>
      <c r="H201" s="1"/>
    </row>
    <row r="202" spans="1:8" ht="19.5">
      <c r="A202" s="1"/>
      <c r="B202" s="1"/>
      <c r="C202" s="1"/>
      <c r="D202" s="1"/>
      <c r="E202" s="1"/>
      <c r="G202" s="4"/>
      <c r="H202" s="1"/>
    </row>
    <row r="203" spans="1:8" ht="19.5">
      <c r="A203" s="1"/>
      <c r="B203" s="1"/>
      <c r="C203" s="1"/>
      <c r="D203" s="1"/>
      <c r="E203" s="1"/>
      <c r="G203" s="4"/>
      <c r="H203" s="1"/>
    </row>
    <row r="204" spans="1:8" ht="19.5">
      <c r="A204" s="1"/>
      <c r="B204" s="1"/>
      <c r="C204" s="1"/>
      <c r="D204" s="1"/>
      <c r="E204" s="1"/>
      <c r="G204" s="4"/>
      <c r="H204" s="1"/>
    </row>
    <row r="205" spans="1:8" ht="19.5">
      <c r="A205" s="1"/>
      <c r="B205" s="1"/>
      <c r="C205" s="1"/>
      <c r="D205" s="1"/>
      <c r="E205" s="1"/>
      <c r="G205" s="4"/>
      <c r="H205" s="1"/>
    </row>
    <row r="206" spans="1:8" ht="19.5">
      <c r="A206" s="1"/>
      <c r="B206" s="1"/>
      <c r="C206" s="1"/>
      <c r="D206" s="1"/>
      <c r="E206" s="1"/>
      <c r="G206" s="4"/>
      <c r="H206" s="1"/>
    </row>
    <row r="207" spans="1:8" ht="19.5">
      <c r="A207" s="1"/>
      <c r="B207" s="1"/>
      <c r="C207" s="1"/>
      <c r="D207" s="1"/>
      <c r="E207" s="1"/>
      <c r="G207" s="4"/>
      <c r="H207" s="1"/>
    </row>
    <row r="208" spans="1:8" ht="19.5">
      <c r="A208" s="1"/>
      <c r="B208" s="1"/>
      <c r="C208" s="1"/>
      <c r="D208" s="1"/>
      <c r="E208" s="1"/>
      <c r="G208" s="4"/>
      <c r="H208" s="1"/>
    </row>
    <row r="209" spans="1:8" ht="19.5">
      <c r="A209" s="1"/>
      <c r="B209" s="1"/>
      <c r="C209" s="1"/>
      <c r="D209" s="1"/>
      <c r="E209" s="1"/>
      <c r="G209" s="4"/>
      <c r="H209" s="1"/>
    </row>
    <row r="210" spans="1:8" ht="19.5">
      <c r="A210" s="1"/>
      <c r="B210" s="1"/>
      <c r="C210" s="1"/>
      <c r="D210" s="1"/>
      <c r="E210" s="1"/>
      <c r="G210" s="4"/>
      <c r="H210" s="1"/>
    </row>
    <row r="211" spans="1:8" ht="19.5">
      <c r="A211" s="1"/>
      <c r="B211" s="1"/>
      <c r="C211" s="1"/>
      <c r="D211" s="1"/>
      <c r="E211" s="1"/>
      <c r="G211" s="4"/>
      <c r="H211" s="1"/>
    </row>
    <row r="212" spans="1:8" ht="19.5">
      <c r="A212" s="1"/>
      <c r="B212" s="1"/>
      <c r="C212" s="1"/>
      <c r="D212" s="1"/>
      <c r="E212" s="1"/>
      <c r="G212" s="4"/>
      <c r="H212" s="1"/>
    </row>
    <row r="213" spans="1:8" ht="19.5">
      <c r="A213" s="1"/>
      <c r="B213" s="1"/>
      <c r="C213" s="1"/>
      <c r="D213" s="1"/>
      <c r="E213" s="1"/>
      <c r="G213" s="4"/>
      <c r="H213" s="1"/>
    </row>
    <row r="214" spans="1:8" ht="19.5">
      <c r="A214" s="1"/>
      <c r="B214" s="1"/>
      <c r="C214" s="1"/>
      <c r="D214" s="1"/>
      <c r="E214" s="1"/>
      <c r="G214" s="4"/>
      <c r="H214" s="1"/>
    </row>
    <row r="215" spans="1:8" ht="19.5">
      <c r="A215" s="1"/>
      <c r="B215" s="1"/>
      <c r="C215" s="1"/>
      <c r="D215" s="1"/>
      <c r="E215" s="1"/>
      <c r="G215" s="4"/>
      <c r="H215" s="1"/>
    </row>
    <row r="216" spans="1:8" ht="19.5">
      <c r="A216" s="1"/>
      <c r="B216" s="1"/>
      <c r="C216" s="1"/>
      <c r="D216" s="1"/>
      <c r="E216" s="1"/>
      <c r="G216" s="4"/>
      <c r="H216" s="1"/>
    </row>
    <row r="217" spans="1:8" ht="19.5">
      <c r="A217" s="1"/>
      <c r="B217" s="1"/>
      <c r="C217" s="1"/>
      <c r="D217" s="1"/>
      <c r="E217" s="1"/>
      <c r="G217" s="4"/>
      <c r="H217" s="1"/>
    </row>
    <row r="218" spans="1:8" ht="19.5">
      <c r="A218" s="1"/>
      <c r="B218" s="1"/>
      <c r="C218" s="1"/>
      <c r="D218" s="1"/>
      <c r="E218" s="1"/>
      <c r="G218" s="4"/>
      <c r="H218" s="1"/>
    </row>
    <row r="219" spans="1:8" ht="19.5">
      <c r="A219" s="1"/>
      <c r="B219" s="1"/>
      <c r="C219" s="1"/>
      <c r="D219" s="1"/>
      <c r="E219" s="1"/>
      <c r="G219" s="4"/>
      <c r="H219" s="1"/>
    </row>
    <row r="220" spans="1:8" ht="19.5">
      <c r="A220" s="1"/>
      <c r="B220" s="1"/>
      <c r="C220" s="1"/>
      <c r="D220" s="1"/>
      <c r="E220" s="1"/>
      <c r="G220" s="4"/>
      <c r="H220" s="1"/>
    </row>
    <row r="221" spans="1:8" ht="19.5">
      <c r="A221" s="1"/>
      <c r="B221" s="1"/>
      <c r="C221" s="1"/>
      <c r="D221" s="1"/>
      <c r="E221" s="1"/>
      <c r="G221" s="4"/>
      <c r="H221" s="1"/>
    </row>
    <row r="222" spans="1:8" ht="19.5">
      <c r="A222" s="1"/>
      <c r="B222" s="1"/>
      <c r="C222" s="1"/>
      <c r="D222" s="1"/>
      <c r="E222" s="1"/>
      <c r="G222" s="4"/>
      <c r="H222" s="1"/>
    </row>
    <row r="223" spans="1:8" ht="19.5">
      <c r="A223" s="1"/>
      <c r="B223" s="1"/>
      <c r="C223" s="1"/>
      <c r="D223" s="1"/>
      <c r="E223" s="1"/>
      <c r="G223" s="4"/>
      <c r="H223" s="1"/>
    </row>
    <row r="224" spans="1:8" ht="19.5">
      <c r="A224" s="1"/>
      <c r="B224" s="1"/>
      <c r="C224" s="1"/>
      <c r="D224" s="1"/>
      <c r="E224" s="1"/>
      <c r="G224" s="4"/>
      <c r="H224" s="1"/>
    </row>
    <row r="225" spans="1:8" ht="19.5">
      <c r="A225" s="1"/>
      <c r="B225" s="1"/>
      <c r="C225" s="1"/>
      <c r="D225" s="1"/>
      <c r="E225" s="1"/>
      <c r="G225" s="4"/>
      <c r="H225" s="1"/>
    </row>
    <row r="226" spans="1:8" ht="19.5">
      <c r="A226" s="1"/>
      <c r="B226" s="1"/>
      <c r="C226" s="1"/>
      <c r="D226" s="1"/>
      <c r="E226" s="1"/>
      <c r="G226" s="4"/>
      <c r="H226" s="1"/>
    </row>
    <row r="227" spans="1:8" ht="19.5">
      <c r="A227" s="1"/>
      <c r="B227" s="1"/>
      <c r="C227" s="1"/>
      <c r="D227" s="1"/>
      <c r="E227" s="1"/>
      <c r="G227" s="4"/>
      <c r="H227" s="1"/>
    </row>
    <row r="228" spans="1:8" ht="19.5">
      <c r="A228" s="1"/>
      <c r="B228" s="1"/>
      <c r="C228" s="1"/>
      <c r="D228" s="1"/>
      <c r="E228" s="1"/>
      <c r="G228" s="4"/>
      <c r="H228" s="1"/>
    </row>
    <row r="229" spans="1:8" ht="19.5">
      <c r="A229" s="1"/>
      <c r="B229" s="1"/>
      <c r="C229" s="1"/>
      <c r="D229" s="1"/>
      <c r="E229" s="1"/>
      <c r="G229" s="4"/>
      <c r="H229" s="1"/>
    </row>
    <row r="230" spans="1:8" ht="19.5">
      <c r="A230" s="1"/>
      <c r="B230" s="1"/>
      <c r="C230" s="1"/>
      <c r="D230" s="1"/>
      <c r="E230" s="1"/>
      <c r="G230" s="4"/>
      <c r="H230" s="1"/>
    </row>
    <row r="231" spans="1:8" ht="19.5">
      <c r="A231" s="1"/>
      <c r="B231" s="1"/>
      <c r="C231" s="1"/>
      <c r="D231" s="1"/>
      <c r="E231" s="1"/>
      <c r="G231" s="4"/>
      <c r="H231" s="1"/>
    </row>
    <row r="232" spans="1:8" ht="19.5">
      <c r="A232" s="1"/>
      <c r="B232" s="1"/>
      <c r="C232" s="1"/>
      <c r="D232" s="1"/>
      <c r="E232" s="1"/>
      <c r="G232" s="4"/>
      <c r="H232" s="1"/>
    </row>
    <row r="233" spans="1:8" ht="19.5">
      <c r="A233" s="1"/>
      <c r="B233" s="1"/>
      <c r="C233" s="1"/>
      <c r="D233" s="1"/>
      <c r="E233" s="1"/>
      <c r="G233" s="4"/>
      <c r="H233" s="1"/>
    </row>
    <row r="234" spans="1:8" ht="19.5">
      <c r="A234" s="1"/>
      <c r="B234" s="1"/>
      <c r="C234" s="1"/>
      <c r="D234" s="1"/>
      <c r="E234" s="1"/>
      <c r="G234" s="4"/>
      <c r="H234" s="1"/>
    </row>
    <row r="235" spans="1:8" ht="19.5">
      <c r="A235" s="1"/>
      <c r="B235" s="1"/>
      <c r="C235" s="1"/>
      <c r="D235" s="1"/>
      <c r="E235" s="1"/>
      <c r="G235" s="4"/>
      <c r="H235" s="1"/>
    </row>
    <row r="236" spans="1:8" ht="19.5">
      <c r="A236" s="1"/>
      <c r="B236" s="1"/>
      <c r="C236" s="1"/>
      <c r="D236" s="1"/>
      <c r="E236" s="1"/>
      <c r="G236" s="4"/>
      <c r="H236" s="1"/>
    </row>
    <row r="237" spans="1:8" ht="19.5">
      <c r="A237" s="1"/>
      <c r="B237" s="1"/>
      <c r="C237" s="1"/>
      <c r="D237" s="1"/>
      <c r="E237" s="1"/>
      <c r="G237" s="4"/>
      <c r="H237" s="1"/>
    </row>
    <row r="238" spans="1:8" ht="19.5">
      <c r="A238" s="1"/>
      <c r="B238" s="1"/>
      <c r="C238" s="1"/>
      <c r="D238" s="1"/>
      <c r="E238" s="1"/>
      <c r="G238" s="4"/>
      <c r="H238" s="1"/>
    </row>
    <row r="239" spans="1:8" ht="19.5">
      <c r="A239" s="1"/>
      <c r="B239" s="1"/>
      <c r="C239" s="1"/>
      <c r="D239" s="1"/>
      <c r="E239" s="1"/>
      <c r="G239" s="4"/>
      <c r="H239" s="1"/>
    </row>
    <row r="240" spans="1:8" ht="19.5">
      <c r="A240" s="1"/>
      <c r="B240" s="1"/>
      <c r="C240" s="1"/>
      <c r="D240" s="1"/>
      <c r="E240" s="1"/>
      <c r="G240" s="4"/>
      <c r="H240" s="1"/>
    </row>
    <row r="241" spans="1:8" ht="19.5">
      <c r="A241" s="1"/>
      <c r="B241" s="1"/>
      <c r="C241" s="1"/>
      <c r="D241" s="1"/>
      <c r="E241" s="1"/>
      <c r="G241" s="4"/>
      <c r="H241" s="1"/>
    </row>
    <row r="242" spans="1:8" ht="19.5">
      <c r="A242" s="1"/>
      <c r="B242" s="1"/>
      <c r="C242" s="1"/>
      <c r="D242" s="1"/>
      <c r="E242" s="1"/>
      <c r="G242" s="4"/>
      <c r="H242" s="1"/>
    </row>
    <row r="243" spans="1:8" ht="19.5">
      <c r="A243" s="1"/>
      <c r="B243" s="1"/>
      <c r="C243" s="1"/>
      <c r="D243" s="1"/>
      <c r="E243" s="1"/>
      <c r="G243" s="4"/>
      <c r="H243" s="1"/>
    </row>
    <row r="244" spans="1:8" ht="19.5">
      <c r="A244" s="1"/>
      <c r="B244" s="1"/>
      <c r="C244" s="1"/>
      <c r="D244" s="1"/>
      <c r="E244" s="1"/>
      <c r="G244" s="4"/>
      <c r="H244" s="1"/>
    </row>
    <row r="245" spans="1:8" ht="19.5">
      <c r="A245" s="1"/>
      <c r="B245" s="1"/>
      <c r="C245" s="1"/>
      <c r="D245" s="1"/>
      <c r="E245" s="1"/>
      <c r="G245" s="4"/>
      <c r="H245" s="1"/>
    </row>
    <row r="246" spans="1:8" ht="19.5">
      <c r="A246" s="1"/>
      <c r="B246" s="1"/>
      <c r="C246" s="1"/>
      <c r="D246" s="1"/>
      <c r="E246" s="1"/>
      <c r="G246" s="4"/>
      <c r="H246" s="1"/>
    </row>
    <row r="247" spans="1:8" ht="19.5">
      <c r="A247" s="1"/>
      <c r="B247" s="1"/>
      <c r="C247" s="1"/>
      <c r="D247" s="1"/>
      <c r="E247" s="1"/>
      <c r="G247" s="4"/>
      <c r="H247" s="1"/>
    </row>
    <row r="248" spans="1:8" ht="19.5">
      <c r="A248" s="1"/>
      <c r="B248" s="1"/>
      <c r="C248" s="1"/>
      <c r="D248" s="1"/>
      <c r="E248" s="1"/>
      <c r="G248" s="4"/>
      <c r="H248" s="1"/>
    </row>
    <row r="249" spans="1:8" ht="19.5">
      <c r="A249" s="1"/>
      <c r="B249" s="1"/>
      <c r="C249" s="1"/>
      <c r="D249" s="1"/>
      <c r="E249" s="1"/>
      <c r="G249" s="4"/>
      <c r="H249" s="1"/>
    </row>
    <row r="250" spans="1:8" ht="19.5">
      <c r="A250" s="1"/>
      <c r="B250" s="1"/>
      <c r="C250" s="1"/>
      <c r="D250" s="1"/>
      <c r="E250" s="1"/>
      <c r="G250" s="4"/>
      <c r="H250" s="1"/>
    </row>
    <row r="251" spans="1:8" ht="19.5">
      <c r="A251" s="1"/>
      <c r="B251" s="1"/>
      <c r="C251" s="1"/>
      <c r="D251" s="1"/>
      <c r="E251" s="1"/>
      <c r="G251" s="4"/>
      <c r="H251" s="1"/>
    </row>
    <row r="252" spans="1:8" ht="19.5">
      <c r="A252" s="1"/>
      <c r="B252" s="1"/>
      <c r="C252" s="1"/>
      <c r="D252" s="1"/>
      <c r="E252" s="1"/>
      <c r="G252" s="4"/>
      <c r="H252" s="1"/>
    </row>
    <row r="253" spans="1:8" ht="19.5">
      <c r="A253" s="1"/>
      <c r="B253" s="1"/>
      <c r="C253" s="1"/>
      <c r="D253" s="1"/>
      <c r="E253" s="1"/>
      <c r="G253" s="4"/>
      <c r="H253" s="1"/>
    </row>
    <row r="254" spans="1:8" ht="19.5">
      <c r="A254" s="1"/>
      <c r="B254" s="1"/>
      <c r="C254" s="1"/>
      <c r="D254" s="1"/>
      <c r="E254" s="1"/>
      <c r="G254" s="4"/>
      <c r="H254" s="1"/>
    </row>
    <row r="255" spans="1:8" ht="19.5">
      <c r="A255" s="1"/>
      <c r="B255" s="1"/>
      <c r="C255" s="1"/>
      <c r="D255" s="1"/>
      <c r="E255" s="1"/>
      <c r="G255" s="4"/>
      <c r="H255" s="1"/>
    </row>
    <row r="256" spans="1:8" ht="19.5">
      <c r="A256" s="1"/>
      <c r="B256" s="1"/>
      <c r="C256" s="1"/>
      <c r="D256" s="1"/>
      <c r="E256" s="1"/>
      <c r="G256" s="4"/>
      <c r="H256" s="1"/>
    </row>
    <row r="257" spans="1:8" ht="19.5">
      <c r="A257" s="1"/>
      <c r="B257" s="1"/>
      <c r="C257" s="1"/>
      <c r="D257" s="1"/>
      <c r="E257" s="1"/>
      <c r="G257" s="4"/>
      <c r="H257" s="1"/>
    </row>
    <row r="258" spans="1:8" ht="19.5">
      <c r="A258" s="1"/>
      <c r="B258" s="1"/>
      <c r="C258" s="1"/>
      <c r="D258" s="1"/>
      <c r="E258" s="1"/>
      <c r="G258" s="4"/>
      <c r="H258" s="1"/>
    </row>
    <row r="259" spans="1:8" ht="19.5">
      <c r="A259" s="1"/>
      <c r="B259" s="1"/>
      <c r="C259" s="1"/>
      <c r="D259" s="1"/>
      <c r="E259" s="1"/>
      <c r="G259" s="4"/>
      <c r="H259" s="1"/>
    </row>
    <row r="260" spans="1:8" ht="19.5">
      <c r="A260" s="1"/>
      <c r="B260" s="1"/>
      <c r="C260" s="1"/>
      <c r="D260" s="1"/>
      <c r="E260" s="1"/>
      <c r="G260" s="4"/>
      <c r="H260" s="1"/>
    </row>
    <row r="261" spans="1:8" ht="19.5">
      <c r="A261" s="1"/>
      <c r="B261" s="1"/>
      <c r="C261" s="1"/>
      <c r="D261" s="1"/>
      <c r="E261" s="1"/>
      <c r="G261" s="4"/>
      <c r="H261" s="1"/>
    </row>
    <row r="262" spans="1:8" ht="19.5">
      <c r="A262" s="1"/>
      <c r="B262" s="1"/>
      <c r="C262" s="1"/>
      <c r="D262" s="1"/>
      <c r="E262" s="1"/>
      <c r="G262" s="4"/>
      <c r="H262" s="1"/>
    </row>
    <row r="263" spans="1:8" ht="19.5">
      <c r="A263" s="1"/>
      <c r="B263" s="1"/>
      <c r="C263" s="1"/>
      <c r="D263" s="1"/>
      <c r="E263" s="1"/>
      <c r="G263" s="4"/>
      <c r="H263" s="1"/>
    </row>
    <row r="264" spans="1:8" ht="19.5">
      <c r="A264" s="1"/>
      <c r="B264" s="1"/>
      <c r="C264" s="1"/>
      <c r="D264" s="1"/>
      <c r="E264" s="1"/>
      <c r="G264" s="4"/>
      <c r="H264" s="1"/>
    </row>
    <row r="265" spans="1:8" ht="19.5">
      <c r="A265" s="1"/>
      <c r="B265" s="1"/>
      <c r="C265" s="1"/>
      <c r="D265" s="1"/>
      <c r="E265" s="1"/>
      <c r="G265" s="4"/>
      <c r="H265" s="1"/>
    </row>
    <row r="266" spans="1:8" ht="19.5">
      <c r="A266" s="1"/>
      <c r="B266" s="1"/>
      <c r="C266" s="1"/>
      <c r="D266" s="1"/>
      <c r="E266" s="1"/>
      <c r="G266" s="4"/>
      <c r="H266" s="1"/>
    </row>
    <row r="267" spans="1:8" ht="19.5">
      <c r="A267" s="1"/>
      <c r="B267" s="1"/>
      <c r="C267" s="1"/>
      <c r="D267" s="1"/>
      <c r="E267" s="1"/>
      <c r="G267" s="4"/>
      <c r="H267" s="1"/>
    </row>
    <row r="268" spans="1:8" ht="19.5">
      <c r="A268" s="1"/>
      <c r="B268" s="1"/>
      <c r="C268" s="1"/>
      <c r="D268" s="1"/>
      <c r="E268" s="1"/>
      <c r="G268" s="4"/>
      <c r="H268" s="1"/>
    </row>
    <row r="269" spans="1:8" ht="19.5">
      <c r="A269" s="1"/>
      <c r="B269" s="1"/>
      <c r="C269" s="1"/>
      <c r="D269" s="1"/>
      <c r="E269" s="1"/>
      <c r="G269" s="4"/>
      <c r="H269" s="1"/>
    </row>
    <row r="270" spans="1:8" ht="19.5">
      <c r="A270" s="1"/>
      <c r="B270" s="1"/>
      <c r="C270" s="1"/>
      <c r="D270" s="1"/>
      <c r="E270" s="1"/>
      <c r="G270" s="4"/>
      <c r="H270" s="1"/>
    </row>
    <row r="271" spans="1:8" ht="19.5">
      <c r="A271" s="1"/>
      <c r="B271" s="1"/>
      <c r="C271" s="1"/>
      <c r="D271" s="1"/>
      <c r="E271" s="1"/>
      <c r="G271" s="4"/>
      <c r="H271" s="1"/>
    </row>
    <row r="272" spans="1:8" ht="19.5">
      <c r="A272" s="1"/>
      <c r="B272" s="1"/>
      <c r="C272" s="1"/>
      <c r="D272" s="1"/>
      <c r="E272" s="1"/>
      <c r="G272" s="4"/>
      <c r="H272" s="1"/>
    </row>
    <row r="273" spans="1:8" ht="19.5">
      <c r="A273" s="1"/>
      <c r="B273" s="1"/>
      <c r="C273" s="1"/>
      <c r="D273" s="1"/>
      <c r="E273" s="1"/>
      <c r="G273" s="4"/>
      <c r="H273" s="1"/>
    </row>
    <row r="274" spans="1:8" ht="19.5">
      <c r="A274" s="1"/>
      <c r="B274" s="1"/>
      <c r="C274" s="1"/>
      <c r="D274" s="1"/>
      <c r="E274" s="1"/>
      <c r="G274" s="4"/>
      <c r="H274" s="1"/>
    </row>
    <row r="275" spans="1:8" ht="19.5">
      <c r="A275" s="1"/>
      <c r="B275" s="1"/>
      <c r="C275" s="1"/>
      <c r="D275" s="1"/>
      <c r="E275" s="1"/>
      <c r="G275" s="4"/>
      <c r="H275" s="1"/>
    </row>
    <row r="276" spans="1:8" ht="19.5">
      <c r="A276" s="1"/>
      <c r="B276" s="1"/>
      <c r="C276" s="1"/>
      <c r="D276" s="1"/>
      <c r="E276" s="1"/>
      <c r="G276" s="4"/>
      <c r="H276" s="1"/>
    </row>
    <row r="277" spans="1:8" ht="19.5">
      <c r="A277" s="1"/>
      <c r="B277" s="1"/>
      <c r="C277" s="1"/>
      <c r="D277" s="1"/>
      <c r="E277" s="1"/>
      <c r="G277" s="4"/>
      <c r="H277" s="1"/>
    </row>
    <row r="278" spans="1:8" ht="19.5">
      <c r="A278" s="1"/>
      <c r="B278" s="1"/>
      <c r="C278" s="1"/>
      <c r="D278" s="1"/>
      <c r="E278" s="1"/>
      <c r="G278" s="4"/>
      <c r="H278" s="1"/>
    </row>
    <row r="279" spans="1:8" ht="19.5">
      <c r="A279" s="1"/>
      <c r="B279" s="1"/>
      <c r="C279" s="1"/>
      <c r="D279" s="1"/>
      <c r="E279" s="1"/>
      <c r="G279" s="4"/>
      <c r="H279" s="1"/>
    </row>
    <row r="280" spans="1:8" ht="19.5">
      <c r="A280" s="1"/>
      <c r="B280" s="1"/>
      <c r="C280" s="1"/>
      <c r="D280" s="1"/>
      <c r="E280" s="1"/>
      <c r="G280" s="4"/>
      <c r="H280" s="1"/>
    </row>
    <row r="281" spans="1:8" ht="19.5">
      <c r="A281" s="1"/>
      <c r="B281" s="1"/>
      <c r="C281" s="1"/>
      <c r="D281" s="1"/>
      <c r="E281" s="1"/>
      <c r="G281" s="4"/>
      <c r="H281" s="1"/>
    </row>
    <row r="282" spans="1:8" ht="19.5">
      <c r="A282" s="1"/>
      <c r="B282" s="1"/>
      <c r="C282" s="1"/>
      <c r="D282" s="1"/>
      <c r="E282" s="1"/>
      <c r="G282" s="4"/>
      <c r="H282" s="1"/>
    </row>
    <row r="283" spans="1:8" ht="19.5">
      <c r="A283" s="1"/>
      <c r="B283" s="1"/>
      <c r="C283" s="1"/>
      <c r="D283" s="1"/>
      <c r="E283" s="1"/>
      <c r="G283" s="4"/>
      <c r="H283" s="1"/>
    </row>
    <row r="284" spans="1:8" ht="19.5">
      <c r="A284" s="1"/>
      <c r="B284" s="1"/>
      <c r="C284" s="1"/>
      <c r="D284" s="1"/>
      <c r="E284" s="1"/>
      <c r="G284" s="4"/>
      <c r="H284" s="1"/>
    </row>
    <row r="285" spans="1:8" ht="19.5">
      <c r="A285" s="1"/>
      <c r="B285" s="1"/>
      <c r="C285" s="1"/>
      <c r="D285" s="1"/>
      <c r="E285" s="1"/>
      <c r="G285" s="4"/>
      <c r="H285" s="1"/>
    </row>
    <row r="286" spans="1:8" ht="19.5">
      <c r="A286" s="1"/>
      <c r="B286" s="1"/>
      <c r="C286" s="1"/>
      <c r="D286" s="1"/>
      <c r="E286" s="1"/>
      <c r="G286" s="4"/>
      <c r="H286" s="1"/>
    </row>
    <row r="287" spans="1:8" ht="19.5">
      <c r="A287" s="1"/>
      <c r="B287" s="1"/>
      <c r="C287" s="1"/>
      <c r="D287" s="1"/>
      <c r="E287" s="1"/>
      <c r="G287" s="4"/>
      <c r="H287" s="1"/>
    </row>
    <row r="288" spans="1:8" ht="19.5">
      <c r="A288" s="1"/>
      <c r="B288" s="1"/>
      <c r="C288" s="1"/>
      <c r="D288" s="1"/>
      <c r="E288" s="1"/>
      <c r="G288" s="4"/>
      <c r="H288" s="1"/>
    </row>
    <row r="289" spans="1:8" ht="19.5">
      <c r="A289" s="1"/>
      <c r="B289" s="1"/>
      <c r="C289" s="1"/>
      <c r="D289" s="1"/>
      <c r="E289" s="1"/>
      <c r="G289" s="4"/>
      <c r="H289" s="1"/>
    </row>
    <row r="290" spans="1:8" ht="19.5">
      <c r="A290" s="1"/>
      <c r="B290" s="1"/>
      <c r="C290" s="1"/>
      <c r="D290" s="1"/>
      <c r="E290" s="1"/>
      <c r="G290" s="4"/>
      <c r="H290" s="1"/>
    </row>
    <row r="291" spans="1:8" ht="19.5">
      <c r="A291" s="1"/>
      <c r="B291" s="1"/>
      <c r="C291" s="1"/>
      <c r="D291" s="1"/>
      <c r="E291" s="1"/>
      <c r="G291" s="4"/>
      <c r="H291" s="1"/>
    </row>
    <row r="292" spans="1:8" ht="19.5">
      <c r="A292" s="1"/>
      <c r="B292" s="1"/>
      <c r="C292" s="1"/>
      <c r="D292" s="1"/>
      <c r="E292" s="1"/>
      <c r="G292" s="4"/>
      <c r="H292" s="1"/>
    </row>
    <row r="293" spans="1:8" ht="19.5">
      <c r="A293" s="1"/>
      <c r="B293" s="1"/>
      <c r="C293" s="1"/>
      <c r="D293" s="1"/>
      <c r="E293" s="1"/>
      <c r="G293" s="4"/>
      <c r="H293" s="1"/>
    </row>
    <row r="294" spans="1:8" ht="19.5">
      <c r="A294" s="1"/>
      <c r="B294" s="1"/>
      <c r="C294" s="1"/>
      <c r="D294" s="1"/>
      <c r="E294" s="1"/>
      <c r="G294" s="4"/>
      <c r="H294" s="1"/>
    </row>
    <row r="295" spans="1:8" ht="19.5">
      <c r="A295" s="1"/>
      <c r="B295" s="1"/>
      <c r="C295" s="1"/>
      <c r="D295" s="1"/>
      <c r="E295" s="1"/>
      <c r="G295" s="4"/>
      <c r="H295" s="1"/>
    </row>
    <row r="296" spans="1:8" ht="19.5">
      <c r="A296" s="1"/>
      <c r="B296" s="1"/>
      <c r="C296" s="1"/>
      <c r="D296" s="1"/>
      <c r="E296" s="1"/>
      <c r="G296" s="4"/>
      <c r="H296" s="1"/>
    </row>
    <row r="297" spans="1:8" ht="19.5">
      <c r="A297" s="1"/>
      <c r="B297" s="1"/>
      <c r="C297" s="1"/>
      <c r="D297" s="1"/>
      <c r="E297" s="1"/>
      <c r="G297" s="4"/>
      <c r="H297" s="1"/>
    </row>
    <row r="298" spans="1:8" ht="19.5">
      <c r="A298" s="1"/>
      <c r="B298" s="1"/>
      <c r="C298" s="1"/>
      <c r="D298" s="1"/>
      <c r="E298" s="1"/>
      <c r="G298" s="4"/>
      <c r="H298" s="1"/>
    </row>
    <row r="299" spans="1:8" ht="19.5">
      <c r="A299" s="1"/>
      <c r="B299" s="1"/>
      <c r="C299" s="1"/>
      <c r="D299" s="1"/>
      <c r="E299" s="1"/>
      <c r="G299" s="4"/>
      <c r="H299" s="1"/>
    </row>
    <row r="300" spans="1:8" ht="19.5">
      <c r="A300" s="1"/>
      <c r="B300" s="1"/>
      <c r="C300" s="1"/>
      <c r="D300" s="1"/>
      <c r="E300" s="1"/>
      <c r="G300" s="4"/>
      <c r="H300" s="1"/>
    </row>
    <row r="301" spans="1:8" ht="19.5">
      <c r="A301" s="1"/>
      <c r="B301" s="1"/>
      <c r="C301" s="1"/>
      <c r="D301" s="1"/>
      <c r="E301" s="1"/>
      <c r="G301" s="4"/>
      <c r="H301" s="1"/>
    </row>
    <row r="302" spans="1:8" ht="19.5">
      <c r="A302" s="1"/>
      <c r="B302" s="1"/>
      <c r="C302" s="1"/>
      <c r="D302" s="1"/>
      <c r="E302" s="1"/>
      <c r="G302" s="4"/>
      <c r="H302" s="1"/>
    </row>
    <row r="303" spans="1:8" ht="19.5">
      <c r="A303" s="1"/>
      <c r="B303" s="1"/>
      <c r="C303" s="1"/>
      <c r="D303" s="1"/>
      <c r="E303" s="1"/>
      <c r="G303" s="4"/>
      <c r="H303" s="1"/>
    </row>
    <row r="304" spans="1:8" ht="19.5">
      <c r="A304" s="1"/>
      <c r="B304" s="1"/>
      <c r="C304" s="1"/>
      <c r="D304" s="1"/>
      <c r="E304" s="1"/>
      <c r="G304" s="4"/>
      <c r="H304" s="1"/>
    </row>
    <row r="305" spans="1:8" ht="19.5">
      <c r="A305" s="1"/>
      <c r="B305" s="1"/>
      <c r="C305" s="1"/>
      <c r="D305" s="1"/>
      <c r="E305" s="1"/>
      <c r="G305" s="4"/>
      <c r="H305" s="1"/>
    </row>
    <row r="306" spans="1:8" ht="19.5">
      <c r="A306" s="1"/>
      <c r="B306" s="1"/>
      <c r="C306" s="1"/>
      <c r="D306" s="1"/>
      <c r="E306" s="1"/>
      <c r="G306" s="4"/>
      <c r="H306" s="1"/>
    </row>
    <row r="307" spans="1:8" ht="19.5">
      <c r="A307" s="1"/>
      <c r="B307" s="1"/>
      <c r="C307" s="1"/>
      <c r="D307" s="1"/>
      <c r="E307" s="1"/>
      <c r="G307" s="4"/>
      <c r="H307" s="1"/>
    </row>
    <row r="308" spans="1:8" ht="19.5">
      <c r="A308" s="1"/>
      <c r="B308" s="1"/>
      <c r="C308" s="1"/>
      <c r="D308" s="1"/>
      <c r="E308" s="1"/>
      <c r="G308" s="4"/>
      <c r="H308" s="1"/>
    </row>
    <row r="309" spans="1:8" ht="19.5">
      <c r="A309" s="1"/>
      <c r="B309" s="1"/>
      <c r="C309" s="1"/>
      <c r="D309" s="1"/>
      <c r="E309" s="1"/>
      <c r="G309" s="4"/>
      <c r="H309" s="1"/>
    </row>
    <row r="310" spans="1:8" ht="19.5">
      <c r="A310" s="1"/>
      <c r="B310" s="1"/>
      <c r="C310" s="1"/>
      <c r="D310" s="1"/>
      <c r="E310" s="1"/>
      <c r="G310" s="4"/>
      <c r="H310" s="1"/>
    </row>
    <row r="311" spans="1:8" ht="19.5">
      <c r="A311" s="1"/>
      <c r="B311" s="1"/>
      <c r="C311" s="1"/>
      <c r="D311" s="1"/>
      <c r="E311" s="1"/>
      <c r="G311" s="4"/>
      <c r="H311" s="1"/>
    </row>
    <row r="312" spans="1:8" ht="19.5">
      <c r="A312" s="1"/>
      <c r="B312" s="1"/>
      <c r="C312" s="1"/>
      <c r="D312" s="1"/>
      <c r="E312" s="1"/>
      <c r="G312" s="4"/>
      <c r="H312" s="1"/>
    </row>
    <row r="313" spans="1:8" ht="19.5">
      <c r="A313" s="1"/>
      <c r="B313" s="1"/>
      <c r="C313" s="1"/>
      <c r="D313" s="1"/>
      <c r="E313" s="1"/>
      <c r="G313" s="4"/>
      <c r="H313" s="1"/>
    </row>
    <row r="314" spans="1:8" ht="19.5">
      <c r="A314" s="1"/>
      <c r="B314" s="1"/>
      <c r="C314" s="1"/>
      <c r="D314" s="1"/>
      <c r="E314" s="1"/>
      <c r="G314" s="4"/>
      <c r="H314" s="1"/>
    </row>
    <row r="315" spans="1:8" ht="19.5">
      <c r="A315" s="1"/>
      <c r="B315" s="1"/>
      <c r="C315" s="1"/>
      <c r="D315" s="1"/>
      <c r="E315" s="1"/>
      <c r="G315" s="4"/>
      <c r="H315" s="1"/>
    </row>
    <row r="316" spans="1:8" ht="19.5">
      <c r="A316" s="1"/>
      <c r="B316" s="1"/>
      <c r="C316" s="1"/>
      <c r="D316" s="1"/>
      <c r="E316" s="1"/>
      <c r="G316" s="4"/>
      <c r="H316" s="1"/>
    </row>
    <row r="317" spans="1:8" ht="19.5">
      <c r="A317" s="1"/>
      <c r="B317" s="1"/>
      <c r="C317" s="1"/>
      <c r="D317" s="1"/>
      <c r="E317" s="1"/>
      <c r="G317" s="4"/>
      <c r="H317" s="1"/>
    </row>
    <row r="318" spans="1:8" ht="19.5">
      <c r="A318" s="1"/>
      <c r="B318" s="1"/>
      <c r="C318" s="1"/>
      <c r="D318" s="1"/>
      <c r="E318" s="1"/>
      <c r="G318" s="4"/>
      <c r="H318" s="1"/>
    </row>
    <row r="319" spans="1:8" ht="19.5">
      <c r="A319" s="1"/>
      <c r="B319" s="1"/>
      <c r="C319" s="1"/>
      <c r="D319" s="1"/>
      <c r="E319" s="1"/>
      <c r="G319" s="4"/>
      <c r="H319" s="1"/>
    </row>
    <row r="320" spans="1:8" ht="19.5">
      <c r="A320" s="1"/>
      <c r="B320" s="1"/>
      <c r="C320" s="1"/>
      <c r="D320" s="1"/>
      <c r="E320" s="1"/>
      <c r="G320" s="4"/>
      <c r="H320" s="1"/>
    </row>
    <row r="321" spans="1:8" ht="19.5">
      <c r="A321" s="1"/>
      <c r="B321" s="1"/>
      <c r="C321" s="1"/>
      <c r="D321" s="1"/>
      <c r="E321" s="1"/>
      <c r="G321" s="4"/>
      <c r="H321" s="1"/>
    </row>
    <row r="322" spans="1:8" ht="19.5">
      <c r="A322" s="1"/>
      <c r="B322" s="1"/>
      <c r="C322" s="1"/>
      <c r="D322" s="1"/>
      <c r="E322" s="1"/>
      <c r="G322" s="4"/>
      <c r="H322" s="1"/>
    </row>
    <row r="323" spans="1:8" ht="19.5">
      <c r="A323" s="1"/>
      <c r="B323" s="1"/>
      <c r="C323" s="1"/>
      <c r="D323" s="1"/>
      <c r="E323" s="1"/>
      <c r="G323" s="4"/>
      <c r="H323" s="1"/>
    </row>
    <row r="324" spans="1:8" ht="19.5">
      <c r="A324" s="1"/>
      <c r="B324" s="1"/>
      <c r="C324" s="1"/>
      <c r="D324" s="1"/>
      <c r="E324" s="1"/>
      <c r="G324" s="4"/>
      <c r="H324" s="1"/>
    </row>
    <row r="325" spans="1:8" ht="19.5">
      <c r="A325" s="1"/>
      <c r="B325" s="1"/>
      <c r="C325" s="1"/>
      <c r="D325" s="1"/>
      <c r="E325" s="1"/>
      <c r="G325" s="4"/>
      <c r="H325" s="1"/>
    </row>
    <row r="326" spans="1:8" ht="19.5">
      <c r="A326" s="1"/>
      <c r="B326" s="1"/>
      <c r="C326" s="1"/>
      <c r="D326" s="1"/>
      <c r="E326" s="1"/>
      <c r="G326" s="4"/>
      <c r="H326" s="1"/>
    </row>
    <row r="327" spans="1:8" ht="19.5">
      <c r="A327" s="1"/>
      <c r="B327" s="1"/>
      <c r="C327" s="1"/>
      <c r="D327" s="1"/>
      <c r="E327" s="1"/>
      <c r="G327" s="4"/>
      <c r="H327" s="1"/>
    </row>
    <row r="328" spans="1:8" ht="19.5">
      <c r="A328" s="1"/>
      <c r="B328" s="1"/>
      <c r="C328" s="1"/>
      <c r="D328" s="1"/>
      <c r="E328" s="1"/>
      <c r="G328" s="4"/>
      <c r="H328" s="1"/>
    </row>
    <row r="329" spans="1:8" ht="19.5">
      <c r="A329" s="1"/>
      <c r="B329" s="1"/>
      <c r="C329" s="1"/>
      <c r="D329" s="1"/>
      <c r="E329" s="1"/>
      <c r="G329" s="4"/>
      <c r="H329" s="1"/>
    </row>
    <row r="330" spans="1:8" ht="19.5">
      <c r="A330" s="1"/>
      <c r="B330" s="1"/>
      <c r="C330" s="1"/>
      <c r="D330" s="1"/>
      <c r="E330" s="1"/>
      <c r="G330" s="4"/>
      <c r="H330" s="1"/>
    </row>
    <row r="331" spans="1:8" ht="19.5">
      <c r="A331" s="1"/>
      <c r="B331" s="1"/>
      <c r="C331" s="1"/>
      <c r="D331" s="1"/>
      <c r="E331" s="1"/>
      <c r="G331" s="4"/>
      <c r="H331" s="1"/>
    </row>
    <row r="332" spans="1:8" ht="19.5">
      <c r="A332" s="1"/>
      <c r="B332" s="1"/>
      <c r="C332" s="1"/>
      <c r="D332" s="1"/>
      <c r="E332" s="1"/>
      <c r="G332" s="4"/>
      <c r="H332" s="1"/>
    </row>
    <row r="333" spans="1:8" ht="19.5">
      <c r="A333" s="1"/>
      <c r="B333" s="1"/>
      <c r="C333" s="1"/>
      <c r="D333" s="1"/>
      <c r="E333" s="1"/>
      <c r="G333" s="4"/>
      <c r="H333" s="1"/>
    </row>
    <row r="334" spans="1:8" ht="19.5">
      <c r="A334" s="1"/>
      <c r="B334" s="1"/>
      <c r="C334" s="1"/>
      <c r="D334" s="1"/>
      <c r="E334" s="1"/>
      <c r="G334" s="4"/>
      <c r="H334" s="1"/>
    </row>
    <row r="335" spans="1:8" ht="19.5">
      <c r="A335" s="1"/>
      <c r="B335" s="1"/>
      <c r="C335" s="1"/>
      <c r="D335" s="1"/>
      <c r="E335" s="1"/>
      <c r="G335" s="4"/>
      <c r="H335" s="1"/>
    </row>
    <row r="336" spans="1:8" ht="19.5">
      <c r="A336" s="1"/>
      <c r="B336" s="1"/>
      <c r="C336" s="1"/>
      <c r="D336" s="1"/>
      <c r="E336" s="1"/>
      <c r="G336" s="4"/>
      <c r="H336" s="1"/>
    </row>
    <row r="337" spans="1:8" ht="19.5">
      <c r="A337" s="1"/>
      <c r="B337" s="1"/>
      <c r="C337" s="1"/>
      <c r="D337" s="1"/>
      <c r="E337" s="1"/>
      <c r="G337" s="4"/>
      <c r="H337" s="1"/>
    </row>
    <row r="338" spans="1:8" ht="19.5">
      <c r="A338" s="1"/>
      <c r="B338" s="1"/>
      <c r="C338" s="1"/>
      <c r="D338" s="1"/>
      <c r="E338" s="1"/>
      <c r="G338" s="4"/>
      <c r="H338" s="1"/>
    </row>
    <row r="339" spans="1:8" ht="19.5">
      <c r="A339" s="1"/>
      <c r="B339" s="1"/>
      <c r="C339" s="1"/>
      <c r="D339" s="1"/>
      <c r="E339" s="1"/>
      <c r="G339" s="4"/>
      <c r="H339" s="1"/>
    </row>
    <row r="340" spans="1:8" ht="19.5">
      <c r="A340" s="1"/>
      <c r="B340" s="1"/>
      <c r="C340" s="1"/>
      <c r="D340" s="1"/>
      <c r="E340" s="1"/>
      <c r="G340" s="4"/>
      <c r="H340" s="1"/>
    </row>
    <row r="341" spans="1:8" ht="19.5">
      <c r="A341" s="1"/>
      <c r="B341" s="1"/>
      <c r="C341" s="1"/>
      <c r="D341" s="1"/>
      <c r="E341" s="1"/>
      <c r="G341" s="4"/>
      <c r="H341" s="1"/>
    </row>
    <row r="342" spans="1:8" ht="19.5">
      <c r="A342" s="1"/>
      <c r="B342" s="1"/>
      <c r="C342" s="1"/>
      <c r="D342" s="1"/>
      <c r="E342" s="1"/>
      <c r="G342" s="4"/>
      <c r="H342" s="1"/>
    </row>
    <row r="343" spans="1:8" ht="19.5">
      <c r="A343" s="1"/>
      <c r="B343" s="1"/>
      <c r="C343" s="1"/>
      <c r="D343" s="1"/>
      <c r="E343" s="1"/>
      <c r="G343" s="4"/>
      <c r="H343" s="1"/>
    </row>
    <row r="344" spans="1:8" ht="19.5">
      <c r="A344" s="1"/>
      <c r="B344" s="1"/>
      <c r="C344" s="1"/>
      <c r="D344" s="1"/>
      <c r="E344" s="1"/>
      <c r="G344" s="4"/>
      <c r="H344" s="1"/>
    </row>
    <row r="345" spans="1:8" ht="19.5">
      <c r="A345" s="1"/>
      <c r="B345" s="1"/>
      <c r="C345" s="1"/>
      <c r="D345" s="1"/>
      <c r="E345" s="1"/>
      <c r="G345" s="4"/>
      <c r="H345" s="1"/>
    </row>
    <row r="346" spans="1:8" ht="19.5">
      <c r="A346" s="1"/>
      <c r="B346" s="1"/>
      <c r="C346" s="1"/>
      <c r="D346" s="1"/>
      <c r="E346" s="1"/>
      <c r="G346" s="4"/>
      <c r="H346" s="1"/>
    </row>
    <row r="347" spans="1:8" ht="19.5">
      <c r="A347" s="1"/>
      <c r="B347" s="1"/>
      <c r="C347" s="1"/>
      <c r="D347" s="1"/>
      <c r="E347" s="1"/>
      <c r="G347" s="4"/>
      <c r="H347" s="1"/>
    </row>
    <row r="348" spans="1:8" ht="19.5">
      <c r="A348" s="1"/>
      <c r="B348" s="1"/>
      <c r="C348" s="1"/>
      <c r="D348" s="1"/>
      <c r="E348" s="1"/>
      <c r="G348" s="4"/>
      <c r="H348" s="1"/>
    </row>
    <row r="349" spans="1:8" ht="19.5">
      <c r="A349" s="1"/>
      <c r="B349" s="1"/>
      <c r="C349" s="1"/>
      <c r="D349" s="1"/>
      <c r="E349" s="1"/>
      <c r="G349" s="4"/>
      <c r="H349" s="1"/>
    </row>
    <row r="350" spans="1:8" ht="19.5">
      <c r="A350" s="1"/>
      <c r="B350" s="1"/>
      <c r="C350" s="1"/>
      <c r="D350" s="1"/>
      <c r="E350" s="1"/>
      <c r="G350" s="4"/>
      <c r="H350" s="1"/>
    </row>
    <row r="351" spans="1:8" ht="19.5">
      <c r="A351" s="1"/>
      <c r="B351" s="1"/>
      <c r="C351" s="1"/>
      <c r="D351" s="1"/>
      <c r="E351" s="1"/>
      <c r="G351" s="4"/>
      <c r="H351" s="1"/>
    </row>
    <row r="352" spans="1:8" ht="19.5">
      <c r="A352" s="1"/>
      <c r="B352" s="1"/>
      <c r="C352" s="1"/>
      <c r="D352" s="1"/>
      <c r="E352" s="1"/>
      <c r="G352" s="4"/>
      <c r="H352" s="1"/>
    </row>
    <row r="353" spans="1:8" ht="19.5">
      <c r="A353" s="1"/>
      <c r="B353" s="1"/>
      <c r="C353" s="1"/>
      <c r="D353" s="1"/>
      <c r="E353" s="1"/>
      <c r="G353" s="4"/>
      <c r="H353" s="1"/>
    </row>
    <row r="354" spans="1:8" ht="19.5">
      <c r="A354" s="1"/>
      <c r="B354" s="1"/>
      <c r="C354" s="1"/>
      <c r="D354" s="1"/>
      <c r="E354" s="1"/>
      <c r="G354" s="4"/>
      <c r="H354" s="1"/>
    </row>
    <row r="355" spans="1:8" ht="19.5">
      <c r="A355" s="1"/>
      <c r="B355" s="1"/>
      <c r="C355" s="1"/>
      <c r="D355" s="1"/>
      <c r="E355" s="1"/>
      <c r="G355" s="4"/>
      <c r="H355" s="1"/>
    </row>
    <row r="356" spans="1:8" ht="19.5">
      <c r="A356" s="1"/>
      <c r="B356" s="1"/>
      <c r="C356" s="1"/>
      <c r="D356" s="1"/>
      <c r="E356" s="1"/>
      <c r="G356" s="4"/>
      <c r="H356" s="1"/>
    </row>
    <row r="357" spans="1:8" ht="19.5">
      <c r="A357" s="1"/>
      <c r="B357" s="1"/>
      <c r="C357" s="1"/>
      <c r="D357" s="1"/>
      <c r="E357" s="1"/>
      <c r="G357" s="4"/>
      <c r="H357" s="1"/>
    </row>
    <row r="358" spans="1:8" ht="19.5">
      <c r="A358" s="1"/>
      <c r="B358" s="1"/>
      <c r="C358" s="1"/>
      <c r="D358" s="1"/>
      <c r="E358" s="1"/>
      <c r="G358" s="4"/>
      <c r="H358" s="1"/>
    </row>
    <row r="359" spans="1:8" ht="19.5">
      <c r="A359" s="1"/>
      <c r="B359" s="1"/>
      <c r="C359" s="1"/>
      <c r="D359" s="1"/>
      <c r="E359" s="1"/>
      <c r="G359" s="4"/>
      <c r="H359" s="1"/>
    </row>
    <row r="360" spans="1:8" ht="19.5">
      <c r="A360" s="1"/>
      <c r="B360" s="1"/>
      <c r="C360" s="1"/>
      <c r="D360" s="1"/>
      <c r="E360" s="1"/>
      <c r="G360" s="4"/>
      <c r="H360" s="1"/>
    </row>
    <row r="361" spans="1:8" ht="19.5">
      <c r="A361" s="1"/>
      <c r="B361" s="1"/>
      <c r="C361" s="1"/>
      <c r="D361" s="1"/>
      <c r="E361" s="1"/>
      <c r="G361" s="4"/>
      <c r="H361" s="1"/>
    </row>
    <row r="362" spans="1:8" ht="19.5">
      <c r="A362" s="1"/>
      <c r="B362" s="1"/>
      <c r="C362" s="1"/>
      <c r="D362" s="1"/>
      <c r="E362" s="1"/>
      <c r="G362" s="4"/>
      <c r="H362" s="1"/>
    </row>
    <row r="363" spans="1:8" ht="19.5">
      <c r="A363" s="1"/>
      <c r="B363" s="1"/>
      <c r="C363" s="1"/>
      <c r="D363" s="1"/>
      <c r="E363" s="1"/>
      <c r="G363" s="4"/>
      <c r="H363" s="1"/>
    </row>
    <row r="364" spans="1:8" ht="19.5">
      <c r="A364" s="1"/>
      <c r="B364" s="1"/>
      <c r="C364" s="1"/>
      <c r="D364" s="1"/>
      <c r="E364" s="1"/>
      <c r="G364" s="4"/>
      <c r="H364" s="1"/>
    </row>
    <row r="365" spans="1:8" ht="19.5">
      <c r="A365" s="1"/>
      <c r="B365" s="1"/>
      <c r="C365" s="1"/>
      <c r="D365" s="1"/>
      <c r="E365" s="1"/>
      <c r="G365" s="4"/>
      <c r="H365" s="1"/>
    </row>
    <row r="366" spans="1:8" ht="19.5">
      <c r="A366" s="1"/>
      <c r="B366" s="1"/>
      <c r="C366" s="1"/>
      <c r="D366" s="1"/>
      <c r="E366" s="1"/>
      <c r="G366" s="4"/>
      <c r="H366" s="1"/>
    </row>
    <row r="367" spans="1:8" ht="19.5">
      <c r="A367" s="1"/>
      <c r="B367" s="1"/>
      <c r="C367" s="1"/>
      <c r="D367" s="1"/>
      <c r="E367" s="1"/>
      <c r="G367" s="4"/>
      <c r="H367" s="1"/>
    </row>
    <row r="368" spans="1:8" ht="19.5">
      <c r="A368" s="1"/>
      <c r="B368" s="1"/>
      <c r="C368" s="1"/>
      <c r="D368" s="1"/>
      <c r="E368" s="1"/>
      <c r="G368" s="4"/>
      <c r="H368" s="1"/>
    </row>
    <row r="369" spans="1:8" ht="19.5">
      <c r="A369" s="1"/>
      <c r="B369" s="1"/>
      <c r="C369" s="1"/>
      <c r="D369" s="1"/>
      <c r="E369" s="1"/>
      <c r="G369" s="4"/>
      <c r="H369" s="1"/>
    </row>
    <row r="370" spans="1:8" ht="19.5">
      <c r="A370" s="1"/>
      <c r="B370" s="1"/>
      <c r="C370" s="1"/>
      <c r="D370" s="1"/>
      <c r="E370" s="1"/>
      <c r="G370" s="4"/>
      <c r="H370" s="1"/>
    </row>
    <row r="371" spans="1:8" ht="19.5">
      <c r="A371" s="1"/>
      <c r="B371" s="1"/>
      <c r="C371" s="1"/>
      <c r="D371" s="1"/>
      <c r="E371" s="1"/>
      <c r="G371" s="4"/>
      <c r="H371" s="1"/>
    </row>
    <row r="372" spans="1:8" ht="19.5">
      <c r="A372" s="1"/>
      <c r="B372" s="1"/>
      <c r="C372" s="1"/>
      <c r="D372" s="1"/>
      <c r="E372" s="1"/>
      <c r="G372" s="4"/>
      <c r="H372" s="1"/>
    </row>
    <row r="373" spans="1:8" ht="19.5">
      <c r="A373" s="1"/>
      <c r="B373" s="1"/>
      <c r="C373" s="1"/>
      <c r="D373" s="1"/>
      <c r="E373" s="1"/>
      <c r="G373" s="4"/>
      <c r="H373" s="1"/>
    </row>
    <row r="374" spans="1:8" ht="19.5">
      <c r="A374" s="1"/>
      <c r="B374" s="1"/>
      <c r="C374" s="1"/>
      <c r="D374" s="1"/>
      <c r="E374" s="1"/>
      <c r="G374" s="4"/>
      <c r="H374" s="1"/>
    </row>
    <row r="375" spans="1:8" ht="19.5">
      <c r="A375" s="1"/>
      <c r="B375" s="1"/>
      <c r="C375" s="1"/>
      <c r="D375" s="1"/>
      <c r="E375" s="1"/>
      <c r="G375" s="4"/>
      <c r="H375" s="1"/>
    </row>
    <row r="376" spans="1:8" ht="19.5">
      <c r="A376" s="1"/>
      <c r="B376" s="1"/>
      <c r="C376" s="1"/>
      <c r="D376" s="1"/>
      <c r="E376" s="1"/>
      <c r="G376" s="4"/>
      <c r="H376" s="1"/>
    </row>
    <row r="377" spans="1:8" ht="19.5">
      <c r="A377" s="1"/>
      <c r="B377" s="1"/>
      <c r="C377" s="1"/>
      <c r="D377" s="1"/>
      <c r="E377" s="1"/>
      <c r="G377" s="4"/>
      <c r="H377" s="1"/>
    </row>
    <row r="378" spans="1:8" ht="19.5">
      <c r="A378" s="1"/>
      <c r="B378" s="1"/>
      <c r="C378" s="1"/>
      <c r="D378" s="1"/>
      <c r="E378" s="1"/>
      <c r="G378" s="4"/>
      <c r="H378" s="1"/>
    </row>
    <row r="379" spans="1:8" ht="19.5">
      <c r="A379" s="1"/>
      <c r="B379" s="1"/>
      <c r="C379" s="1"/>
      <c r="D379" s="1"/>
      <c r="E379" s="1"/>
      <c r="G379" s="4"/>
      <c r="H379" s="1"/>
    </row>
    <row r="380" spans="1:8" ht="19.5">
      <c r="A380" s="1"/>
      <c r="B380" s="1"/>
      <c r="C380" s="1"/>
      <c r="D380" s="1"/>
      <c r="E380" s="1"/>
      <c r="G380" s="4"/>
      <c r="H380" s="1"/>
    </row>
    <row r="381" spans="1:8" ht="19.5">
      <c r="A381" s="1"/>
      <c r="B381" s="1"/>
      <c r="C381" s="1"/>
      <c r="D381" s="1"/>
      <c r="E381" s="1"/>
      <c r="G381" s="4"/>
      <c r="H381" s="1"/>
    </row>
    <row r="382" spans="1:8" ht="19.5">
      <c r="A382" s="1"/>
      <c r="B382" s="1"/>
      <c r="C382" s="1"/>
      <c r="D382" s="1"/>
      <c r="E382" s="1"/>
      <c r="G382" s="4"/>
      <c r="H382" s="1"/>
    </row>
    <row r="383" spans="1:8" ht="19.5">
      <c r="A383" s="1"/>
      <c r="B383" s="1"/>
      <c r="C383" s="1"/>
      <c r="D383" s="1"/>
      <c r="E383" s="1"/>
      <c r="G383" s="4"/>
      <c r="H383" s="1"/>
    </row>
    <row r="384" spans="1:8" ht="19.5">
      <c r="A384" s="1"/>
      <c r="B384" s="1"/>
      <c r="C384" s="1"/>
      <c r="D384" s="1"/>
      <c r="E384" s="1"/>
      <c r="G384" s="4"/>
      <c r="H384" s="1"/>
    </row>
    <row r="385" spans="1:8" ht="19.5">
      <c r="A385" s="1"/>
      <c r="B385" s="1"/>
      <c r="C385" s="1"/>
      <c r="D385" s="1"/>
      <c r="E385" s="1"/>
      <c r="G385" s="4"/>
      <c r="H385" s="1"/>
    </row>
    <row r="386" spans="1:8" ht="19.5">
      <c r="A386" s="1"/>
      <c r="B386" s="1"/>
      <c r="C386" s="1"/>
      <c r="D386" s="1"/>
      <c r="E386" s="1"/>
      <c r="G386" s="4"/>
      <c r="H386" s="1"/>
    </row>
    <row r="387" spans="1:8" ht="19.5">
      <c r="A387" s="1"/>
      <c r="B387" s="1"/>
      <c r="C387" s="1"/>
      <c r="D387" s="1"/>
      <c r="E387" s="1"/>
      <c r="G387" s="4"/>
      <c r="H387" s="1"/>
    </row>
    <row r="388" spans="1:8" ht="19.5">
      <c r="A388" s="1"/>
      <c r="B388" s="1"/>
      <c r="C388" s="1"/>
      <c r="D388" s="1"/>
      <c r="E388" s="1"/>
      <c r="G388" s="4"/>
      <c r="H388" s="1"/>
    </row>
    <row r="389" spans="1:8" ht="19.5">
      <c r="A389" s="1"/>
      <c r="B389" s="1"/>
      <c r="C389" s="1"/>
      <c r="D389" s="1"/>
      <c r="E389" s="1"/>
      <c r="G389" s="4"/>
      <c r="H389" s="1"/>
    </row>
    <row r="390" spans="1:8" ht="19.5">
      <c r="A390" s="1"/>
      <c r="B390" s="1"/>
      <c r="C390" s="1"/>
      <c r="D390" s="1"/>
      <c r="E390" s="1"/>
      <c r="G390" s="4"/>
      <c r="H390" s="1"/>
    </row>
    <row r="391" spans="1:8" ht="19.5">
      <c r="A391" s="1"/>
      <c r="B391" s="1"/>
      <c r="C391" s="1"/>
      <c r="D391" s="1"/>
      <c r="E391" s="1"/>
      <c r="G391" s="4"/>
      <c r="H391" s="1"/>
    </row>
    <row r="392" spans="1:8" ht="19.5">
      <c r="A392" s="1"/>
      <c r="B392" s="1"/>
      <c r="C392" s="1"/>
      <c r="D392" s="1"/>
      <c r="E392" s="1"/>
      <c r="G392" s="4"/>
      <c r="H392" s="1"/>
    </row>
    <row r="393" spans="1:8" ht="19.5">
      <c r="A393" s="1"/>
      <c r="B393" s="1"/>
      <c r="C393" s="1"/>
      <c r="D393" s="1"/>
      <c r="E393" s="1"/>
      <c r="G393" s="4"/>
      <c r="H393" s="1"/>
    </row>
    <row r="394" spans="1:8" ht="19.5">
      <c r="A394" s="1"/>
      <c r="B394" s="1"/>
      <c r="C394" s="1"/>
      <c r="D394" s="1"/>
      <c r="E394" s="1"/>
      <c r="G394" s="4"/>
      <c r="H394" s="1"/>
    </row>
    <row r="395" spans="1:8" ht="19.5">
      <c r="A395" s="1"/>
      <c r="B395" s="1"/>
      <c r="C395" s="1"/>
      <c r="D395" s="1"/>
      <c r="E395" s="1"/>
      <c r="G395" s="4"/>
      <c r="H395" s="1"/>
    </row>
    <row r="396" spans="1:8" ht="19.5">
      <c r="A396" s="1"/>
      <c r="B396" s="1"/>
      <c r="C396" s="1"/>
      <c r="D396" s="1"/>
      <c r="E396" s="1"/>
      <c r="G396" s="4"/>
      <c r="H396" s="1"/>
    </row>
    <row r="397" spans="1:8" ht="19.5">
      <c r="A397" s="1"/>
      <c r="B397" s="1"/>
      <c r="C397" s="1"/>
      <c r="D397" s="1"/>
      <c r="E397" s="1"/>
      <c r="G397" s="4"/>
      <c r="H397" s="1"/>
    </row>
    <row r="398" spans="1:8" ht="19.5">
      <c r="A398" s="1"/>
      <c r="B398" s="1"/>
      <c r="C398" s="1"/>
      <c r="D398" s="1"/>
      <c r="E398" s="1"/>
      <c r="G398" s="4"/>
      <c r="H398" s="1"/>
    </row>
    <row r="399" spans="1:8" ht="19.5">
      <c r="A399" s="1"/>
      <c r="B399" s="1"/>
      <c r="C399" s="1"/>
      <c r="D399" s="1"/>
      <c r="E399" s="1"/>
      <c r="G399" s="4"/>
      <c r="H399" s="1"/>
    </row>
    <row r="400" spans="1:8" ht="19.5">
      <c r="A400" s="1"/>
      <c r="B400" s="1"/>
      <c r="C400" s="1"/>
      <c r="D400" s="1"/>
      <c r="E400" s="1"/>
      <c r="G400" s="4"/>
      <c r="H400" s="1"/>
    </row>
    <row r="401" spans="1:8" ht="19.5">
      <c r="A401" s="1"/>
      <c r="B401" s="1"/>
      <c r="C401" s="1"/>
      <c r="D401" s="1"/>
      <c r="E401" s="1"/>
      <c r="G401" s="4"/>
      <c r="H401" s="1"/>
    </row>
    <row r="402" spans="1:8" ht="19.5">
      <c r="A402" s="1"/>
      <c r="B402" s="1"/>
      <c r="C402" s="1"/>
      <c r="D402" s="1"/>
      <c r="E402" s="1"/>
      <c r="G402" s="4"/>
      <c r="H402" s="1"/>
    </row>
    <row r="403" spans="1:8" ht="19.5">
      <c r="A403" s="1"/>
      <c r="B403" s="1"/>
      <c r="C403" s="1"/>
      <c r="D403" s="1"/>
      <c r="E403" s="1"/>
      <c r="G403" s="4"/>
      <c r="H403" s="1"/>
    </row>
    <row r="404" spans="1:8" ht="19.5">
      <c r="A404" s="1"/>
      <c r="B404" s="1"/>
      <c r="C404" s="1"/>
      <c r="D404" s="1"/>
      <c r="E404" s="1"/>
      <c r="G404" s="4"/>
      <c r="H404" s="1"/>
    </row>
    <row r="405" spans="1:8" ht="19.5">
      <c r="A405" s="1"/>
      <c r="B405" s="1"/>
      <c r="C405" s="1"/>
      <c r="D405" s="1"/>
      <c r="E405" s="1"/>
      <c r="G405" s="4"/>
      <c r="H405" s="1"/>
    </row>
    <row r="406" spans="1:8" ht="19.5">
      <c r="A406" s="1"/>
      <c r="B406" s="1"/>
      <c r="C406" s="1"/>
      <c r="D406" s="1"/>
      <c r="E406" s="1"/>
      <c r="G406" s="4"/>
      <c r="H406" s="1"/>
    </row>
    <row r="407" spans="1:8" ht="19.5">
      <c r="A407" s="1"/>
      <c r="B407" s="1"/>
      <c r="C407" s="1"/>
      <c r="D407" s="1"/>
      <c r="E407" s="1"/>
      <c r="G407" s="4"/>
      <c r="H407" s="1"/>
    </row>
    <row r="408" spans="1:8" ht="19.5">
      <c r="A408" s="1"/>
      <c r="B408" s="1"/>
      <c r="C408" s="1"/>
      <c r="D408" s="1"/>
      <c r="E408" s="1"/>
      <c r="G408" s="4"/>
      <c r="H408" s="1"/>
    </row>
    <row r="409" spans="1:8" ht="19.5">
      <c r="A409" s="1"/>
      <c r="B409" s="1"/>
      <c r="C409" s="1"/>
      <c r="D409" s="1"/>
      <c r="E409" s="1"/>
      <c r="G409" s="4"/>
      <c r="H409" s="1"/>
    </row>
    <row r="410" spans="1:8" ht="19.5">
      <c r="A410" s="1"/>
      <c r="B410" s="1"/>
      <c r="C410" s="1"/>
      <c r="D410" s="1"/>
      <c r="E410" s="1"/>
      <c r="G410" s="4"/>
      <c r="H410" s="1"/>
    </row>
    <row r="411" spans="1:8" ht="19.5">
      <c r="A411" s="1"/>
      <c r="B411" s="1"/>
      <c r="C411" s="1"/>
      <c r="D411" s="1"/>
      <c r="E411" s="1"/>
      <c r="G411" s="4"/>
      <c r="H411" s="1"/>
    </row>
    <row r="412" spans="1:8" ht="19.5">
      <c r="A412" s="1"/>
      <c r="B412" s="1"/>
      <c r="C412" s="1"/>
      <c r="D412" s="1"/>
      <c r="E412" s="1"/>
      <c r="G412" s="4"/>
      <c r="H412" s="1"/>
    </row>
    <row r="413" spans="1:8" ht="19.5">
      <c r="A413" s="1"/>
      <c r="B413" s="1"/>
      <c r="C413" s="1"/>
      <c r="D413" s="1"/>
      <c r="E413" s="1"/>
      <c r="G413" s="4"/>
      <c r="H413" s="1"/>
    </row>
    <row r="414" spans="1:8" ht="19.5">
      <c r="A414" s="1"/>
      <c r="B414" s="1"/>
      <c r="C414" s="1"/>
      <c r="D414" s="1"/>
      <c r="E414" s="1"/>
      <c r="G414" s="4"/>
      <c r="H414" s="1"/>
    </row>
    <row r="415" spans="1:8" ht="19.5">
      <c r="A415" s="1"/>
      <c r="B415" s="1"/>
      <c r="C415" s="1"/>
      <c r="D415" s="1"/>
      <c r="E415" s="1"/>
      <c r="G415" s="4"/>
      <c r="H415" s="1"/>
    </row>
    <row r="416" spans="1:8" ht="19.5">
      <c r="A416" s="1"/>
      <c r="B416" s="1"/>
      <c r="C416" s="1"/>
      <c r="D416" s="1"/>
      <c r="E416" s="1"/>
      <c r="G416" s="4"/>
      <c r="H416" s="1"/>
    </row>
    <row r="417" spans="1:8" ht="19.5">
      <c r="A417" s="1"/>
      <c r="B417" s="1"/>
      <c r="C417" s="1"/>
      <c r="D417" s="1"/>
      <c r="E417" s="1"/>
      <c r="G417" s="4"/>
      <c r="H417" s="1"/>
    </row>
    <row r="418" spans="1:8" ht="19.5">
      <c r="A418" s="1"/>
      <c r="B418" s="1"/>
      <c r="C418" s="1"/>
      <c r="D418" s="1"/>
      <c r="E418" s="1"/>
      <c r="G418" s="4"/>
      <c r="H418" s="1"/>
    </row>
    <row r="419" spans="1:8" ht="19.5">
      <c r="A419" s="1"/>
      <c r="B419" s="1"/>
      <c r="C419" s="1"/>
      <c r="D419" s="1"/>
      <c r="E419" s="1"/>
      <c r="G419" s="4"/>
      <c r="H419" s="1"/>
    </row>
    <row r="420" spans="1:8" ht="19.5">
      <c r="A420" s="1"/>
      <c r="B420" s="1"/>
      <c r="C420" s="1"/>
      <c r="D420" s="1"/>
      <c r="E420" s="1"/>
      <c r="G420" s="4"/>
      <c r="H420" s="1"/>
    </row>
    <row r="421" spans="1:8" ht="19.5">
      <c r="A421" s="1"/>
      <c r="B421" s="1"/>
      <c r="C421" s="1"/>
      <c r="D421" s="1"/>
      <c r="E421" s="1"/>
      <c r="G421" s="4"/>
      <c r="H421" s="1"/>
    </row>
    <row r="422" spans="1:8" ht="19.5">
      <c r="A422" s="1"/>
      <c r="B422" s="1"/>
      <c r="C422" s="1"/>
      <c r="D422" s="1"/>
      <c r="E422" s="1"/>
      <c r="G422" s="4"/>
      <c r="H422" s="1"/>
    </row>
    <row r="423" spans="1:8" ht="19.5">
      <c r="A423" s="1"/>
      <c r="B423" s="1"/>
      <c r="C423" s="1"/>
      <c r="D423" s="1"/>
      <c r="E423" s="1"/>
      <c r="G423" s="4"/>
      <c r="H423" s="1"/>
    </row>
    <row r="424" spans="1:8" ht="19.5">
      <c r="A424" s="1"/>
      <c r="B424" s="1"/>
      <c r="C424" s="1"/>
      <c r="D424" s="1"/>
      <c r="E424" s="1"/>
      <c r="G424" s="4"/>
      <c r="H424" s="1"/>
    </row>
    <row r="425" spans="1:8" ht="19.5">
      <c r="A425" s="1"/>
      <c r="B425" s="1"/>
      <c r="C425" s="1"/>
      <c r="D425" s="1"/>
      <c r="E425" s="1"/>
      <c r="G425" s="4"/>
      <c r="H425" s="1"/>
    </row>
    <row r="426" spans="1:8" ht="19.5">
      <c r="A426" s="1"/>
      <c r="B426" s="1"/>
      <c r="C426" s="1"/>
      <c r="D426" s="1"/>
      <c r="E426" s="1"/>
      <c r="G426" s="4"/>
      <c r="H426" s="1"/>
    </row>
    <row r="427" spans="1:8" ht="19.5">
      <c r="A427" s="1"/>
      <c r="B427" s="1"/>
      <c r="C427" s="1"/>
      <c r="D427" s="1"/>
      <c r="E427" s="1"/>
      <c r="G427" s="4"/>
      <c r="H427" s="1"/>
    </row>
    <row r="428" spans="1:8" ht="19.5">
      <c r="A428" s="1"/>
      <c r="B428" s="1"/>
      <c r="C428" s="1"/>
      <c r="D428" s="1"/>
      <c r="E428" s="1"/>
      <c r="G428" s="4"/>
      <c r="H428" s="1"/>
    </row>
    <row r="429" spans="1:8" ht="19.5">
      <c r="A429" s="1"/>
      <c r="B429" s="1"/>
      <c r="C429" s="1"/>
      <c r="D429" s="1"/>
      <c r="E429" s="1"/>
      <c r="G429" s="4"/>
      <c r="H429" s="1"/>
    </row>
    <row r="430" spans="1:8" ht="19.5">
      <c r="A430" s="1"/>
      <c r="B430" s="1"/>
      <c r="C430" s="1"/>
      <c r="D430" s="1"/>
      <c r="E430" s="1"/>
      <c r="G430" s="4"/>
      <c r="H430" s="1"/>
    </row>
    <row r="431" spans="1:8" ht="19.5">
      <c r="A431" s="1"/>
      <c r="B431" s="1"/>
      <c r="C431" s="1"/>
      <c r="D431" s="1"/>
      <c r="E431" s="1"/>
      <c r="G431" s="4"/>
      <c r="H431" s="1"/>
    </row>
    <row r="432" spans="1:8" ht="19.5">
      <c r="A432" s="1"/>
      <c r="B432" s="1"/>
      <c r="C432" s="1"/>
      <c r="D432" s="1"/>
      <c r="E432" s="1"/>
      <c r="G432" s="4"/>
      <c r="H432" s="1"/>
    </row>
    <row r="433" spans="1:8" ht="19.5">
      <c r="A433" s="1"/>
      <c r="B433" s="1"/>
      <c r="C433" s="1"/>
      <c r="D433" s="1"/>
      <c r="E433" s="1"/>
      <c r="G433" s="4"/>
      <c r="H433" s="1"/>
    </row>
    <row r="434" spans="1:8" ht="19.5">
      <c r="A434" s="1"/>
      <c r="B434" s="1"/>
      <c r="C434" s="1"/>
      <c r="D434" s="1"/>
      <c r="E434" s="1"/>
      <c r="G434" s="4"/>
      <c r="H434" s="1"/>
    </row>
    <row r="435" spans="1:8" ht="19.5">
      <c r="A435" s="1"/>
      <c r="B435" s="1"/>
      <c r="C435" s="1"/>
      <c r="D435" s="1"/>
      <c r="E435" s="1"/>
      <c r="G435" s="4"/>
      <c r="H435" s="1"/>
    </row>
    <row r="436" spans="1:8" ht="19.5">
      <c r="A436" s="1"/>
      <c r="B436" s="1"/>
      <c r="C436" s="1"/>
      <c r="D436" s="1"/>
      <c r="E436" s="1"/>
      <c r="G436" s="4"/>
      <c r="H436" s="1"/>
    </row>
    <row r="437" spans="1:8" ht="19.5">
      <c r="A437" s="1"/>
      <c r="B437" s="1"/>
      <c r="C437" s="1"/>
      <c r="D437" s="1"/>
      <c r="E437" s="1"/>
      <c r="G437" s="4"/>
      <c r="H437" s="1"/>
    </row>
    <row r="438" spans="1:8" ht="19.5">
      <c r="A438" s="1"/>
      <c r="B438" s="1"/>
      <c r="C438" s="1"/>
      <c r="D438" s="1"/>
      <c r="E438" s="1"/>
      <c r="G438" s="4"/>
      <c r="H438" s="1"/>
    </row>
    <row r="439" spans="1:8" ht="19.5">
      <c r="A439" s="1"/>
      <c r="B439" s="1"/>
      <c r="C439" s="1"/>
      <c r="D439" s="1"/>
      <c r="E439" s="1"/>
      <c r="G439" s="4"/>
      <c r="H439" s="1"/>
    </row>
    <row r="440" spans="1:8" ht="19.5">
      <c r="A440" s="1"/>
      <c r="B440" s="1"/>
      <c r="C440" s="1"/>
      <c r="D440" s="1"/>
      <c r="E440" s="1"/>
      <c r="G440" s="4"/>
      <c r="H440" s="1"/>
    </row>
    <row r="441" spans="1:8" ht="19.5">
      <c r="A441" s="1"/>
      <c r="B441" s="1"/>
      <c r="C441" s="1"/>
      <c r="D441" s="1"/>
      <c r="E441" s="1"/>
      <c r="G441" s="4"/>
      <c r="H441" s="1"/>
    </row>
    <row r="442" spans="1:8" ht="19.5">
      <c r="A442" s="1"/>
      <c r="B442" s="1"/>
      <c r="C442" s="1"/>
      <c r="D442" s="1"/>
      <c r="E442" s="1"/>
      <c r="G442" s="4"/>
      <c r="H442" s="1"/>
    </row>
    <row r="443" spans="1:8" ht="19.5">
      <c r="A443" s="1"/>
      <c r="B443" s="1"/>
      <c r="C443" s="1"/>
      <c r="D443" s="1"/>
      <c r="E443" s="1"/>
      <c r="G443" s="4"/>
      <c r="H443" s="1"/>
    </row>
    <row r="444" spans="1:8" ht="19.5">
      <c r="A444" s="1"/>
      <c r="B444" s="1"/>
      <c r="C444" s="1"/>
      <c r="D444" s="1"/>
      <c r="E444" s="1"/>
      <c r="G444" s="4"/>
      <c r="H444" s="1"/>
    </row>
    <row r="445" spans="1:8" ht="19.5">
      <c r="A445" s="1"/>
      <c r="B445" s="1"/>
      <c r="C445" s="1"/>
      <c r="D445" s="1"/>
      <c r="E445" s="1"/>
      <c r="G445" s="4"/>
      <c r="H445" s="1"/>
    </row>
    <row r="446" spans="1:8" ht="19.5">
      <c r="A446" s="1"/>
      <c r="B446" s="1"/>
      <c r="C446" s="1"/>
      <c r="D446" s="1"/>
      <c r="E446" s="1"/>
      <c r="G446" s="4"/>
      <c r="H446" s="1"/>
    </row>
    <row r="447" spans="1:8" ht="19.5">
      <c r="A447" s="1"/>
      <c r="B447" s="1"/>
      <c r="C447" s="1"/>
      <c r="D447" s="1"/>
      <c r="E447" s="1"/>
      <c r="G447" s="4"/>
      <c r="H447" s="1"/>
    </row>
    <row r="448" spans="1:8" ht="19.5">
      <c r="A448" s="1"/>
      <c r="B448" s="1"/>
      <c r="C448" s="1"/>
      <c r="D448" s="1"/>
      <c r="E448" s="1"/>
      <c r="G448" s="4"/>
      <c r="H448" s="1"/>
    </row>
    <row r="449" spans="1:8" ht="19.5">
      <c r="A449" s="1"/>
      <c r="B449" s="1"/>
      <c r="C449" s="1"/>
      <c r="D449" s="1"/>
      <c r="E449" s="1"/>
      <c r="G449" s="4"/>
      <c r="H449" s="1"/>
    </row>
    <row r="450" spans="1:8" ht="19.5">
      <c r="A450" s="1"/>
      <c r="B450" s="1"/>
      <c r="C450" s="1"/>
      <c r="D450" s="1"/>
      <c r="E450" s="1"/>
      <c r="G450" s="4"/>
      <c r="H450" s="1"/>
    </row>
    <row r="451" spans="1:8" ht="19.5">
      <c r="A451" s="1"/>
      <c r="B451" s="1"/>
      <c r="C451" s="1"/>
      <c r="D451" s="1"/>
      <c r="E451" s="1"/>
      <c r="G451" s="4"/>
      <c r="H451" s="1"/>
    </row>
    <row r="452" spans="1:8" ht="19.5">
      <c r="A452" s="1"/>
      <c r="B452" s="1"/>
      <c r="C452" s="1"/>
      <c r="D452" s="1"/>
      <c r="E452" s="1"/>
      <c r="G452" s="4"/>
      <c r="H452" s="1"/>
    </row>
    <row r="453" spans="1:8" ht="19.5">
      <c r="A453" s="1"/>
      <c r="B453" s="1"/>
      <c r="C453" s="1"/>
      <c r="D453" s="1"/>
      <c r="E453" s="1"/>
      <c r="G453" s="4"/>
      <c r="H453" s="1"/>
    </row>
    <row r="454" spans="1:8" ht="19.5">
      <c r="A454" s="1"/>
      <c r="B454" s="1"/>
      <c r="C454" s="1"/>
      <c r="D454" s="1"/>
      <c r="E454" s="1"/>
      <c r="G454" s="4"/>
      <c r="H454" s="1"/>
    </row>
    <row r="455" spans="1:8" ht="19.5">
      <c r="A455" s="1"/>
      <c r="B455" s="1"/>
      <c r="C455" s="1"/>
      <c r="D455" s="1"/>
      <c r="E455" s="1"/>
      <c r="G455" s="4"/>
      <c r="H455" s="1"/>
    </row>
    <row r="456" spans="1:8" ht="19.5">
      <c r="A456" s="1"/>
      <c r="B456" s="1"/>
      <c r="C456" s="1"/>
      <c r="D456" s="1"/>
      <c r="E456" s="1"/>
      <c r="G456" s="4"/>
      <c r="H456" s="1"/>
    </row>
    <row r="457" spans="1:8" ht="19.5">
      <c r="A457" s="1"/>
      <c r="B457" s="1"/>
      <c r="C457" s="1"/>
      <c r="D457" s="1"/>
      <c r="E457" s="1"/>
      <c r="G457" s="4"/>
      <c r="H457" s="1"/>
    </row>
    <row r="458" spans="1:8" ht="19.5">
      <c r="A458" s="1"/>
      <c r="B458" s="1"/>
      <c r="C458" s="1"/>
      <c r="D458" s="1"/>
      <c r="E458" s="1"/>
      <c r="G458" s="4"/>
      <c r="H458" s="1"/>
    </row>
    <row r="459" spans="1:8" ht="19.5">
      <c r="A459" s="1"/>
      <c r="B459" s="1"/>
      <c r="C459" s="1"/>
      <c r="D459" s="1"/>
      <c r="E459" s="1"/>
      <c r="G459" s="4"/>
      <c r="H459" s="1"/>
    </row>
    <row r="460" spans="1:8" ht="19.5">
      <c r="A460" s="1"/>
      <c r="B460" s="1"/>
      <c r="C460" s="1"/>
      <c r="D460" s="1"/>
      <c r="E460" s="1"/>
      <c r="G460" s="4"/>
      <c r="H460" s="1"/>
    </row>
    <row r="461" spans="1:8" ht="19.5">
      <c r="A461" s="1"/>
      <c r="B461" s="1"/>
      <c r="C461" s="1"/>
      <c r="D461" s="1"/>
      <c r="E461" s="1"/>
      <c r="G461" s="4"/>
      <c r="H461" s="1"/>
    </row>
    <row r="462" spans="1:8" ht="19.5">
      <c r="A462" s="1"/>
      <c r="B462" s="1"/>
      <c r="C462" s="1"/>
      <c r="D462" s="1"/>
      <c r="E462" s="1"/>
      <c r="G462" s="4"/>
      <c r="H462" s="1"/>
    </row>
    <row r="463" spans="1:8" ht="19.5">
      <c r="A463" s="1"/>
      <c r="B463" s="1"/>
      <c r="C463" s="1"/>
      <c r="D463" s="1"/>
      <c r="E463" s="1"/>
      <c r="G463" s="4"/>
      <c r="H463" s="1"/>
    </row>
    <row r="464" spans="1:8" ht="19.5">
      <c r="A464" s="1"/>
      <c r="B464" s="1"/>
      <c r="C464" s="1"/>
      <c r="D464" s="1"/>
      <c r="E464" s="1"/>
      <c r="G464" s="4"/>
      <c r="H464" s="1"/>
    </row>
    <row r="465" spans="1:8" ht="19.5">
      <c r="A465" s="1"/>
      <c r="B465" s="1"/>
      <c r="C465" s="1"/>
      <c r="D465" s="1"/>
      <c r="E465" s="1"/>
      <c r="G465" s="4"/>
      <c r="H465" s="1"/>
    </row>
    <row r="466" spans="1:8" ht="19.5">
      <c r="A466" s="1"/>
      <c r="B466" s="1"/>
      <c r="C466" s="1"/>
      <c r="D466" s="1"/>
      <c r="E466" s="1"/>
      <c r="G466" s="4"/>
      <c r="H466" s="1"/>
    </row>
    <row r="467" spans="1:8" ht="19.5">
      <c r="A467" s="1"/>
      <c r="B467" s="1"/>
      <c r="C467" s="1"/>
      <c r="D467" s="1"/>
      <c r="E467" s="1"/>
      <c r="G467" s="4"/>
      <c r="H467" s="1"/>
    </row>
    <row r="468" spans="1:8" ht="19.5">
      <c r="A468" s="1"/>
      <c r="B468" s="1"/>
      <c r="C468" s="1"/>
      <c r="D468" s="1"/>
      <c r="E468" s="1"/>
      <c r="G468" s="4"/>
      <c r="H468" s="1"/>
    </row>
    <row r="469" spans="1:8" ht="19.5">
      <c r="A469" s="1"/>
      <c r="B469" s="1"/>
      <c r="C469" s="1"/>
      <c r="D469" s="1"/>
      <c r="E469" s="1"/>
      <c r="G469" s="4"/>
      <c r="H469" s="1"/>
    </row>
    <row r="470" spans="1:8" ht="19.5">
      <c r="A470" s="1"/>
      <c r="B470" s="1"/>
      <c r="C470" s="1"/>
      <c r="D470" s="1"/>
      <c r="E470" s="1"/>
      <c r="G470" s="4"/>
      <c r="H470" s="1"/>
    </row>
    <row r="471" spans="1:8" ht="19.5">
      <c r="A471" s="1"/>
      <c r="B471" s="1"/>
      <c r="C471" s="1"/>
      <c r="D471" s="1"/>
      <c r="E471" s="1"/>
      <c r="G471" s="4"/>
      <c r="H471" s="1"/>
    </row>
    <row r="472" spans="1:8" ht="19.5">
      <c r="A472" s="1"/>
      <c r="B472" s="1"/>
      <c r="C472" s="1"/>
      <c r="D472" s="1"/>
      <c r="E472" s="1"/>
      <c r="G472" s="4"/>
      <c r="H472" s="1"/>
    </row>
    <row r="473" spans="1:8" ht="19.5">
      <c r="A473" s="1"/>
      <c r="B473" s="1"/>
      <c r="C473" s="1"/>
      <c r="D473" s="1"/>
      <c r="E473" s="1"/>
      <c r="G473" s="4"/>
      <c r="H473" s="1"/>
    </row>
    <row r="474" spans="1:8" ht="19.5">
      <c r="A474" s="1"/>
      <c r="B474" s="1"/>
      <c r="C474" s="1"/>
      <c r="D474" s="1"/>
      <c r="E474" s="1"/>
      <c r="G474" s="4"/>
      <c r="H474" s="1"/>
    </row>
    <row r="475" spans="1:8" ht="19.5">
      <c r="A475" s="1"/>
      <c r="B475" s="1"/>
      <c r="C475" s="1"/>
      <c r="D475" s="1"/>
      <c r="E475" s="1"/>
      <c r="G475" s="4"/>
      <c r="H475" s="1"/>
    </row>
    <row r="476" spans="1:8" ht="19.5">
      <c r="A476" s="1"/>
      <c r="B476" s="1"/>
      <c r="C476" s="1"/>
      <c r="D476" s="1"/>
      <c r="E476" s="1"/>
      <c r="G476" s="4"/>
      <c r="H476" s="1"/>
    </row>
    <row r="477" spans="1:8" ht="19.5">
      <c r="A477" s="1"/>
      <c r="B477" s="1"/>
      <c r="C477" s="1"/>
      <c r="D477" s="1"/>
      <c r="E477" s="1"/>
      <c r="G477" s="4"/>
      <c r="H477" s="1"/>
    </row>
    <row r="478" spans="1:8" ht="19.5">
      <c r="A478" s="1"/>
      <c r="B478" s="1"/>
      <c r="C478" s="1"/>
      <c r="D478" s="1"/>
      <c r="E478" s="1"/>
      <c r="G478" s="4"/>
      <c r="H478" s="1"/>
    </row>
    <row r="479" spans="1:8" ht="19.5">
      <c r="A479" s="1"/>
      <c r="B479" s="1"/>
      <c r="C479" s="1"/>
      <c r="D479" s="1"/>
      <c r="E479" s="1"/>
      <c r="G479" s="4"/>
      <c r="H479" s="1"/>
    </row>
    <row r="480" spans="1:8" ht="19.5">
      <c r="A480" s="1"/>
      <c r="B480" s="1"/>
      <c r="C480" s="1"/>
      <c r="D480" s="1"/>
      <c r="E480" s="1"/>
      <c r="G480" s="4"/>
      <c r="H480" s="1"/>
    </row>
    <row r="481" spans="1:8" ht="19.5">
      <c r="A481" s="1"/>
      <c r="B481" s="1"/>
      <c r="C481" s="1"/>
      <c r="D481" s="1"/>
      <c r="E481" s="1"/>
      <c r="G481" s="4"/>
      <c r="H481" s="1"/>
    </row>
    <row r="482" spans="1:8" ht="19.5">
      <c r="A482" s="1"/>
      <c r="B482" s="1"/>
      <c r="C482" s="1"/>
      <c r="D482" s="1"/>
      <c r="E482" s="1"/>
      <c r="G482" s="4"/>
      <c r="H482" s="1"/>
    </row>
    <row r="483" spans="1:8" ht="19.5">
      <c r="A483" s="1"/>
      <c r="B483" s="1"/>
      <c r="C483" s="1"/>
      <c r="D483" s="1"/>
      <c r="E483" s="1"/>
      <c r="G483" s="4"/>
      <c r="H483" s="1"/>
    </row>
    <row r="484" spans="1:8" ht="19.5">
      <c r="A484" s="1"/>
      <c r="B484" s="1"/>
      <c r="C484" s="1"/>
      <c r="D484" s="1"/>
      <c r="E484" s="1"/>
      <c r="G484" s="4"/>
      <c r="H484" s="1"/>
    </row>
    <row r="485" spans="1:8" ht="19.5">
      <c r="A485" s="1"/>
      <c r="B485" s="1"/>
      <c r="C485" s="1"/>
      <c r="D485" s="1"/>
      <c r="E485" s="1"/>
      <c r="G485" s="4"/>
      <c r="H485" s="1"/>
    </row>
    <row r="486" spans="1:8" ht="19.5">
      <c r="A486" s="1"/>
      <c r="B486" s="1"/>
      <c r="C486" s="1"/>
      <c r="D486" s="1"/>
      <c r="E486" s="1"/>
      <c r="G486" s="4"/>
      <c r="H486" s="1"/>
    </row>
    <row r="487" spans="1:8" ht="19.5">
      <c r="A487" s="1"/>
      <c r="B487" s="1"/>
      <c r="C487" s="1"/>
      <c r="D487" s="1"/>
      <c r="E487" s="1"/>
      <c r="G487" s="4"/>
      <c r="H487" s="1"/>
    </row>
    <row r="488" spans="1:8" ht="19.5">
      <c r="A488" s="1"/>
      <c r="B488" s="1"/>
      <c r="C488" s="1"/>
      <c r="D488" s="1"/>
      <c r="E488" s="1"/>
      <c r="G488" s="4"/>
      <c r="H488" s="1"/>
    </row>
    <row r="489" spans="1:8" ht="19.5">
      <c r="A489" s="1"/>
      <c r="B489" s="1"/>
      <c r="C489" s="1"/>
      <c r="D489" s="1"/>
      <c r="E489" s="1"/>
      <c r="G489" s="4"/>
      <c r="H489" s="1"/>
    </row>
    <row r="490" spans="1:8" ht="19.5">
      <c r="A490" s="1"/>
      <c r="B490" s="1"/>
      <c r="C490" s="1"/>
      <c r="D490" s="1"/>
      <c r="E490" s="1"/>
      <c r="G490" s="4"/>
      <c r="H490" s="1"/>
    </row>
    <row r="491" spans="1:8" ht="19.5">
      <c r="A491" s="1"/>
      <c r="B491" s="1"/>
      <c r="C491" s="1"/>
      <c r="D491" s="1"/>
      <c r="E491" s="1"/>
      <c r="G491" s="4"/>
      <c r="H491" s="1"/>
    </row>
    <row r="492" spans="1:8" ht="19.5">
      <c r="A492" s="1"/>
      <c r="B492" s="1"/>
      <c r="C492" s="1"/>
      <c r="D492" s="1"/>
      <c r="E492" s="1"/>
      <c r="G492" s="4"/>
      <c r="H492" s="1"/>
    </row>
    <row r="493" spans="1:8" ht="19.5">
      <c r="A493" s="1"/>
      <c r="B493" s="1"/>
      <c r="C493" s="1"/>
      <c r="D493" s="1"/>
      <c r="E493" s="1"/>
      <c r="G493" s="4"/>
      <c r="H493" s="1"/>
    </row>
    <row r="494" spans="1:8" ht="19.5">
      <c r="A494" s="1"/>
      <c r="B494" s="1"/>
      <c r="C494" s="1"/>
      <c r="D494" s="1"/>
      <c r="E494" s="1"/>
      <c r="G494" s="4"/>
      <c r="H494" s="1"/>
    </row>
    <row r="495" spans="1:8" ht="19.5">
      <c r="A495" s="1"/>
      <c r="B495" s="1"/>
      <c r="C495" s="1"/>
      <c r="D495" s="1"/>
      <c r="E495" s="1"/>
      <c r="G495" s="4"/>
      <c r="H495" s="1"/>
    </row>
    <row r="496" spans="1:8" ht="19.5">
      <c r="A496" s="1"/>
      <c r="B496" s="1"/>
      <c r="C496" s="1"/>
      <c r="D496" s="1"/>
      <c r="E496" s="1"/>
      <c r="G496" s="4"/>
      <c r="H496" s="1"/>
    </row>
    <row r="497" spans="1:8" ht="19.5">
      <c r="A497" s="1"/>
      <c r="B497" s="1"/>
      <c r="C497" s="1"/>
      <c r="D497" s="1"/>
      <c r="E497" s="1"/>
      <c r="G497" s="4"/>
      <c r="H497" s="1"/>
    </row>
    <row r="498" spans="1:8" ht="19.5">
      <c r="A498" s="1"/>
      <c r="B498" s="1"/>
      <c r="C498" s="1"/>
      <c r="D498" s="1"/>
      <c r="E498" s="1"/>
      <c r="G498" s="4"/>
      <c r="H498" s="1"/>
    </row>
    <row r="499" spans="1:8" ht="19.5">
      <c r="A499" s="1"/>
      <c r="B499" s="1"/>
      <c r="C499" s="1"/>
      <c r="D499" s="1"/>
      <c r="E499" s="1"/>
      <c r="G499" s="4"/>
      <c r="H499" s="1"/>
    </row>
    <row r="500" spans="1:8" ht="19.5">
      <c r="A500" s="1"/>
      <c r="B500" s="1"/>
      <c r="C500" s="1"/>
      <c r="D500" s="1"/>
      <c r="E500" s="1"/>
      <c r="G500" s="4"/>
      <c r="H500" s="1"/>
    </row>
    <row r="501" spans="1:8" ht="19.5">
      <c r="A501" s="1"/>
      <c r="B501" s="1"/>
      <c r="C501" s="1"/>
      <c r="D501" s="1"/>
      <c r="E501" s="1"/>
      <c r="G501" s="4"/>
      <c r="H501" s="1"/>
    </row>
    <row r="502" spans="1:8" ht="19.5">
      <c r="A502" s="1"/>
      <c r="B502" s="1"/>
      <c r="C502" s="1"/>
      <c r="D502" s="1"/>
      <c r="E502" s="1"/>
      <c r="G502" s="4"/>
      <c r="H502" s="1"/>
    </row>
    <row r="503" spans="1:8" ht="19.5">
      <c r="A503" s="1"/>
      <c r="B503" s="1"/>
      <c r="C503" s="1"/>
      <c r="D503" s="1"/>
      <c r="E503" s="1"/>
      <c r="G503" s="4"/>
      <c r="H503" s="1"/>
    </row>
    <row r="504" spans="1:8" ht="19.5">
      <c r="A504" s="1"/>
      <c r="B504" s="1"/>
      <c r="C504" s="1"/>
      <c r="D504" s="1"/>
      <c r="E504" s="1"/>
      <c r="G504" s="4"/>
      <c r="H504" s="1"/>
    </row>
    <row r="505" spans="1:8" ht="19.5">
      <c r="A505" s="1"/>
      <c r="B505" s="1"/>
      <c r="C505" s="1"/>
      <c r="D505" s="1"/>
      <c r="E505" s="1"/>
      <c r="G505" s="4"/>
      <c r="H505" s="1"/>
    </row>
    <row r="506" spans="1:8" ht="19.5">
      <c r="A506" s="1"/>
      <c r="B506" s="1"/>
      <c r="C506" s="1"/>
      <c r="D506" s="1"/>
      <c r="E506" s="1"/>
      <c r="G506" s="4"/>
      <c r="H506" s="1"/>
    </row>
    <row r="507" spans="1:8" ht="19.5">
      <c r="A507" s="1"/>
      <c r="B507" s="1"/>
      <c r="C507" s="1"/>
      <c r="D507" s="1"/>
      <c r="E507" s="1"/>
      <c r="G507" s="4"/>
      <c r="H507" s="1"/>
    </row>
    <row r="508" spans="1:8" ht="19.5">
      <c r="A508" s="1"/>
      <c r="B508" s="1"/>
      <c r="C508" s="1"/>
      <c r="D508" s="1"/>
      <c r="E508" s="1"/>
      <c r="G508" s="4"/>
      <c r="H508" s="1"/>
    </row>
    <row r="509" spans="1:8" ht="19.5">
      <c r="A509" s="1"/>
      <c r="B509" s="1"/>
      <c r="C509" s="1"/>
      <c r="D509" s="1"/>
      <c r="E509" s="1"/>
      <c r="G509" s="4"/>
      <c r="H509" s="1"/>
    </row>
    <row r="510" spans="1:8" ht="19.5">
      <c r="A510" s="1"/>
      <c r="B510" s="1"/>
      <c r="C510" s="1"/>
      <c r="D510" s="1"/>
      <c r="E510" s="1"/>
      <c r="G510" s="4"/>
      <c r="H510" s="1"/>
    </row>
    <row r="511" spans="1:8" ht="19.5">
      <c r="A511" s="1"/>
      <c r="B511" s="1"/>
      <c r="C511" s="1"/>
      <c r="D511" s="1"/>
      <c r="E511" s="1"/>
      <c r="G511" s="4"/>
      <c r="H511" s="1"/>
    </row>
    <row r="512" spans="1:8" ht="19.5">
      <c r="A512" s="1"/>
      <c r="B512" s="1"/>
      <c r="C512" s="1"/>
      <c r="D512" s="1"/>
      <c r="E512" s="1"/>
      <c r="G512" s="4"/>
      <c r="H512" s="1"/>
    </row>
    <row r="513" spans="1:8" ht="19.5">
      <c r="A513" s="1"/>
      <c r="B513" s="1"/>
      <c r="C513" s="1"/>
      <c r="D513" s="1"/>
      <c r="E513" s="1"/>
      <c r="G513" s="4"/>
      <c r="H513" s="1"/>
    </row>
    <row r="514" spans="1:8" ht="19.5">
      <c r="A514" s="1"/>
      <c r="B514" s="1"/>
      <c r="C514" s="1"/>
      <c r="D514" s="1"/>
      <c r="E514" s="1"/>
      <c r="G514" s="4"/>
      <c r="H514" s="1"/>
    </row>
    <row r="515" spans="1:8" ht="19.5">
      <c r="A515" s="1"/>
      <c r="B515" s="1"/>
      <c r="C515" s="1"/>
      <c r="D515" s="1"/>
      <c r="E515" s="1"/>
      <c r="G515" s="4"/>
      <c r="H515" s="1"/>
    </row>
    <row r="516" spans="1:8" ht="19.5">
      <c r="A516" s="1"/>
      <c r="B516" s="1"/>
      <c r="C516" s="1"/>
      <c r="D516" s="1"/>
      <c r="E516" s="1"/>
      <c r="G516" s="4"/>
      <c r="H516" s="1"/>
    </row>
    <row r="517" spans="1:8" ht="19.5">
      <c r="A517" s="1"/>
      <c r="B517" s="1"/>
      <c r="C517" s="1"/>
      <c r="D517" s="1"/>
      <c r="E517" s="1"/>
      <c r="G517" s="4"/>
      <c r="H517" s="1"/>
    </row>
    <row r="518" spans="1:8" ht="19.5">
      <c r="A518" s="1"/>
      <c r="B518" s="1"/>
      <c r="C518" s="1"/>
      <c r="D518" s="1"/>
      <c r="E518" s="1"/>
      <c r="G518" s="4"/>
      <c r="H518" s="1"/>
    </row>
    <row r="519" spans="1:8" ht="19.5">
      <c r="A519" s="1"/>
      <c r="B519" s="1"/>
      <c r="C519" s="1"/>
      <c r="D519" s="1"/>
      <c r="E519" s="1"/>
      <c r="G519" s="4"/>
      <c r="H519" s="1"/>
    </row>
    <row r="520" spans="1:8" ht="19.5">
      <c r="A520" s="1"/>
      <c r="B520" s="1"/>
      <c r="C520" s="1"/>
      <c r="D520" s="1"/>
      <c r="E520" s="1"/>
      <c r="G520" s="4"/>
      <c r="H520" s="1"/>
    </row>
    <row r="521" spans="1:8" ht="19.5">
      <c r="A521" s="1"/>
      <c r="B521" s="1"/>
      <c r="C521" s="1"/>
      <c r="D521" s="1"/>
      <c r="E521" s="1"/>
      <c r="G521" s="4"/>
      <c r="H521" s="1"/>
    </row>
    <row r="522" spans="1:8" ht="19.5">
      <c r="A522" s="1"/>
      <c r="B522" s="1"/>
      <c r="C522" s="1"/>
      <c r="D522" s="1"/>
      <c r="E522" s="1"/>
      <c r="G522" s="4"/>
      <c r="H522" s="1"/>
    </row>
    <row r="523" spans="1:8" ht="19.5">
      <c r="A523" s="1"/>
      <c r="B523" s="1"/>
      <c r="C523" s="1"/>
      <c r="D523" s="1"/>
      <c r="E523" s="1"/>
      <c r="G523" s="4"/>
      <c r="H523" s="1"/>
    </row>
    <row r="524" spans="1:8" ht="19.5">
      <c r="A524" s="1"/>
      <c r="B524" s="1"/>
      <c r="C524" s="1"/>
      <c r="D524" s="1"/>
      <c r="E524" s="1"/>
      <c r="G524" s="4"/>
      <c r="H524" s="1"/>
    </row>
    <row r="525" spans="1:8" ht="19.5">
      <c r="A525" s="1"/>
      <c r="B525" s="1"/>
      <c r="C525" s="1"/>
      <c r="D525" s="1"/>
      <c r="E525" s="1"/>
      <c r="G525" s="4"/>
      <c r="H525" s="1"/>
    </row>
    <row r="526" spans="1:8" ht="19.5">
      <c r="A526" s="1"/>
      <c r="B526" s="1"/>
      <c r="C526" s="1"/>
      <c r="D526" s="1"/>
      <c r="E526" s="1"/>
      <c r="G526" s="4"/>
      <c r="H526" s="1"/>
    </row>
    <row r="527" spans="1:8" ht="19.5">
      <c r="A527" s="1"/>
      <c r="B527" s="1"/>
      <c r="C527" s="1"/>
      <c r="D527" s="1"/>
      <c r="E527" s="1"/>
      <c r="G527" s="4"/>
      <c r="H527" s="1"/>
    </row>
    <row r="528" spans="1:8" ht="19.5">
      <c r="A528" s="1"/>
      <c r="B528" s="1"/>
      <c r="C528" s="1"/>
      <c r="D528" s="1"/>
      <c r="E528" s="1"/>
      <c r="G528" s="4"/>
      <c r="H528" s="1"/>
    </row>
    <row r="529" spans="1:8" ht="19.5">
      <c r="A529" s="1"/>
      <c r="B529" s="1"/>
      <c r="C529" s="1"/>
      <c r="D529" s="1"/>
      <c r="E529" s="1"/>
      <c r="G529" s="4"/>
      <c r="H529" s="1"/>
    </row>
    <row r="530" spans="1:8" ht="19.5">
      <c r="A530" s="1"/>
      <c r="B530" s="1"/>
      <c r="C530" s="1"/>
      <c r="D530" s="1"/>
      <c r="E530" s="1"/>
      <c r="G530" s="4"/>
      <c r="H530" s="1"/>
    </row>
    <row r="531" spans="1:8" ht="19.5">
      <c r="A531" s="1"/>
      <c r="B531" s="1"/>
      <c r="C531" s="1"/>
      <c r="D531" s="1"/>
      <c r="E531" s="1"/>
      <c r="G531" s="4"/>
      <c r="H531" s="1"/>
    </row>
    <row r="532" spans="1:8" ht="19.5">
      <c r="A532" s="1"/>
      <c r="B532" s="1"/>
      <c r="C532" s="1"/>
      <c r="D532" s="1"/>
      <c r="E532" s="1"/>
      <c r="G532" s="4"/>
      <c r="H532" s="1"/>
    </row>
    <row r="533" spans="1:8" ht="19.5">
      <c r="A533" s="1"/>
      <c r="B533" s="1"/>
      <c r="C533" s="1"/>
      <c r="D533" s="1"/>
      <c r="E533" s="1"/>
      <c r="G533" s="4"/>
      <c r="H533" s="1"/>
    </row>
    <row r="534" spans="1:8" ht="19.5">
      <c r="A534" s="1"/>
      <c r="B534" s="1"/>
      <c r="C534" s="1"/>
      <c r="D534" s="1"/>
      <c r="E534" s="1"/>
      <c r="G534" s="4"/>
      <c r="H534" s="1"/>
    </row>
    <row r="535" spans="1:8" ht="19.5">
      <c r="A535" s="1"/>
      <c r="B535" s="1"/>
      <c r="C535" s="1"/>
      <c r="D535" s="1"/>
      <c r="E535" s="1"/>
      <c r="G535" s="4"/>
      <c r="H535" s="1"/>
    </row>
    <row r="536" spans="1:8" ht="19.5">
      <c r="A536" s="1"/>
      <c r="B536" s="1"/>
      <c r="C536" s="1"/>
      <c r="D536" s="1"/>
      <c r="E536" s="1"/>
      <c r="G536" s="4"/>
      <c r="H536" s="1"/>
    </row>
    <row r="537" spans="1:8" ht="19.5">
      <c r="A537" s="1"/>
      <c r="B537" s="1"/>
      <c r="C537" s="1"/>
      <c r="D537" s="1"/>
      <c r="E537" s="1"/>
      <c r="G537" s="4"/>
      <c r="H537" s="1"/>
    </row>
    <row r="538" spans="1:8" ht="19.5">
      <c r="A538" s="1"/>
      <c r="B538" s="1"/>
      <c r="C538" s="1"/>
      <c r="D538" s="1"/>
      <c r="E538" s="1"/>
      <c r="G538" s="4"/>
      <c r="H538" s="1"/>
    </row>
    <row r="539" spans="1:8" ht="19.5">
      <c r="A539" s="1"/>
      <c r="B539" s="1"/>
      <c r="C539" s="1"/>
      <c r="D539" s="1"/>
      <c r="E539" s="1"/>
      <c r="G539" s="4"/>
      <c r="H539" s="1"/>
    </row>
    <row r="540" spans="1:8" ht="19.5">
      <c r="A540" s="1"/>
      <c r="B540" s="1"/>
      <c r="C540" s="1"/>
      <c r="D540" s="1"/>
      <c r="E540" s="1"/>
      <c r="G540" s="4"/>
      <c r="H540" s="1"/>
    </row>
    <row r="541" spans="1:8" ht="19.5">
      <c r="A541" s="1"/>
      <c r="B541" s="1"/>
      <c r="C541" s="1"/>
      <c r="D541" s="1"/>
      <c r="E541" s="1"/>
      <c r="G541" s="4"/>
      <c r="H541" s="1"/>
    </row>
    <row r="542" spans="1:8" ht="19.5">
      <c r="A542" s="1"/>
      <c r="B542" s="1"/>
      <c r="C542" s="1"/>
      <c r="D542" s="1"/>
      <c r="E542" s="1"/>
      <c r="G542" s="4"/>
      <c r="H542" s="1"/>
    </row>
    <row r="543" spans="1:8" ht="19.5">
      <c r="A543" s="1"/>
      <c r="B543" s="1"/>
      <c r="C543" s="1"/>
      <c r="D543" s="1"/>
      <c r="E543" s="1"/>
      <c r="G543" s="4"/>
      <c r="H543" s="1"/>
    </row>
    <row r="544" spans="1:8" ht="19.5">
      <c r="A544" s="1"/>
      <c r="B544" s="1"/>
      <c r="C544" s="1"/>
      <c r="D544" s="1"/>
      <c r="E544" s="1"/>
      <c r="G544" s="4"/>
      <c r="H544" s="1"/>
    </row>
    <row r="545" spans="1:8" ht="19.5">
      <c r="A545" s="1"/>
      <c r="B545" s="1"/>
      <c r="C545" s="1"/>
      <c r="D545" s="1"/>
      <c r="E545" s="1"/>
      <c r="G545" s="4"/>
      <c r="H545" s="1"/>
    </row>
    <row r="546" spans="1:8" ht="19.5">
      <c r="A546" s="1"/>
      <c r="B546" s="1"/>
      <c r="C546" s="1"/>
      <c r="D546" s="1"/>
      <c r="E546" s="1"/>
      <c r="G546" s="4"/>
      <c r="H546" s="1"/>
    </row>
    <row r="547" spans="1:8" ht="19.5">
      <c r="A547" s="1"/>
      <c r="B547" s="1"/>
      <c r="C547" s="1"/>
      <c r="D547" s="1"/>
      <c r="E547" s="1"/>
      <c r="G547" s="4"/>
      <c r="H547" s="1"/>
    </row>
    <row r="548" spans="1:8" ht="19.5">
      <c r="A548" s="1"/>
      <c r="B548" s="1"/>
      <c r="C548" s="1"/>
      <c r="D548" s="1"/>
      <c r="E548" s="1"/>
      <c r="G548" s="4"/>
      <c r="H548" s="1"/>
    </row>
    <row r="549" spans="1:8" ht="19.5">
      <c r="A549" s="1"/>
      <c r="B549" s="1"/>
      <c r="C549" s="1"/>
      <c r="D549" s="1"/>
      <c r="E549" s="1"/>
      <c r="G549" s="4"/>
      <c r="H549" s="1"/>
    </row>
    <row r="550" spans="1:8" ht="19.5">
      <c r="A550" s="1"/>
      <c r="B550" s="1"/>
      <c r="C550" s="1"/>
      <c r="D550" s="1"/>
      <c r="E550" s="1"/>
      <c r="G550" s="4"/>
      <c r="H550" s="1"/>
    </row>
    <row r="551" spans="1:8" ht="19.5">
      <c r="A551" s="1"/>
      <c r="B551" s="1"/>
      <c r="C551" s="1"/>
      <c r="D551" s="1"/>
      <c r="E551" s="1"/>
      <c r="G551" s="4"/>
      <c r="H551" s="1"/>
    </row>
    <row r="552" spans="1:8" ht="19.5">
      <c r="A552" s="1"/>
      <c r="B552" s="1"/>
      <c r="C552" s="1"/>
      <c r="D552" s="1"/>
      <c r="E552" s="1"/>
      <c r="G552" s="4"/>
      <c r="H552" s="1"/>
    </row>
    <row r="553" spans="1:8" ht="19.5">
      <c r="A553" s="1"/>
      <c r="B553" s="1"/>
      <c r="C553" s="1"/>
      <c r="D553" s="1"/>
      <c r="E553" s="1"/>
      <c r="G553" s="4"/>
      <c r="H553" s="1"/>
    </row>
    <row r="554" spans="1:8" ht="19.5">
      <c r="A554" s="1"/>
      <c r="B554" s="1"/>
      <c r="C554" s="1"/>
      <c r="D554" s="1"/>
      <c r="E554" s="1"/>
      <c r="G554" s="4"/>
      <c r="H554" s="1"/>
    </row>
    <row r="555" spans="1:8" ht="19.5">
      <c r="A555" s="1"/>
      <c r="B555" s="1"/>
      <c r="C555" s="1"/>
      <c r="D555" s="1"/>
      <c r="E555" s="1"/>
      <c r="G555" s="4"/>
      <c r="H555" s="1"/>
    </row>
    <row r="556" spans="1:8" ht="19.5">
      <c r="A556" s="1"/>
      <c r="B556" s="1"/>
      <c r="C556" s="1"/>
      <c r="D556" s="1"/>
      <c r="E556" s="1"/>
      <c r="G556" s="4"/>
      <c r="H556" s="1"/>
    </row>
    <row r="557" spans="1:8" ht="19.5">
      <c r="A557" s="1"/>
      <c r="B557" s="1"/>
      <c r="C557" s="1"/>
      <c r="D557" s="1"/>
      <c r="E557" s="1"/>
      <c r="G557" s="4"/>
      <c r="H557" s="1"/>
    </row>
    <row r="558" spans="1:8" ht="19.5">
      <c r="A558" s="1"/>
      <c r="B558" s="1"/>
      <c r="C558" s="1"/>
      <c r="D558" s="1"/>
      <c r="E558" s="1"/>
      <c r="G558" s="4"/>
      <c r="H558" s="1"/>
    </row>
    <row r="559" spans="1:8" ht="19.5">
      <c r="A559" s="1"/>
      <c r="B559" s="1"/>
      <c r="C559" s="1"/>
      <c r="D559" s="1"/>
      <c r="E559" s="1"/>
      <c r="G559" s="4"/>
      <c r="H559" s="1"/>
    </row>
    <row r="560" spans="1:8" ht="19.5">
      <c r="A560" s="1"/>
      <c r="B560" s="1"/>
      <c r="C560" s="1"/>
      <c r="D560" s="1"/>
      <c r="E560" s="1"/>
      <c r="G560" s="4"/>
      <c r="H560" s="1"/>
    </row>
    <row r="561" spans="1:8" ht="19.5">
      <c r="A561" s="1"/>
      <c r="B561" s="1"/>
      <c r="C561" s="1"/>
      <c r="D561" s="1"/>
      <c r="E561" s="1"/>
      <c r="G561" s="4"/>
      <c r="H561" s="1"/>
    </row>
    <row r="562" spans="1:8" ht="19.5">
      <c r="A562" s="1"/>
      <c r="B562" s="1"/>
      <c r="C562" s="1"/>
      <c r="D562" s="1"/>
      <c r="E562" s="1"/>
      <c r="G562" s="4"/>
      <c r="H562" s="1"/>
    </row>
    <row r="563" spans="1:8" ht="19.5">
      <c r="A563" s="1"/>
      <c r="B563" s="1"/>
      <c r="C563" s="1"/>
      <c r="D563" s="1"/>
      <c r="E563" s="1"/>
      <c r="G563" s="4"/>
      <c r="H563" s="1"/>
    </row>
    <row r="564" spans="1:8" ht="19.5">
      <c r="A564" s="1"/>
      <c r="B564" s="1"/>
      <c r="C564" s="1"/>
      <c r="D564" s="1"/>
      <c r="E564" s="1"/>
      <c r="G564" s="4"/>
      <c r="H564" s="1"/>
    </row>
    <row r="565" spans="1:8" ht="19.5">
      <c r="A565" s="1"/>
      <c r="B565" s="1"/>
      <c r="C565" s="1"/>
      <c r="D565" s="1"/>
      <c r="E565" s="1"/>
      <c r="G565" s="4"/>
      <c r="H565" s="1"/>
    </row>
    <row r="566" spans="1:8" ht="19.5">
      <c r="A566" s="1"/>
      <c r="B566" s="1"/>
      <c r="C566" s="1"/>
      <c r="D566" s="1"/>
      <c r="E566" s="1"/>
      <c r="G566" s="4"/>
      <c r="H566" s="1"/>
    </row>
    <row r="567" spans="1:8" ht="19.5">
      <c r="A567" s="1"/>
      <c r="B567" s="1"/>
      <c r="C567" s="1"/>
      <c r="D567" s="1"/>
      <c r="E567" s="1"/>
      <c r="G567" s="4"/>
      <c r="H567" s="1"/>
    </row>
    <row r="568" spans="1:8" ht="19.5">
      <c r="A568" s="1"/>
      <c r="B568" s="1"/>
      <c r="C568" s="1"/>
      <c r="D568" s="1"/>
      <c r="E568" s="1"/>
      <c r="G568" s="4"/>
      <c r="H568" s="1"/>
    </row>
    <row r="569" spans="1:8" ht="19.5">
      <c r="A569" s="1"/>
      <c r="B569" s="1"/>
      <c r="C569" s="1"/>
      <c r="D569" s="1"/>
      <c r="E569" s="1"/>
      <c r="G569" s="4"/>
      <c r="H569" s="1"/>
    </row>
    <row r="570" spans="1:8" ht="19.5">
      <c r="A570" s="1"/>
      <c r="B570" s="1"/>
      <c r="C570" s="1"/>
      <c r="D570" s="1"/>
      <c r="E570" s="1"/>
      <c r="G570" s="4"/>
      <c r="H570" s="1"/>
    </row>
    <row r="571" spans="1:8" ht="19.5">
      <c r="A571" s="1"/>
      <c r="B571" s="1"/>
      <c r="C571" s="1"/>
      <c r="D571" s="1"/>
      <c r="E571" s="1"/>
      <c r="G571" s="4"/>
      <c r="H571" s="1"/>
    </row>
    <row r="572" spans="1:8" ht="19.5">
      <c r="A572" s="1"/>
      <c r="B572" s="1"/>
      <c r="C572" s="1"/>
      <c r="D572" s="1"/>
      <c r="E572" s="1"/>
      <c r="G572" s="4"/>
      <c r="H572" s="1"/>
    </row>
    <row r="573" spans="1:8" ht="19.5">
      <c r="A573" s="1"/>
      <c r="B573" s="1"/>
      <c r="C573" s="1"/>
      <c r="D573" s="1"/>
      <c r="E573" s="1"/>
      <c r="G573" s="4"/>
      <c r="H573" s="1"/>
    </row>
    <row r="574" spans="1:8" ht="19.5">
      <c r="A574" s="1"/>
      <c r="B574" s="1"/>
      <c r="C574" s="1"/>
      <c r="D574" s="1"/>
      <c r="E574" s="1"/>
      <c r="G574" s="4"/>
      <c r="H574" s="1"/>
    </row>
    <row r="575" spans="1:8" ht="19.5">
      <c r="A575" s="1"/>
      <c r="B575" s="1"/>
      <c r="C575" s="1"/>
      <c r="D575" s="1"/>
      <c r="E575" s="1"/>
      <c r="G575" s="4"/>
      <c r="H575" s="1"/>
    </row>
    <row r="576" spans="1:8" ht="19.5">
      <c r="A576" s="1"/>
      <c r="B576" s="1"/>
      <c r="C576" s="1"/>
      <c r="D576" s="1"/>
      <c r="E576" s="1"/>
      <c r="G576" s="4"/>
      <c r="H576" s="1"/>
    </row>
    <row r="577" spans="1:8" ht="19.5">
      <c r="A577" s="1"/>
      <c r="B577" s="1"/>
      <c r="C577" s="1"/>
      <c r="D577" s="1"/>
      <c r="E577" s="1"/>
      <c r="G577" s="4"/>
      <c r="H577" s="1"/>
    </row>
    <row r="578" spans="1:8" ht="19.5">
      <c r="A578" s="1"/>
      <c r="B578" s="1"/>
      <c r="C578" s="1"/>
      <c r="D578" s="1"/>
      <c r="E578" s="1"/>
      <c r="G578" s="4"/>
      <c r="H578" s="1"/>
    </row>
    <row r="579" spans="1:8" ht="19.5">
      <c r="A579" s="1"/>
      <c r="B579" s="1"/>
      <c r="C579" s="1"/>
      <c r="D579" s="1"/>
      <c r="E579" s="1"/>
      <c r="G579" s="4"/>
      <c r="H579" s="1"/>
    </row>
    <row r="580" spans="1:8" ht="19.5">
      <c r="A580" s="1"/>
      <c r="B580" s="1"/>
      <c r="C580" s="1"/>
      <c r="D580" s="1"/>
      <c r="E580" s="1"/>
      <c r="G580" s="4"/>
      <c r="H580" s="1"/>
    </row>
    <row r="581" spans="1:8" ht="19.5">
      <c r="A581" s="1"/>
      <c r="B581" s="1"/>
      <c r="C581" s="1"/>
      <c r="D581" s="1"/>
      <c r="E581" s="1"/>
      <c r="G581" s="4"/>
      <c r="H581" s="1"/>
    </row>
    <row r="582" spans="1:8" ht="19.5">
      <c r="A582" s="1"/>
      <c r="B582" s="1"/>
      <c r="C582" s="1"/>
      <c r="D582" s="1"/>
      <c r="E582" s="1"/>
      <c r="G582" s="4"/>
      <c r="H582" s="1"/>
    </row>
    <row r="583" spans="1:8" ht="19.5">
      <c r="A583" s="1"/>
      <c r="B583" s="1"/>
      <c r="C583" s="1"/>
      <c r="D583" s="1"/>
      <c r="E583" s="1"/>
      <c r="G583" s="4"/>
      <c r="H583" s="1"/>
    </row>
    <row r="584" spans="1:8" ht="19.5">
      <c r="A584" s="1"/>
      <c r="B584" s="1"/>
      <c r="C584" s="1"/>
      <c r="D584" s="1"/>
      <c r="E584" s="1"/>
      <c r="G584" s="4"/>
      <c r="H584" s="1"/>
    </row>
    <row r="585" spans="1:8" ht="19.5">
      <c r="A585" s="1"/>
      <c r="B585" s="1"/>
      <c r="C585" s="1"/>
      <c r="D585" s="1"/>
      <c r="E585" s="1"/>
      <c r="G585" s="4"/>
      <c r="H585" s="1"/>
    </row>
    <row r="586" spans="1:8" ht="19.5">
      <c r="A586" s="1"/>
      <c r="B586" s="1"/>
      <c r="C586" s="1"/>
      <c r="D586" s="1"/>
      <c r="E586" s="1"/>
      <c r="G586" s="4"/>
      <c r="H586" s="1"/>
    </row>
    <row r="587" spans="1:8" ht="19.5">
      <c r="A587" s="1"/>
      <c r="B587" s="1"/>
      <c r="C587" s="1"/>
      <c r="D587" s="1"/>
      <c r="E587" s="1"/>
      <c r="G587" s="4"/>
      <c r="H587" s="1"/>
    </row>
    <row r="588" spans="1:8" ht="19.5">
      <c r="A588" s="1"/>
      <c r="B588" s="1"/>
      <c r="C588" s="1"/>
      <c r="D588" s="1"/>
      <c r="E588" s="1"/>
      <c r="G588" s="4"/>
      <c r="H588" s="1"/>
    </row>
    <row r="589" spans="1:8" ht="19.5">
      <c r="A589" s="1"/>
      <c r="B589" s="1"/>
      <c r="C589" s="1"/>
      <c r="D589" s="1"/>
      <c r="E589" s="1"/>
      <c r="G589" s="4"/>
      <c r="H589" s="1"/>
    </row>
    <row r="590" spans="1:8" ht="19.5">
      <c r="A590" s="1"/>
      <c r="B590" s="1"/>
      <c r="C590" s="1"/>
      <c r="D590" s="1"/>
      <c r="E590" s="1"/>
      <c r="G590" s="4"/>
      <c r="H590" s="1"/>
    </row>
    <row r="591" spans="1:8" ht="19.5">
      <c r="A591" s="1"/>
      <c r="B591" s="1"/>
      <c r="C591" s="1"/>
      <c r="D591" s="1"/>
      <c r="E591" s="1"/>
      <c r="G591" s="4"/>
      <c r="H591" s="1"/>
    </row>
    <row r="592" spans="1:8" ht="19.5">
      <c r="A592" s="1"/>
      <c r="B592" s="1"/>
      <c r="C592" s="1"/>
      <c r="D592" s="1"/>
      <c r="E592" s="1"/>
      <c r="G592" s="4"/>
      <c r="H592" s="1"/>
    </row>
    <row r="593" spans="1:8" ht="19.5">
      <c r="A593" s="1"/>
      <c r="B593" s="1"/>
      <c r="C593" s="1"/>
      <c r="D593" s="1"/>
      <c r="E593" s="1"/>
      <c r="G593" s="4"/>
      <c r="H593" s="1"/>
    </row>
    <row r="594" spans="1:8" ht="19.5">
      <c r="A594" s="1"/>
      <c r="B594" s="1"/>
      <c r="C594" s="1"/>
      <c r="D594" s="1"/>
      <c r="E594" s="1"/>
      <c r="G594" s="4"/>
      <c r="H594" s="1"/>
    </row>
    <row r="595" spans="1:8" ht="19.5">
      <c r="A595" s="1"/>
      <c r="B595" s="1"/>
      <c r="C595" s="1"/>
      <c r="D595" s="1"/>
      <c r="E595" s="1"/>
      <c r="G595" s="4"/>
      <c r="H595" s="1"/>
    </row>
    <row r="596" spans="1:8" ht="19.5">
      <c r="A596" s="1"/>
      <c r="B596" s="1"/>
      <c r="C596" s="1"/>
      <c r="D596" s="1"/>
      <c r="E596" s="1"/>
      <c r="G596" s="4"/>
      <c r="H596" s="1"/>
    </row>
    <row r="597" spans="1:8" ht="19.5">
      <c r="A597" s="1"/>
      <c r="B597" s="1"/>
      <c r="C597" s="1"/>
      <c r="D597" s="1"/>
      <c r="E597" s="1"/>
      <c r="G597" s="4"/>
      <c r="H597" s="1"/>
    </row>
    <row r="598" spans="1:8" ht="19.5">
      <c r="A598" s="1"/>
      <c r="B598" s="1"/>
      <c r="C598" s="1"/>
      <c r="D598" s="1"/>
      <c r="E598" s="1"/>
      <c r="G598" s="4"/>
      <c r="H598" s="1"/>
    </row>
    <row r="599" spans="1:8" ht="19.5">
      <c r="A599" s="1"/>
      <c r="B599" s="1"/>
      <c r="C599" s="1"/>
      <c r="D599" s="1"/>
      <c r="E599" s="1"/>
      <c r="G599" s="4"/>
      <c r="H599" s="1"/>
    </row>
    <row r="600" spans="1:8" ht="19.5">
      <c r="A600" s="1"/>
      <c r="B600" s="1"/>
      <c r="C600" s="1"/>
      <c r="D600" s="1"/>
      <c r="E600" s="1"/>
      <c r="G600" s="4"/>
      <c r="H600" s="1"/>
    </row>
    <row r="601" spans="1:8" ht="19.5">
      <c r="A601" s="1"/>
      <c r="B601" s="1"/>
      <c r="C601" s="1"/>
      <c r="D601" s="1"/>
      <c r="E601" s="1"/>
      <c r="G601" s="4"/>
      <c r="H601" s="1"/>
    </row>
    <row r="602" spans="1:8" ht="19.5">
      <c r="A602" s="1"/>
      <c r="B602" s="1"/>
      <c r="C602" s="1"/>
      <c r="D602" s="1"/>
      <c r="E602" s="1"/>
      <c r="G602" s="4"/>
      <c r="H602" s="1"/>
    </row>
    <row r="603" spans="1:8" ht="19.5">
      <c r="A603" s="1"/>
      <c r="B603" s="1"/>
      <c r="C603" s="1"/>
      <c r="D603" s="1"/>
      <c r="E603" s="1"/>
      <c r="G603" s="4"/>
      <c r="H603" s="1"/>
    </row>
    <row r="604" spans="1:8" ht="19.5">
      <c r="A604" s="1"/>
      <c r="B604" s="1"/>
      <c r="C604" s="1"/>
      <c r="D604" s="1"/>
      <c r="E604" s="1"/>
      <c r="G604" s="4"/>
      <c r="H604" s="1"/>
    </row>
    <row r="605" spans="1:8" ht="19.5">
      <c r="A605" s="1"/>
      <c r="B605" s="1"/>
      <c r="C605" s="1"/>
      <c r="D605" s="1"/>
      <c r="E605" s="1"/>
      <c r="G605" s="4"/>
      <c r="H605" s="1"/>
    </row>
    <row r="606" spans="1:8" ht="19.5">
      <c r="A606" s="1"/>
      <c r="B606" s="1"/>
      <c r="C606" s="1"/>
      <c r="D606" s="1"/>
      <c r="E606" s="1"/>
      <c r="G606" s="4"/>
      <c r="H606" s="1"/>
    </row>
    <row r="607" spans="1:8" ht="19.5">
      <c r="A607" s="1"/>
      <c r="B607" s="1"/>
      <c r="C607" s="1"/>
      <c r="D607" s="1"/>
      <c r="E607" s="1"/>
      <c r="G607" s="4"/>
      <c r="H607" s="1"/>
    </row>
    <row r="608" spans="1:8" ht="19.5">
      <c r="A608" s="1"/>
      <c r="B608" s="1"/>
      <c r="C608" s="1"/>
      <c r="D608" s="1"/>
      <c r="E608" s="1"/>
      <c r="G608" s="4"/>
      <c r="H608" s="1"/>
    </row>
    <row r="609" spans="1:8" ht="19.5">
      <c r="A609" s="1"/>
      <c r="B609" s="1"/>
      <c r="C609" s="1"/>
      <c r="D609" s="1"/>
      <c r="E609" s="1"/>
      <c r="G609" s="4"/>
      <c r="H609" s="1"/>
    </row>
    <row r="610" spans="1:8" ht="19.5">
      <c r="A610" s="1"/>
      <c r="B610" s="1"/>
      <c r="C610" s="1"/>
      <c r="D610" s="1"/>
      <c r="E610" s="1"/>
      <c r="G610" s="4"/>
      <c r="H610" s="1"/>
    </row>
    <row r="611" spans="1:8" ht="19.5">
      <c r="A611" s="1"/>
      <c r="B611" s="1"/>
      <c r="C611" s="1"/>
      <c r="D611" s="1"/>
      <c r="E611" s="1"/>
      <c r="G611" s="4"/>
      <c r="H611" s="1"/>
    </row>
    <row r="612" spans="1:8" ht="19.5">
      <c r="A612" s="1"/>
      <c r="B612" s="1"/>
      <c r="C612" s="1"/>
      <c r="D612" s="1"/>
      <c r="E612" s="1"/>
      <c r="G612" s="4"/>
      <c r="H612" s="1"/>
    </row>
    <row r="613" spans="1:8" ht="19.5">
      <c r="A613" s="1"/>
      <c r="B613" s="1"/>
      <c r="C613" s="1"/>
      <c r="D613" s="1"/>
      <c r="E613" s="1"/>
      <c r="G613" s="4"/>
      <c r="H613" s="1"/>
    </row>
    <row r="614" spans="1:8" ht="19.5">
      <c r="A614" s="1"/>
      <c r="B614" s="1"/>
      <c r="C614" s="1"/>
      <c r="D614" s="1"/>
      <c r="E614" s="1"/>
      <c r="G614" s="4"/>
      <c r="H614" s="1"/>
    </row>
    <row r="615" spans="1:8" ht="19.5">
      <c r="A615" s="1"/>
      <c r="B615" s="1"/>
      <c r="C615" s="1"/>
      <c r="D615" s="1"/>
      <c r="E615" s="1"/>
      <c r="G615" s="4"/>
      <c r="H615" s="1"/>
    </row>
    <row r="616" spans="1:8" ht="19.5">
      <c r="A616" s="1"/>
      <c r="B616" s="1"/>
      <c r="C616" s="1"/>
      <c r="D616" s="1"/>
      <c r="E616" s="1"/>
      <c r="G616" s="4"/>
      <c r="H616" s="1"/>
    </row>
    <row r="617" spans="1:8" ht="19.5">
      <c r="A617" s="1"/>
      <c r="B617" s="1"/>
      <c r="C617" s="1"/>
      <c r="D617" s="1"/>
      <c r="E617" s="1"/>
      <c r="G617" s="4"/>
      <c r="H617" s="1"/>
    </row>
    <row r="618" spans="1:8" ht="19.5">
      <c r="A618" s="1"/>
      <c r="B618" s="1"/>
      <c r="C618" s="1"/>
      <c r="D618" s="1"/>
      <c r="E618" s="1"/>
      <c r="G618" s="4"/>
      <c r="H618" s="1"/>
    </row>
    <row r="619" spans="1:8" ht="19.5">
      <c r="A619" s="1"/>
      <c r="B619" s="1"/>
      <c r="C619" s="1"/>
      <c r="D619" s="1"/>
      <c r="E619" s="1"/>
      <c r="G619" s="4"/>
      <c r="H619" s="1"/>
    </row>
    <row r="620" spans="1:8" ht="19.5">
      <c r="A620" s="1"/>
      <c r="B620" s="1"/>
      <c r="C620" s="1"/>
      <c r="D620" s="1"/>
      <c r="E620" s="1"/>
      <c r="G620" s="4"/>
      <c r="H620" s="1"/>
    </row>
    <row r="621" spans="1:8" ht="19.5">
      <c r="A621" s="1"/>
      <c r="B621" s="1"/>
      <c r="C621" s="1"/>
      <c r="D621" s="1"/>
      <c r="E621" s="1"/>
      <c r="G621" s="4"/>
      <c r="H621" s="1"/>
    </row>
    <row r="622" spans="1:8" ht="19.5">
      <c r="A622" s="1"/>
      <c r="B622" s="1"/>
      <c r="C622" s="1"/>
      <c r="D622" s="1"/>
      <c r="E622" s="1"/>
      <c r="G622" s="4"/>
      <c r="H622" s="1"/>
    </row>
    <row r="623" spans="1:8" ht="19.5">
      <c r="A623" s="1"/>
      <c r="B623" s="1"/>
      <c r="C623" s="1"/>
      <c r="D623" s="1"/>
      <c r="E623" s="1"/>
      <c r="G623" s="4"/>
      <c r="H623" s="1"/>
    </row>
    <row r="624" spans="1:8" ht="19.5">
      <c r="A624" s="1"/>
      <c r="B624" s="1"/>
      <c r="C624" s="1"/>
      <c r="D624" s="1"/>
      <c r="E624" s="1"/>
      <c r="G624" s="4"/>
      <c r="H624" s="1"/>
    </row>
    <row r="625" spans="1:8" ht="19.5">
      <c r="A625" s="1"/>
      <c r="B625" s="1"/>
      <c r="C625" s="1"/>
      <c r="D625" s="1"/>
      <c r="E625" s="1"/>
      <c r="G625" s="4"/>
      <c r="H625" s="1"/>
    </row>
    <row r="626" spans="1:8" ht="19.5">
      <c r="A626" s="1"/>
      <c r="B626" s="1"/>
      <c r="C626" s="1"/>
      <c r="D626" s="1"/>
      <c r="E626" s="1"/>
      <c r="G626" s="4"/>
      <c r="H626" s="1"/>
    </row>
    <row r="627" spans="1:8" ht="19.5">
      <c r="A627" s="1"/>
      <c r="B627" s="1"/>
      <c r="C627" s="1"/>
      <c r="D627" s="1"/>
      <c r="E627" s="1"/>
      <c r="G627" s="4"/>
      <c r="H627" s="1"/>
    </row>
    <row r="628" spans="1:8" ht="19.5">
      <c r="A628" s="1"/>
      <c r="B628" s="1"/>
      <c r="C628" s="1"/>
      <c r="D628" s="1"/>
      <c r="E628" s="1"/>
      <c r="G628" s="4"/>
      <c r="H628" s="1"/>
    </row>
    <row r="629" spans="1:8" ht="19.5">
      <c r="A629" s="1"/>
      <c r="B629" s="1"/>
      <c r="C629" s="1"/>
      <c r="D629" s="1"/>
      <c r="E629" s="1"/>
      <c r="G629" s="4"/>
      <c r="H629" s="1"/>
    </row>
    <row r="630" spans="1:8" ht="19.5">
      <c r="A630" s="1"/>
      <c r="B630" s="1"/>
      <c r="C630" s="1"/>
      <c r="D630" s="1"/>
      <c r="E630" s="1"/>
      <c r="G630" s="4"/>
      <c r="H630" s="1"/>
    </row>
    <row r="631" spans="1:8" ht="19.5">
      <c r="A631" s="1"/>
      <c r="B631" s="1"/>
      <c r="C631" s="1"/>
      <c r="D631" s="1"/>
      <c r="E631" s="1"/>
      <c r="G631" s="4"/>
      <c r="H631" s="1"/>
    </row>
    <row r="632" spans="1:8" ht="19.5">
      <c r="A632" s="1"/>
      <c r="B632" s="1"/>
      <c r="C632" s="1"/>
      <c r="D632" s="1"/>
      <c r="E632" s="1"/>
      <c r="G632" s="4"/>
      <c r="H632" s="1"/>
    </row>
    <row r="633" spans="1:8" ht="19.5">
      <c r="A633" s="1"/>
      <c r="B633" s="1"/>
      <c r="C633" s="1"/>
      <c r="D633" s="1"/>
      <c r="E633" s="1"/>
      <c r="G633" s="4"/>
      <c r="H633" s="1"/>
    </row>
    <row r="634" spans="1:8" ht="19.5">
      <c r="A634" s="1"/>
      <c r="B634" s="1"/>
      <c r="C634" s="1"/>
      <c r="D634" s="1"/>
      <c r="E634" s="1"/>
      <c r="G634" s="4"/>
      <c r="H634" s="1"/>
    </row>
    <row r="635" spans="1:8" ht="19.5">
      <c r="A635" s="1"/>
      <c r="B635" s="1"/>
      <c r="C635" s="1"/>
      <c r="D635" s="1"/>
      <c r="E635" s="1"/>
      <c r="G635" s="4"/>
      <c r="H635" s="1"/>
    </row>
    <row r="636" spans="1:8" ht="19.5">
      <c r="A636" s="1"/>
      <c r="B636" s="1"/>
      <c r="C636" s="1"/>
      <c r="D636" s="1"/>
      <c r="E636" s="1"/>
      <c r="G636" s="4"/>
      <c r="H636" s="1"/>
    </row>
    <row r="637" spans="1:8" ht="19.5">
      <c r="A637" s="1"/>
      <c r="B637" s="1"/>
      <c r="C637" s="1"/>
      <c r="D637" s="1"/>
      <c r="E637" s="1"/>
      <c r="G637" s="4"/>
      <c r="H637" s="1"/>
    </row>
    <row r="638" spans="1:8" ht="19.5">
      <c r="A638" s="1"/>
      <c r="B638" s="1"/>
      <c r="C638" s="1"/>
      <c r="D638" s="1"/>
      <c r="E638" s="1"/>
      <c r="G638" s="4"/>
      <c r="H638" s="1"/>
    </row>
    <row r="639" spans="1:8" ht="19.5">
      <c r="A639" s="1"/>
      <c r="B639" s="1"/>
      <c r="C639" s="1"/>
      <c r="D639" s="1"/>
      <c r="E639" s="1"/>
      <c r="G639" s="4"/>
      <c r="H639" s="1"/>
    </row>
    <row r="640" spans="1:8" ht="19.5">
      <c r="A640" s="1"/>
      <c r="B640" s="1"/>
      <c r="C640" s="1"/>
      <c r="D640" s="1"/>
      <c r="E640" s="1"/>
      <c r="G640" s="4"/>
      <c r="H640" s="1"/>
    </row>
    <row r="641" spans="1:8" ht="19.5">
      <c r="A641" s="1"/>
      <c r="B641" s="1"/>
      <c r="C641" s="1"/>
      <c r="D641" s="1"/>
      <c r="E641" s="1"/>
      <c r="G641" s="4"/>
      <c r="H641" s="1"/>
    </row>
    <row r="642" spans="1:8" ht="19.5">
      <c r="A642" s="1"/>
      <c r="B642" s="1"/>
      <c r="C642" s="1"/>
      <c r="D642" s="1"/>
      <c r="E642" s="1"/>
      <c r="G642" s="4"/>
      <c r="H642" s="1"/>
    </row>
    <row r="643" spans="1:8" ht="19.5">
      <c r="A643" s="1"/>
      <c r="B643" s="1"/>
      <c r="C643" s="1"/>
      <c r="D643" s="1"/>
      <c r="E643" s="1"/>
      <c r="G643" s="4"/>
      <c r="H643" s="1"/>
    </row>
    <row r="644" spans="1:8" ht="19.5">
      <c r="A644" s="1"/>
      <c r="B644" s="1"/>
      <c r="C644" s="1"/>
      <c r="D644" s="1"/>
      <c r="E644" s="1"/>
      <c r="G644" s="4"/>
      <c r="H644" s="1"/>
    </row>
    <row r="645" spans="1:8" ht="19.5">
      <c r="A645" s="1"/>
      <c r="B645" s="1"/>
      <c r="C645" s="1"/>
      <c r="D645" s="1"/>
      <c r="E645" s="1"/>
      <c r="G645" s="4"/>
      <c r="H645" s="1"/>
    </row>
    <row r="646" spans="1:8" ht="19.5">
      <c r="A646" s="1"/>
      <c r="B646" s="1"/>
      <c r="C646" s="1"/>
      <c r="D646" s="1"/>
      <c r="E646" s="1"/>
      <c r="G646" s="4"/>
      <c r="H646" s="1"/>
    </row>
    <row r="647" spans="1:8" ht="19.5">
      <c r="A647" s="1"/>
      <c r="B647" s="1"/>
      <c r="C647" s="1"/>
      <c r="D647" s="1"/>
      <c r="E647" s="1"/>
      <c r="G647" s="4"/>
      <c r="H647" s="1"/>
    </row>
    <row r="648" spans="1:8" ht="19.5">
      <c r="A648" s="1"/>
      <c r="B648" s="1"/>
      <c r="C648" s="1"/>
      <c r="D648" s="1"/>
      <c r="E648" s="1"/>
      <c r="G648" s="4"/>
      <c r="H648" s="1"/>
    </row>
    <row r="649" spans="1:8" ht="19.5">
      <c r="A649" s="1"/>
      <c r="B649" s="1"/>
      <c r="C649" s="1"/>
      <c r="D649" s="1"/>
      <c r="E649" s="1"/>
      <c r="G649" s="4"/>
      <c r="H649" s="1"/>
    </row>
    <row r="650" spans="1:8" ht="19.5">
      <c r="A650" s="1"/>
      <c r="B650" s="1"/>
      <c r="C650" s="1"/>
      <c r="D650" s="1"/>
      <c r="E650" s="1"/>
      <c r="G650" s="4"/>
      <c r="H650" s="1"/>
    </row>
    <row r="651" spans="1:8" ht="19.5">
      <c r="A651" s="1"/>
      <c r="B651" s="1"/>
      <c r="C651" s="1"/>
      <c r="D651" s="1"/>
      <c r="E651" s="1"/>
      <c r="G651" s="4"/>
      <c r="H651" s="1"/>
    </row>
    <row r="652" spans="1:8" ht="19.5">
      <c r="A652" s="1"/>
      <c r="B652" s="1"/>
      <c r="C652" s="1"/>
      <c r="D652" s="1"/>
      <c r="E652" s="1"/>
      <c r="G652" s="4"/>
      <c r="H652" s="1"/>
    </row>
    <row r="653" spans="1:8" ht="19.5">
      <c r="A653" s="1"/>
      <c r="B653" s="1"/>
      <c r="C653" s="1"/>
      <c r="D653" s="1"/>
      <c r="E653" s="1"/>
      <c r="G653" s="4"/>
      <c r="H653" s="1"/>
    </row>
    <row r="654" spans="1:8" ht="19.5">
      <c r="A654" s="1"/>
      <c r="B654" s="1"/>
      <c r="C654" s="1"/>
      <c r="D654" s="1"/>
      <c r="E654" s="1"/>
      <c r="G654" s="4"/>
      <c r="H654" s="1"/>
    </row>
    <row r="655" spans="1:8" ht="19.5">
      <c r="A655" s="1"/>
      <c r="B655" s="1"/>
      <c r="C655" s="1"/>
      <c r="D655" s="1"/>
      <c r="E655" s="1"/>
      <c r="G655" s="4"/>
      <c r="H655" s="1"/>
    </row>
    <row r="656" spans="1:8" ht="19.5">
      <c r="A656" s="1"/>
      <c r="B656" s="1"/>
      <c r="C656" s="1"/>
      <c r="D656" s="1"/>
      <c r="E656" s="1"/>
      <c r="G656" s="4"/>
      <c r="H656" s="1"/>
    </row>
    <row r="657" spans="1:8" ht="19.5">
      <c r="A657" s="1"/>
      <c r="B657" s="1"/>
      <c r="C657" s="1"/>
      <c r="D657" s="1"/>
      <c r="E657" s="1"/>
      <c r="G657" s="4"/>
      <c r="H657" s="1"/>
    </row>
    <row r="658" spans="1:8" ht="19.5">
      <c r="A658" s="1"/>
      <c r="B658" s="1"/>
      <c r="C658" s="1"/>
      <c r="D658" s="1"/>
      <c r="E658" s="1"/>
      <c r="G658" s="4"/>
      <c r="H658" s="1"/>
    </row>
    <row r="659" spans="1:8" ht="19.5">
      <c r="A659" s="1"/>
      <c r="B659" s="1"/>
      <c r="C659" s="1"/>
      <c r="D659" s="1"/>
      <c r="E659" s="1"/>
      <c r="G659" s="4"/>
      <c r="H659" s="1"/>
    </row>
    <row r="660" spans="1:8" ht="19.5">
      <c r="A660" s="1"/>
      <c r="B660" s="1"/>
      <c r="C660" s="1"/>
      <c r="D660" s="1"/>
      <c r="E660" s="1"/>
      <c r="G660" s="4"/>
      <c r="H660" s="1"/>
    </row>
    <row r="661" spans="1:8" ht="19.5">
      <c r="A661" s="1"/>
      <c r="B661" s="1"/>
      <c r="C661" s="1"/>
      <c r="D661" s="1"/>
      <c r="E661" s="1"/>
      <c r="G661" s="4"/>
      <c r="H661" s="1"/>
    </row>
    <row r="662" spans="1:8" ht="19.5">
      <c r="A662" s="1"/>
      <c r="B662" s="1"/>
      <c r="C662" s="1"/>
      <c r="D662" s="1"/>
      <c r="E662" s="1"/>
      <c r="G662" s="4"/>
      <c r="H662" s="1"/>
    </row>
    <row r="663" spans="1:8" ht="19.5">
      <c r="A663" s="1"/>
      <c r="B663" s="1"/>
      <c r="C663" s="1"/>
      <c r="D663" s="1"/>
      <c r="E663" s="1"/>
      <c r="G663" s="4"/>
      <c r="H663" s="1"/>
    </row>
    <row r="664" spans="1:8" ht="19.5">
      <c r="A664" s="1"/>
      <c r="B664" s="1"/>
      <c r="C664" s="1"/>
      <c r="D664" s="1"/>
      <c r="E664" s="1"/>
      <c r="G664" s="4"/>
      <c r="H664" s="1"/>
    </row>
    <row r="665" spans="1:8" ht="19.5">
      <c r="A665" s="1"/>
      <c r="B665" s="1"/>
      <c r="C665" s="1"/>
      <c r="D665" s="1"/>
      <c r="E665" s="1"/>
      <c r="G665" s="4"/>
      <c r="H665" s="1"/>
    </row>
    <row r="666" spans="1:8" ht="19.5">
      <c r="A666" s="1"/>
      <c r="B666" s="1"/>
      <c r="C666" s="1"/>
      <c r="D666" s="1"/>
      <c r="E666" s="1"/>
      <c r="G666" s="4"/>
      <c r="H666" s="1"/>
    </row>
    <row r="667" spans="1:8" ht="19.5">
      <c r="A667" s="1"/>
      <c r="B667" s="1"/>
      <c r="C667" s="1"/>
      <c r="D667" s="1"/>
      <c r="E667" s="1"/>
      <c r="G667" s="4"/>
      <c r="H667" s="1"/>
    </row>
    <row r="668" spans="1:8" ht="19.5">
      <c r="A668" s="1"/>
      <c r="B668" s="1"/>
      <c r="C668" s="1"/>
      <c r="D668" s="1"/>
      <c r="E668" s="1"/>
      <c r="G668" s="4"/>
      <c r="H668" s="1"/>
    </row>
    <row r="669" spans="1:8" ht="19.5">
      <c r="A669" s="1"/>
      <c r="B669" s="1"/>
      <c r="C669" s="1"/>
      <c r="D669" s="1"/>
      <c r="E669" s="1"/>
      <c r="G669" s="4"/>
      <c r="H669" s="1"/>
    </row>
    <row r="670" spans="1:8" ht="19.5">
      <c r="A670" s="1"/>
      <c r="B670" s="1"/>
      <c r="C670" s="1"/>
      <c r="D670" s="1"/>
      <c r="E670" s="1"/>
      <c r="G670" s="4"/>
      <c r="H670" s="1"/>
    </row>
    <row r="671" spans="1:8" ht="19.5">
      <c r="A671" s="1"/>
      <c r="B671" s="1"/>
      <c r="C671" s="1"/>
      <c r="D671" s="1"/>
      <c r="E671" s="1"/>
      <c r="G671" s="4"/>
      <c r="H671" s="1"/>
    </row>
    <row r="672" spans="1:8" ht="19.5">
      <c r="A672" s="1"/>
      <c r="B672" s="1"/>
      <c r="C672" s="1"/>
      <c r="D672" s="1"/>
      <c r="E672" s="1"/>
      <c r="G672" s="4"/>
      <c r="H672" s="1"/>
    </row>
    <row r="673" spans="1:8" ht="19.5">
      <c r="A673" s="1"/>
      <c r="B673" s="1"/>
      <c r="C673" s="1"/>
      <c r="D673" s="1"/>
      <c r="E673" s="1"/>
      <c r="G673" s="4"/>
      <c r="H673" s="1"/>
    </row>
    <row r="674" spans="1:8" ht="19.5">
      <c r="A674" s="1"/>
      <c r="B674" s="1"/>
      <c r="C674" s="1"/>
      <c r="D674" s="1"/>
      <c r="E674" s="1"/>
      <c r="G674" s="4"/>
      <c r="H674" s="1"/>
    </row>
    <row r="675" spans="1:8" ht="19.5">
      <c r="A675" s="1"/>
      <c r="B675" s="1"/>
      <c r="C675" s="1"/>
      <c r="D675" s="1"/>
      <c r="E675" s="1"/>
      <c r="G675" s="4"/>
      <c r="H675" s="1"/>
    </row>
    <row r="676" spans="1:8" ht="19.5">
      <c r="A676" s="1"/>
      <c r="B676" s="1"/>
      <c r="C676" s="1"/>
      <c r="D676" s="1"/>
      <c r="E676" s="1"/>
      <c r="G676" s="4"/>
      <c r="H676" s="1"/>
    </row>
    <row r="677" spans="1:8" ht="19.5">
      <c r="A677" s="1"/>
      <c r="B677" s="1"/>
      <c r="C677" s="1"/>
      <c r="D677" s="1"/>
      <c r="E677" s="1"/>
      <c r="G677" s="4"/>
      <c r="H677" s="1"/>
    </row>
    <row r="678" spans="1:8" ht="19.5">
      <c r="A678" s="1"/>
      <c r="B678" s="1"/>
      <c r="C678" s="1"/>
      <c r="D678" s="1"/>
      <c r="E678" s="1"/>
      <c r="G678" s="4"/>
      <c r="H678" s="1"/>
    </row>
    <row r="679" spans="1:8" ht="19.5">
      <c r="A679" s="1"/>
      <c r="B679" s="1"/>
      <c r="C679" s="1"/>
      <c r="D679" s="1"/>
      <c r="E679" s="1"/>
      <c r="G679" s="4"/>
      <c r="H679" s="1"/>
    </row>
    <row r="680" spans="1:8" ht="19.5">
      <c r="A680" s="1"/>
      <c r="B680" s="1"/>
      <c r="C680" s="1"/>
      <c r="D680" s="1"/>
      <c r="E680" s="1"/>
      <c r="G680" s="4"/>
      <c r="H680" s="1"/>
    </row>
    <row r="681" spans="1:8" ht="19.5">
      <c r="A681" s="1"/>
      <c r="B681" s="1"/>
      <c r="C681" s="1"/>
      <c r="D681" s="1"/>
      <c r="E681" s="1"/>
      <c r="G681" s="4"/>
      <c r="H681" s="1"/>
    </row>
    <row r="682" spans="1:8" ht="19.5">
      <c r="A682" s="1"/>
      <c r="B682" s="1"/>
      <c r="C682" s="1"/>
      <c r="D682" s="1"/>
      <c r="E682" s="1"/>
      <c r="G682" s="4"/>
      <c r="H682" s="1"/>
    </row>
    <row r="683" spans="1:8" ht="19.5">
      <c r="A683" s="1"/>
      <c r="B683" s="1"/>
      <c r="C683" s="1"/>
      <c r="D683" s="1"/>
      <c r="E683" s="1"/>
      <c r="G683" s="4"/>
      <c r="H683" s="1"/>
    </row>
    <row r="684" spans="1:8" ht="19.5">
      <c r="A684" s="1"/>
      <c r="B684" s="1"/>
      <c r="C684" s="1"/>
      <c r="D684" s="1"/>
      <c r="E684" s="1"/>
      <c r="G684" s="4"/>
      <c r="H684" s="1"/>
    </row>
    <row r="685" spans="1:8" ht="19.5">
      <c r="A685" s="1"/>
      <c r="B685" s="1"/>
      <c r="C685" s="1"/>
      <c r="D685" s="1"/>
      <c r="E685" s="1"/>
      <c r="G685" s="4"/>
      <c r="H685" s="1"/>
    </row>
    <row r="686" spans="1:8" ht="19.5">
      <c r="A686" s="1"/>
      <c r="B686" s="1"/>
      <c r="C686" s="1"/>
      <c r="D686" s="1"/>
      <c r="E686" s="1"/>
      <c r="G686" s="4"/>
      <c r="H686" s="1"/>
    </row>
    <row r="687" spans="1:8" ht="19.5">
      <c r="A687" s="1"/>
      <c r="B687" s="1"/>
      <c r="C687" s="1"/>
      <c r="D687" s="1"/>
      <c r="E687" s="1"/>
      <c r="G687" s="4"/>
      <c r="H687" s="1"/>
    </row>
    <row r="688" spans="1:8" ht="19.5">
      <c r="A688" s="1"/>
      <c r="B688" s="1"/>
      <c r="C688" s="1"/>
      <c r="D688" s="1"/>
      <c r="E688" s="1"/>
      <c r="G688" s="4"/>
      <c r="H688" s="1"/>
    </row>
    <row r="689" spans="1:8" ht="19.5">
      <c r="A689" s="1"/>
      <c r="B689" s="1"/>
      <c r="C689" s="1"/>
      <c r="D689" s="1"/>
      <c r="E689" s="1"/>
      <c r="G689" s="4"/>
      <c r="H689" s="1"/>
    </row>
    <row r="690" spans="1:8" ht="19.5">
      <c r="A690" s="1"/>
      <c r="B690" s="1"/>
      <c r="C690" s="1"/>
      <c r="D690" s="1"/>
      <c r="E690" s="1"/>
      <c r="G690" s="4"/>
      <c r="H690" s="1"/>
    </row>
    <row r="691" spans="1:8" ht="19.5">
      <c r="A691" s="1"/>
      <c r="B691" s="1"/>
      <c r="C691" s="1"/>
      <c r="D691" s="1"/>
      <c r="E691" s="1"/>
      <c r="G691" s="4"/>
      <c r="H691" s="1"/>
    </row>
    <row r="692" spans="1:8" ht="19.5">
      <c r="A692" s="1"/>
      <c r="B692" s="1"/>
      <c r="C692" s="1"/>
      <c r="D692" s="1"/>
      <c r="E692" s="1"/>
      <c r="G692" s="4"/>
      <c r="H692" s="1"/>
    </row>
    <row r="693" spans="1:8" ht="19.5">
      <c r="A693" s="1"/>
      <c r="B693" s="1"/>
      <c r="C693" s="1"/>
      <c r="D693" s="1"/>
      <c r="E693" s="1"/>
      <c r="G693" s="4"/>
      <c r="H693" s="1"/>
    </row>
    <row r="694" spans="1:8" ht="19.5">
      <c r="A694" s="1"/>
      <c r="B694" s="1"/>
      <c r="C694" s="1"/>
      <c r="D694" s="1"/>
      <c r="E694" s="1"/>
      <c r="G694" s="4"/>
      <c r="H694" s="1"/>
    </row>
    <row r="695" spans="1:8" ht="19.5">
      <c r="A695" s="1"/>
      <c r="B695" s="1"/>
      <c r="C695" s="1"/>
      <c r="D695" s="1"/>
      <c r="E695" s="1"/>
      <c r="G695" s="4"/>
      <c r="H695" s="1"/>
    </row>
    <row r="696" spans="1:8" ht="19.5">
      <c r="A696" s="1"/>
      <c r="B696" s="1"/>
      <c r="C696" s="1"/>
      <c r="D696" s="1"/>
      <c r="E696" s="1"/>
      <c r="G696" s="4"/>
      <c r="H696" s="1"/>
    </row>
    <row r="697" spans="1:8" ht="19.5">
      <c r="A697" s="1"/>
      <c r="B697" s="1"/>
      <c r="C697" s="1"/>
      <c r="D697" s="1"/>
      <c r="E697" s="1"/>
      <c r="G697" s="4"/>
      <c r="H697" s="1"/>
    </row>
    <row r="698" spans="1:8" ht="19.5">
      <c r="A698" s="1"/>
      <c r="B698" s="1"/>
      <c r="C698" s="1"/>
      <c r="D698" s="1"/>
      <c r="E698" s="1"/>
      <c r="G698" s="4"/>
      <c r="H698" s="1"/>
    </row>
    <row r="699" spans="1:8" ht="19.5">
      <c r="A699" s="1"/>
      <c r="B699" s="1"/>
      <c r="C699" s="1"/>
      <c r="D699" s="1"/>
      <c r="E699" s="1"/>
      <c r="G699" s="4"/>
      <c r="H699" s="1"/>
    </row>
    <row r="700" spans="1:8" ht="19.5">
      <c r="A700" s="1"/>
      <c r="B700" s="1"/>
      <c r="C700" s="1"/>
      <c r="D700" s="1"/>
      <c r="E700" s="1"/>
      <c r="G700" s="4"/>
      <c r="H700" s="1"/>
    </row>
    <row r="701" spans="1:8" ht="19.5">
      <c r="A701" s="1"/>
      <c r="B701" s="1"/>
      <c r="C701" s="1"/>
      <c r="D701" s="1"/>
      <c r="E701" s="1"/>
      <c r="G701" s="4"/>
      <c r="H701" s="1"/>
    </row>
    <row r="702" spans="1:8" ht="19.5">
      <c r="A702" s="1"/>
      <c r="B702" s="1"/>
      <c r="C702" s="1"/>
      <c r="D702" s="1"/>
      <c r="E702" s="1"/>
      <c r="G702" s="4"/>
      <c r="H702" s="1"/>
    </row>
    <row r="703" spans="1:8" ht="19.5">
      <c r="A703" s="1"/>
      <c r="B703" s="1"/>
      <c r="C703" s="1"/>
      <c r="D703" s="1"/>
      <c r="E703" s="1"/>
      <c r="G703" s="4"/>
      <c r="H703" s="1"/>
    </row>
    <row r="704" spans="1:8" ht="19.5">
      <c r="A704" s="1"/>
      <c r="B704" s="1"/>
      <c r="C704" s="1"/>
      <c r="D704" s="1"/>
      <c r="E704" s="1"/>
      <c r="G704" s="4"/>
      <c r="H704" s="1"/>
    </row>
    <row r="705" spans="1:8" ht="19.5">
      <c r="A705" s="1"/>
      <c r="B705" s="1"/>
      <c r="C705" s="1"/>
      <c r="D705" s="1"/>
      <c r="E705" s="1"/>
      <c r="G705" s="4"/>
      <c r="H705" s="1"/>
    </row>
    <row r="706" spans="1:8" ht="19.5">
      <c r="A706" s="1"/>
      <c r="B706" s="1"/>
      <c r="C706" s="1"/>
      <c r="D706" s="1"/>
      <c r="E706" s="1"/>
      <c r="G706" s="4"/>
      <c r="H706" s="1"/>
    </row>
    <row r="707" spans="1:8" ht="19.5">
      <c r="A707" s="1"/>
      <c r="B707" s="1"/>
      <c r="C707" s="1"/>
      <c r="D707" s="1"/>
      <c r="E707" s="1"/>
      <c r="G707" s="4"/>
      <c r="H707" s="1"/>
    </row>
    <row r="708" spans="1:8" ht="19.5">
      <c r="A708" s="1"/>
      <c r="B708" s="1"/>
      <c r="C708" s="1"/>
      <c r="D708" s="1"/>
      <c r="E708" s="1"/>
      <c r="G708" s="4"/>
      <c r="H708" s="1"/>
    </row>
    <row r="709" spans="1:8" ht="19.5">
      <c r="A709" s="1"/>
      <c r="B709" s="1"/>
      <c r="C709" s="1"/>
      <c r="D709" s="1"/>
      <c r="E709" s="1"/>
      <c r="G709" s="4"/>
      <c r="H709" s="1"/>
    </row>
    <row r="710" spans="1:8" ht="19.5">
      <c r="A710" s="1"/>
      <c r="B710" s="1"/>
      <c r="C710" s="1"/>
      <c r="D710" s="1"/>
      <c r="E710" s="1"/>
      <c r="G710" s="4"/>
      <c r="H710" s="1"/>
    </row>
    <row r="711" spans="1:8" ht="19.5">
      <c r="A711" s="1"/>
      <c r="B711" s="1"/>
      <c r="C711" s="1"/>
      <c r="D711" s="1"/>
      <c r="E711" s="1"/>
      <c r="G711" s="4"/>
      <c r="H711" s="1"/>
    </row>
    <row r="712" spans="1:8" ht="19.5">
      <c r="A712" s="1"/>
      <c r="B712" s="1"/>
      <c r="C712" s="1"/>
      <c r="D712" s="1"/>
      <c r="E712" s="1"/>
      <c r="G712" s="4"/>
      <c r="H712" s="1"/>
    </row>
    <row r="713" spans="1:8" ht="19.5">
      <c r="A713" s="1"/>
      <c r="B713" s="1"/>
      <c r="C713" s="1"/>
      <c r="D713" s="1"/>
      <c r="E713" s="1"/>
      <c r="G713" s="4"/>
      <c r="H713" s="1"/>
    </row>
    <row r="714" spans="1:8" ht="19.5">
      <c r="A714" s="1"/>
      <c r="B714" s="1"/>
      <c r="C714" s="1"/>
      <c r="D714" s="1"/>
      <c r="E714" s="1"/>
      <c r="G714" s="4"/>
      <c r="H714" s="1"/>
    </row>
    <row r="715" spans="1:8" ht="19.5">
      <c r="A715" s="1"/>
      <c r="B715" s="1"/>
      <c r="C715" s="1"/>
      <c r="D715" s="1"/>
      <c r="E715" s="1"/>
      <c r="G715" s="4"/>
      <c r="H715" s="1"/>
    </row>
    <row r="716" spans="1:8" ht="19.5">
      <c r="A716" s="1"/>
      <c r="B716" s="1"/>
      <c r="C716" s="1"/>
      <c r="D716" s="1"/>
      <c r="E716" s="1"/>
      <c r="G716" s="4"/>
      <c r="H716" s="1"/>
    </row>
    <row r="717" spans="1:8" ht="19.5">
      <c r="A717" s="1"/>
      <c r="B717" s="1"/>
      <c r="C717" s="1"/>
      <c r="D717" s="1"/>
      <c r="E717" s="1"/>
      <c r="G717" s="4"/>
      <c r="H717" s="1"/>
    </row>
    <row r="718" spans="1:8" ht="19.5">
      <c r="A718" s="1"/>
      <c r="B718" s="1"/>
      <c r="C718" s="1"/>
      <c r="D718" s="1"/>
      <c r="E718" s="1"/>
      <c r="G718" s="4"/>
      <c r="H718" s="1"/>
    </row>
    <row r="719" spans="1:8" ht="19.5">
      <c r="A719" s="1"/>
      <c r="B719" s="1"/>
      <c r="C719" s="1"/>
      <c r="D719" s="1"/>
      <c r="E719" s="1"/>
      <c r="G719" s="4"/>
      <c r="H719" s="1"/>
    </row>
    <row r="720" spans="1:8" ht="19.5">
      <c r="A720" s="1"/>
      <c r="B720" s="1"/>
      <c r="C720" s="1"/>
      <c r="D720" s="1"/>
      <c r="E720" s="1"/>
      <c r="G720" s="4"/>
      <c r="H720" s="1"/>
    </row>
    <row r="721" spans="1:8" ht="19.5">
      <c r="A721" s="1"/>
      <c r="B721" s="1"/>
      <c r="C721" s="1"/>
      <c r="D721" s="1"/>
      <c r="E721" s="1"/>
      <c r="G721" s="4"/>
      <c r="H721" s="1"/>
    </row>
    <row r="722" spans="1:8" ht="19.5">
      <c r="A722" s="1"/>
      <c r="B722" s="1"/>
      <c r="C722" s="1"/>
      <c r="D722" s="1"/>
      <c r="E722" s="1"/>
      <c r="G722" s="4"/>
      <c r="H722" s="1"/>
    </row>
    <row r="723" spans="1:8" ht="19.5">
      <c r="A723" s="1"/>
      <c r="B723" s="1"/>
      <c r="C723" s="1"/>
      <c r="D723" s="1"/>
      <c r="E723" s="1"/>
      <c r="G723" s="4"/>
      <c r="H723" s="1"/>
    </row>
    <row r="724" spans="1:8" ht="19.5">
      <c r="A724" s="1"/>
      <c r="B724" s="1"/>
      <c r="C724" s="1"/>
      <c r="D724" s="1"/>
      <c r="E724" s="1"/>
      <c r="G724" s="4"/>
      <c r="H724" s="1"/>
    </row>
    <row r="725" spans="1:8" ht="19.5">
      <c r="A725" s="1"/>
      <c r="B725" s="1"/>
      <c r="C725" s="1"/>
      <c r="D725" s="1"/>
      <c r="E725" s="1"/>
      <c r="G725" s="4"/>
      <c r="H725" s="1"/>
    </row>
    <row r="726" spans="1:8" ht="19.5">
      <c r="A726" s="1"/>
      <c r="B726" s="1"/>
      <c r="C726" s="1"/>
      <c r="D726" s="1"/>
      <c r="E726" s="1"/>
      <c r="G726" s="4"/>
      <c r="H726" s="1"/>
    </row>
    <row r="727" spans="1:8" ht="19.5">
      <c r="A727" s="1"/>
      <c r="B727" s="1"/>
      <c r="C727" s="1"/>
      <c r="D727" s="1"/>
      <c r="E727" s="1"/>
      <c r="G727" s="4"/>
      <c r="H727" s="1"/>
    </row>
    <row r="728" spans="1:8" ht="19.5">
      <c r="A728" s="1"/>
      <c r="B728" s="1"/>
      <c r="C728" s="1"/>
      <c r="D728" s="1"/>
      <c r="E728" s="1"/>
      <c r="G728" s="4"/>
      <c r="H728" s="1"/>
    </row>
    <row r="729" spans="1:8" ht="19.5">
      <c r="A729" s="1"/>
      <c r="B729" s="1"/>
      <c r="C729" s="1"/>
      <c r="D729" s="1"/>
      <c r="E729" s="1"/>
      <c r="G729" s="4"/>
      <c r="H729" s="1"/>
    </row>
    <row r="730" spans="1:8" ht="19.5">
      <c r="A730" s="1"/>
      <c r="B730" s="1"/>
      <c r="C730" s="1"/>
      <c r="D730" s="1"/>
      <c r="E730" s="1"/>
      <c r="G730" s="4"/>
      <c r="H730" s="1"/>
    </row>
    <row r="731" spans="1:8" ht="19.5">
      <c r="A731" s="1"/>
      <c r="B731" s="1"/>
      <c r="C731" s="1"/>
      <c r="D731" s="1"/>
      <c r="E731" s="1"/>
      <c r="G731" s="4"/>
      <c r="H731" s="1"/>
    </row>
    <row r="732" spans="1:8" ht="19.5">
      <c r="A732" s="1"/>
      <c r="B732" s="1"/>
      <c r="C732" s="1"/>
      <c r="D732" s="1"/>
      <c r="E732" s="1"/>
      <c r="G732" s="4"/>
      <c r="H732" s="1"/>
    </row>
    <row r="733" spans="1:8" ht="19.5">
      <c r="A733" s="1"/>
      <c r="B733" s="1"/>
      <c r="C733" s="1"/>
      <c r="D733" s="1"/>
      <c r="E733" s="1"/>
      <c r="G733" s="4"/>
      <c r="H733" s="1"/>
    </row>
    <row r="734" spans="1:8" ht="19.5">
      <c r="A734" s="1"/>
      <c r="B734" s="1"/>
      <c r="C734" s="1"/>
      <c r="D734" s="1"/>
      <c r="E734" s="1"/>
      <c r="G734" s="4"/>
      <c r="H734" s="1"/>
    </row>
    <row r="735" spans="1:8" ht="19.5">
      <c r="A735" s="1"/>
      <c r="B735" s="1"/>
      <c r="C735" s="1"/>
      <c r="D735" s="1"/>
      <c r="E735" s="1"/>
      <c r="G735" s="4"/>
      <c r="H735" s="1"/>
    </row>
    <row r="736" spans="1:8" ht="19.5">
      <c r="A736" s="1"/>
      <c r="B736" s="1"/>
      <c r="C736" s="1"/>
      <c r="D736" s="1"/>
      <c r="E736" s="1"/>
      <c r="G736" s="4"/>
      <c r="H736" s="1"/>
    </row>
    <row r="737" spans="1:8" ht="19.5">
      <c r="A737" s="1"/>
      <c r="B737" s="1"/>
      <c r="C737" s="1"/>
      <c r="D737" s="1"/>
      <c r="E737" s="1"/>
      <c r="G737" s="4"/>
      <c r="H737" s="1"/>
    </row>
    <row r="738" spans="1:8" ht="19.5">
      <c r="A738" s="1"/>
      <c r="B738" s="1"/>
      <c r="C738" s="1"/>
      <c r="D738" s="1"/>
      <c r="E738" s="1"/>
      <c r="G738" s="4"/>
      <c r="H738" s="1"/>
    </row>
    <row r="739" spans="1:8" ht="19.5">
      <c r="A739" s="1"/>
      <c r="B739" s="1"/>
      <c r="C739" s="1"/>
      <c r="D739" s="1"/>
      <c r="E739" s="1"/>
      <c r="G739" s="4"/>
      <c r="H739" s="1"/>
    </row>
    <row r="740" spans="1:8" ht="19.5">
      <c r="A740" s="1"/>
      <c r="B740" s="1"/>
      <c r="C740" s="1"/>
      <c r="D740" s="1"/>
      <c r="E740" s="1"/>
      <c r="G740" s="4"/>
      <c r="H740" s="1"/>
    </row>
    <row r="741" spans="1:8" ht="19.5">
      <c r="A741" s="1"/>
      <c r="B741" s="1"/>
      <c r="C741" s="1"/>
      <c r="D741" s="1"/>
      <c r="E741" s="1"/>
      <c r="G741" s="4"/>
      <c r="H741" s="1"/>
    </row>
    <row r="742" spans="1:8" ht="19.5">
      <c r="A742" s="1"/>
      <c r="B742" s="1"/>
      <c r="C742" s="1"/>
      <c r="D742" s="1"/>
      <c r="E742" s="1"/>
      <c r="G742" s="4"/>
      <c r="H742" s="1"/>
    </row>
    <row r="743" spans="1:8" ht="19.5">
      <c r="A743" s="1"/>
      <c r="B743" s="1"/>
      <c r="C743" s="1"/>
      <c r="D743" s="1"/>
      <c r="E743" s="1"/>
      <c r="G743" s="4"/>
      <c r="H743" s="1"/>
    </row>
    <row r="744" spans="1:8" ht="19.5">
      <c r="A744" s="1"/>
      <c r="B744" s="1"/>
      <c r="C744" s="1"/>
      <c r="D744" s="1"/>
      <c r="E744" s="1"/>
      <c r="G744" s="4"/>
      <c r="H744" s="1"/>
    </row>
    <row r="745" spans="1:8" ht="19.5">
      <c r="A745" s="1"/>
      <c r="B745" s="1"/>
      <c r="C745" s="1"/>
      <c r="D745" s="1"/>
      <c r="E745" s="1"/>
      <c r="G745" s="4"/>
      <c r="H745" s="1"/>
    </row>
    <row r="746" spans="1:8" ht="19.5">
      <c r="A746" s="1"/>
      <c r="B746" s="1"/>
      <c r="C746" s="1"/>
      <c r="D746" s="1"/>
      <c r="E746" s="1"/>
      <c r="G746" s="4"/>
      <c r="H746" s="1"/>
    </row>
    <row r="747" spans="1:8" ht="19.5">
      <c r="A747" s="1"/>
      <c r="B747" s="1"/>
      <c r="C747" s="1"/>
      <c r="D747" s="1"/>
      <c r="E747" s="1"/>
      <c r="G747" s="4"/>
      <c r="H747" s="1"/>
    </row>
    <row r="748" spans="1:8" ht="19.5">
      <c r="A748" s="1"/>
      <c r="B748" s="1"/>
      <c r="C748" s="1"/>
      <c r="D748" s="1"/>
      <c r="E748" s="1"/>
      <c r="G748" s="4"/>
      <c r="H748" s="1"/>
    </row>
    <row r="749" spans="1:8" ht="19.5">
      <c r="A749" s="1"/>
      <c r="B749" s="1"/>
      <c r="C749" s="1"/>
      <c r="D749" s="1"/>
      <c r="E749" s="1"/>
      <c r="G749" s="4"/>
      <c r="H749" s="1"/>
    </row>
    <row r="750" spans="1:8" ht="19.5">
      <c r="A750" s="1"/>
      <c r="B750" s="1"/>
      <c r="C750" s="1"/>
      <c r="D750" s="1"/>
      <c r="E750" s="1"/>
      <c r="G750" s="4"/>
      <c r="H750" s="1"/>
    </row>
    <row r="751" spans="1:8" ht="19.5">
      <c r="A751" s="1"/>
      <c r="B751" s="1"/>
      <c r="C751" s="1"/>
      <c r="D751" s="1"/>
      <c r="E751" s="1"/>
      <c r="G751" s="4"/>
      <c r="H751" s="1"/>
    </row>
    <row r="752" spans="1:8" ht="19.5">
      <c r="A752" s="1"/>
      <c r="B752" s="1"/>
      <c r="C752" s="1"/>
      <c r="D752" s="1"/>
      <c r="E752" s="1"/>
      <c r="G752" s="4"/>
      <c r="H752" s="1"/>
    </row>
    <row r="753" spans="1:8" ht="19.5">
      <c r="A753" s="1"/>
      <c r="B753" s="1"/>
      <c r="C753" s="1"/>
      <c r="D753" s="1"/>
      <c r="E753" s="1"/>
      <c r="G753" s="4"/>
      <c r="H753" s="1"/>
    </row>
    <row r="754" spans="1:8" ht="19.5">
      <c r="A754" s="1"/>
      <c r="B754" s="1"/>
      <c r="C754" s="1"/>
      <c r="D754" s="1"/>
      <c r="E754" s="1"/>
      <c r="G754" s="4"/>
      <c r="H754" s="1"/>
    </row>
    <row r="755" spans="1:8" ht="19.5">
      <c r="A755" s="1"/>
      <c r="B755" s="1"/>
      <c r="C755" s="1"/>
      <c r="D755" s="1"/>
      <c r="E755" s="1"/>
      <c r="G755" s="4"/>
      <c r="H755" s="1"/>
    </row>
    <row r="756" spans="1:8" ht="19.5">
      <c r="A756" s="1"/>
      <c r="B756" s="1"/>
      <c r="C756" s="1"/>
      <c r="D756" s="1"/>
      <c r="E756" s="1"/>
      <c r="G756" s="4"/>
      <c r="H756" s="1"/>
    </row>
    <row r="757" spans="1:8" ht="19.5">
      <c r="A757" s="1"/>
      <c r="B757" s="1"/>
      <c r="C757" s="1"/>
      <c r="D757" s="1"/>
      <c r="E757" s="1"/>
      <c r="G757" s="4"/>
      <c r="H757" s="1"/>
    </row>
    <row r="758" spans="1:8" ht="19.5">
      <c r="A758" s="1"/>
      <c r="B758" s="1"/>
      <c r="C758" s="1"/>
      <c r="D758" s="1"/>
      <c r="E758" s="1"/>
      <c r="G758" s="4"/>
      <c r="H758" s="1"/>
    </row>
    <row r="759" spans="1:8" ht="19.5">
      <c r="A759" s="1"/>
      <c r="B759" s="1"/>
      <c r="C759" s="1"/>
      <c r="D759" s="1"/>
      <c r="E759" s="1"/>
      <c r="G759" s="4"/>
      <c r="H759" s="1"/>
    </row>
    <row r="760" spans="1:8" ht="19.5">
      <c r="A760" s="1"/>
      <c r="B760" s="1"/>
      <c r="C760" s="1"/>
      <c r="D760" s="1"/>
      <c r="E760" s="1"/>
      <c r="G760" s="4"/>
      <c r="H760" s="1"/>
    </row>
    <row r="761" spans="1:8" ht="19.5">
      <c r="A761" s="1"/>
      <c r="B761" s="1"/>
      <c r="C761" s="1"/>
      <c r="D761" s="1"/>
      <c r="E761" s="1"/>
      <c r="G761" s="4"/>
      <c r="H761" s="1"/>
    </row>
    <row r="762" spans="1:8" ht="19.5">
      <c r="A762" s="1"/>
      <c r="B762" s="1"/>
      <c r="C762" s="1"/>
      <c r="D762" s="1"/>
      <c r="E762" s="1"/>
      <c r="G762" s="4"/>
      <c r="H762" s="1"/>
    </row>
    <row r="763" spans="1:8" ht="19.5">
      <c r="A763" s="1"/>
      <c r="B763" s="1"/>
      <c r="C763" s="1"/>
      <c r="D763" s="1"/>
      <c r="E763" s="1"/>
      <c r="G763" s="4"/>
      <c r="H763" s="1"/>
    </row>
    <row r="764" spans="1:8" ht="19.5">
      <c r="A764" s="1"/>
      <c r="B764" s="1"/>
      <c r="C764" s="1"/>
      <c r="D764" s="1"/>
      <c r="E764" s="1"/>
      <c r="G764" s="4"/>
      <c r="H764" s="1"/>
    </row>
    <row r="765" spans="1:8" ht="19.5">
      <c r="A765" s="1"/>
      <c r="B765" s="1"/>
      <c r="C765" s="1"/>
      <c r="D765" s="1"/>
      <c r="E765" s="1"/>
      <c r="G765" s="4"/>
      <c r="H765" s="1"/>
    </row>
    <row r="766" spans="1:8" ht="19.5">
      <c r="A766" s="1"/>
      <c r="B766" s="1"/>
      <c r="C766" s="1"/>
      <c r="D766" s="1"/>
      <c r="E766" s="1"/>
      <c r="G766" s="4"/>
      <c r="H766" s="1"/>
    </row>
    <row r="767" spans="1:8" ht="19.5">
      <c r="A767" s="1"/>
      <c r="B767" s="1"/>
      <c r="C767" s="1"/>
      <c r="D767" s="1"/>
      <c r="E767" s="1"/>
      <c r="G767" s="4"/>
      <c r="H767" s="1"/>
    </row>
    <row r="768" spans="1:8" ht="19.5">
      <c r="A768" s="1"/>
      <c r="B768" s="1"/>
      <c r="C768" s="1"/>
      <c r="D768" s="1"/>
      <c r="E768" s="1"/>
      <c r="G768" s="4"/>
      <c r="H768" s="1"/>
    </row>
    <row r="769" spans="1:8" ht="19.5">
      <c r="A769" s="1"/>
      <c r="B769" s="1"/>
      <c r="C769" s="1"/>
      <c r="D769" s="1"/>
      <c r="E769" s="1"/>
      <c r="G769" s="4"/>
      <c r="H769" s="1"/>
    </row>
    <row r="770" spans="1:8" ht="19.5">
      <c r="A770" s="1"/>
      <c r="B770" s="1"/>
      <c r="C770" s="1"/>
      <c r="D770" s="1"/>
      <c r="E770" s="1"/>
      <c r="G770" s="4"/>
      <c r="H770" s="1"/>
    </row>
    <row r="771" spans="1:8" ht="19.5">
      <c r="A771" s="1"/>
      <c r="B771" s="1"/>
      <c r="C771" s="1"/>
      <c r="D771" s="1"/>
      <c r="E771" s="1"/>
      <c r="G771" s="4"/>
      <c r="H771" s="1"/>
    </row>
    <row r="772" spans="1:8" ht="19.5">
      <c r="A772" s="1"/>
      <c r="B772" s="1"/>
      <c r="C772" s="1"/>
      <c r="D772" s="1"/>
      <c r="E772" s="1"/>
      <c r="G772" s="4"/>
      <c r="H772" s="1"/>
    </row>
    <row r="773" spans="1:8" ht="19.5">
      <c r="A773" s="1"/>
      <c r="B773" s="1"/>
      <c r="C773" s="1"/>
      <c r="D773" s="1"/>
      <c r="E773" s="1"/>
      <c r="G773" s="4"/>
      <c r="H773" s="1"/>
    </row>
    <row r="774" spans="1:8" ht="19.5">
      <c r="A774" s="1"/>
      <c r="B774" s="1"/>
      <c r="C774" s="1"/>
      <c r="D774" s="1"/>
      <c r="E774" s="1"/>
      <c r="G774" s="4"/>
      <c r="H774" s="1"/>
    </row>
    <row r="775" spans="1:8" ht="19.5">
      <c r="A775" s="1"/>
      <c r="B775" s="1"/>
      <c r="C775" s="1"/>
      <c r="D775" s="1"/>
      <c r="E775" s="1"/>
      <c r="G775" s="4"/>
      <c r="H775" s="1"/>
    </row>
    <row r="776" spans="1:8" ht="19.5">
      <c r="A776" s="1"/>
      <c r="B776" s="1"/>
      <c r="C776" s="1"/>
      <c r="D776" s="1"/>
      <c r="E776" s="1"/>
      <c r="G776" s="4"/>
      <c r="H776" s="1"/>
    </row>
    <row r="777" spans="1:8" ht="19.5">
      <c r="A777" s="1"/>
      <c r="B777" s="1"/>
      <c r="C777" s="1"/>
      <c r="D777" s="1"/>
      <c r="E777" s="1"/>
      <c r="G777" s="4"/>
      <c r="H777" s="1"/>
    </row>
    <row r="778" spans="1:8" ht="19.5">
      <c r="A778" s="1"/>
      <c r="B778" s="1"/>
      <c r="C778" s="1"/>
      <c r="D778" s="1"/>
      <c r="E778" s="1"/>
      <c r="G778" s="4"/>
      <c r="H778" s="1"/>
    </row>
    <row r="779" spans="1:8" ht="19.5">
      <c r="A779" s="1"/>
      <c r="B779" s="1"/>
      <c r="C779" s="1"/>
      <c r="D779" s="1"/>
      <c r="E779" s="1"/>
      <c r="G779" s="4"/>
      <c r="H779" s="1"/>
    </row>
    <row r="780" spans="1:8" ht="19.5">
      <c r="A780" s="1"/>
      <c r="B780" s="1"/>
      <c r="C780" s="1"/>
      <c r="D780" s="1"/>
      <c r="E780" s="1"/>
      <c r="G780" s="4"/>
      <c r="H780" s="1"/>
    </row>
    <row r="781" spans="1:8" ht="19.5">
      <c r="A781" s="1"/>
      <c r="B781" s="1"/>
      <c r="C781" s="1"/>
      <c r="D781" s="1"/>
      <c r="E781" s="1"/>
      <c r="G781" s="4"/>
      <c r="H781" s="1"/>
    </row>
    <row r="782" spans="1:8" ht="19.5">
      <c r="A782" s="1"/>
      <c r="B782" s="1"/>
      <c r="C782" s="1"/>
      <c r="D782" s="1"/>
      <c r="E782" s="1"/>
      <c r="G782" s="4"/>
      <c r="H782" s="1"/>
    </row>
    <row r="783" spans="1:8" ht="19.5">
      <c r="A783" s="1"/>
      <c r="B783" s="1"/>
      <c r="C783" s="1"/>
      <c r="D783" s="1"/>
      <c r="E783" s="1"/>
      <c r="G783" s="4"/>
      <c r="H783" s="1"/>
    </row>
    <row r="784" spans="1:8" ht="19.5">
      <c r="A784" s="1"/>
      <c r="B784" s="1"/>
      <c r="C784" s="1"/>
      <c r="D784" s="1"/>
      <c r="E784" s="1"/>
      <c r="G784" s="4"/>
      <c r="H784" s="1"/>
    </row>
    <row r="785" spans="1:8" ht="19.5">
      <c r="A785" s="1"/>
      <c r="B785" s="1"/>
      <c r="C785" s="1"/>
      <c r="D785" s="1"/>
      <c r="E785" s="1"/>
      <c r="G785" s="4"/>
      <c r="H785" s="1"/>
    </row>
    <row r="786" spans="1:8" ht="19.5">
      <c r="A786" s="1"/>
      <c r="B786" s="1"/>
      <c r="C786" s="1"/>
      <c r="D786" s="1"/>
      <c r="E786" s="1"/>
      <c r="G786" s="4"/>
      <c r="H786" s="1"/>
    </row>
    <row r="787" spans="1:8" ht="19.5">
      <c r="A787" s="1"/>
      <c r="B787" s="1"/>
      <c r="C787" s="1"/>
      <c r="D787" s="1"/>
      <c r="E787" s="1"/>
      <c r="G787" s="4"/>
      <c r="H787" s="1"/>
    </row>
    <row r="788" spans="1:8" ht="19.5">
      <c r="A788" s="1"/>
      <c r="B788" s="1"/>
      <c r="C788" s="1"/>
      <c r="D788" s="1"/>
      <c r="E788" s="1"/>
      <c r="G788" s="4"/>
      <c r="H788" s="1"/>
    </row>
    <row r="789" spans="1:8" ht="19.5">
      <c r="A789" s="1"/>
      <c r="B789" s="1"/>
      <c r="C789" s="1"/>
      <c r="D789" s="1"/>
      <c r="E789" s="1"/>
      <c r="G789" s="4"/>
      <c r="H789" s="1"/>
    </row>
    <row r="790" spans="1:8" ht="19.5">
      <c r="A790" s="1"/>
      <c r="B790" s="1"/>
      <c r="C790" s="1"/>
      <c r="D790" s="1"/>
      <c r="E790" s="1"/>
      <c r="G790" s="4"/>
      <c r="H790" s="1"/>
    </row>
    <row r="791" spans="1:8" ht="19.5">
      <c r="A791" s="1"/>
      <c r="B791" s="1"/>
      <c r="C791" s="1"/>
      <c r="D791" s="1"/>
      <c r="E791" s="1"/>
      <c r="G791" s="4"/>
      <c r="H791" s="1"/>
    </row>
    <row r="792" spans="1:8" ht="19.5">
      <c r="A792" s="1"/>
      <c r="B792" s="1"/>
      <c r="C792" s="1"/>
      <c r="D792" s="1"/>
      <c r="E792" s="1"/>
      <c r="G792" s="4"/>
      <c r="H792" s="1"/>
    </row>
    <row r="793" spans="1:8" ht="19.5">
      <c r="A793" s="1"/>
      <c r="B793" s="1"/>
      <c r="C793" s="1"/>
      <c r="D793" s="1"/>
      <c r="E793" s="1"/>
      <c r="G793" s="4"/>
      <c r="H793" s="1"/>
    </row>
    <row r="794" spans="1:8" ht="19.5">
      <c r="A794" s="1"/>
      <c r="B794" s="1"/>
      <c r="C794" s="1"/>
      <c r="D794" s="1"/>
      <c r="E794" s="1"/>
      <c r="G794" s="4"/>
      <c r="H794" s="1"/>
    </row>
    <row r="795" spans="1:8" ht="19.5">
      <c r="A795" s="1"/>
      <c r="B795" s="1"/>
      <c r="C795" s="1"/>
      <c r="D795" s="1"/>
      <c r="E795" s="1"/>
      <c r="G795" s="4"/>
      <c r="H795" s="1"/>
    </row>
    <row r="796" spans="1:8" ht="19.5">
      <c r="A796" s="1"/>
      <c r="B796" s="1"/>
      <c r="C796" s="1"/>
      <c r="D796" s="1"/>
      <c r="E796" s="1"/>
      <c r="G796" s="4"/>
      <c r="H796" s="1"/>
    </row>
    <row r="797" spans="1:8" ht="19.5">
      <c r="A797" s="1"/>
      <c r="B797" s="1"/>
      <c r="C797" s="1"/>
      <c r="D797" s="1"/>
      <c r="E797" s="1"/>
      <c r="G797" s="4"/>
      <c r="H797" s="1"/>
    </row>
    <row r="798" spans="1:8" ht="19.5">
      <c r="A798" s="1"/>
      <c r="B798" s="1"/>
      <c r="C798" s="1"/>
      <c r="D798" s="1"/>
      <c r="E798" s="1"/>
      <c r="G798" s="4"/>
      <c r="H798" s="1"/>
    </row>
    <row r="799" spans="1:8" ht="19.5">
      <c r="A799" s="1"/>
      <c r="B799" s="1"/>
      <c r="C799" s="1"/>
      <c r="D799" s="1"/>
      <c r="E799" s="1"/>
      <c r="G799" s="4"/>
      <c r="H799" s="1"/>
    </row>
    <row r="800" spans="1:8" ht="19.5">
      <c r="A800" s="1"/>
      <c r="B800" s="1"/>
      <c r="C800" s="1"/>
      <c r="D800" s="1"/>
      <c r="E800" s="1"/>
      <c r="G800" s="4"/>
      <c r="H800" s="1"/>
    </row>
    <row r="801" spans="1:8" ht="19.5">
      <c r="A801" s="1"/>
      <c r="B801" s="1"/>
      <c r="C801" s="1"/>
      <c r="D801" s="1"/>
      <c r="E801" s="1"/>
      <c r="G801" s="4"/>
      <c r="H801" s="1"/>
    </row>
    <row r="802" spans="1:8" ht="19.5">
      <c r="A802" s="1"/>
      <c r="B802" s="1"/>
      <c r="C802" s="1"/>
      <c r="D802" s="1"/>
      <c r="E802" s="1"/>
      <c r="G802" s="4"/>
      <c r="H802" s="1"/>
    </row>
    <row r="803" spans="1:8" ht="19.5">
      <c r="A803" s="1"/>
      <c r="B803" s="1"/>
      <c r="C803" s="1"/>
      <c r="D803" s="1"/>
      <c r="E803" s="1"/>
      <c r="G803" s="4"/>
      <c r="H803" s="1"/>
    </row>
    <row r="804" spans="1:8" ht="19.5">
      <c r="A804" s="1"/>
      <c r="B804" s="1"/>
      <c r="C804" s="1"/>
      <c r="D804" s="1"/>
      <c r="E804" s="1"/>
      <c r="G804" s="4"/>
      <c r="H804" s="1"/>
    </row>
    <row r="805" spans="1:8" ht="19.5">
      <c r="A805" s="1"/>
      <c r="B805" s="1"/>
      <c r="C805" s="1"/>
      <c r="D805" s="1"/>
      <c r="E805" s="1"/>
      <c r="G805" s="4"/>
      <c r="H805" s="1"/>
    </row>
    <row r="806" spans="1:8" ht="19.5">
      <c r="A806" s="1"/>
      <c r="B806" s="1"/>
      <c r="C806" s="1"/>
      <c r="D806" s="1"/>
      <c r="E806" s="1"/>
      <c r="G806" s="4"/>
      <c r="H806" s="1"/>
    </row>
    <row r="807" spans="1:8" ht="19.5">
      <c r="A807" s="1"/>
      <c r="B807" s="1"/>
      <c r="C807" s="1"/>
      <c r="D807" s="1"/>
      <c r="E807" s="1"/>
      <c r="G807" s="4"/>
      <c r="H807" s="1"/>
    </row>
    <row r="808" spans="1:8" ht="19.5">
      <c r="A808" s="1"/>
      <c r="B808" s="1"/>
      <c r="C808" s="1"/>
      <c r="D808" s="1"/>
      <c r="E808" s="1"/>
      <c r="G808" s="4"/>
      <c r="H808" s="1"/>
    </row>
    <row r="809" spans="1:8" ht="19.5">
      <c r="A809" s="1"/>
      <c r="B809" s="1"/>
      <c r="C809" s="1"/>
      <c r="D809" s="1"/>
      <c r="E809" s="1"/>
      <c r="G809" s="4"/>
      <c r="H809" s="1"/>
    </row>
    <row r="810" spans="1:8" ht="19.5">
      <c r="A810" s="1"/>
      <c r="B810" s="1"/>
      <c r="C810" s="1"/>
      <c r="D810" s="1"/>
      <c r="E810" s="1"/>
      <c r="G810" s="4"/>
      <c r="H810" s="1"/>
    </row>
    <row r="811" spans="1:8" ht="19.5">
      <c r="A811" s="1"/>
      <c r="B811" s="1"/>
      <c r="C811" s="1"/>
      <c r="D811" s="1"/>
      <c r="E811" s="1"/>
      <c r="G811" s="4"/>
      <c r="H811" s="1"/>
    </row>
    <row r="812" spans="1:8" ht="19.5">
      <c r="A812" s="1"/>
      <c r="B812" s="1"/>
      <c r="C812" s="1"/>
      <c r="D812" s="1"/>
      <c r="E812" s="1"/>
      <c r="G812" s="4"/>
      <c r="H812" s="1"/>
    </row>
    <row r="813" spans="1:8" ht="19.5">
      <c r="A813" s="1"/>
      <c r="B813" s="1"/>
      <c r="C813" s="1"/>
      <c r="D813" s="1"/>
      <c r="E813" s="1"/>
      <c r="G813" s="4"/>
      <c r="H813" s="1"/>
    </row>
    <row r="814" spans="1:8" ht="19.5">
      <c r="A814" s="1"/>
      <c r="B814" s="1"/>
      <c r="C814" s="1"/>
      <c r="D814" s="1"/>
      <c r="E814" s="1"/>
      <c r="G814" s="4"/>
      <c r="H814" s="1"/>
    </row>
    <row r="815" spans="1:8" ht="19.5">
      <c r="A815" s="1"/>
      <c r="B815" s="1"/>
      <c r="C815" s="1"/>
      <c r="D815" s="1"/>
      <c r="E815" s="1"/>
      <c r="G815" s="4"/>
      <c r="H815" s="1"/>
    </row>
    <row r="816" spans="1:8" ht="19.5">
      <c r="A816" s="1"/>
      <c r="B816" s="1"/>
      <c r="C816" s="1"/>
      <c r="D816" s="1"/>
      <c r="E816" s="1"/>
      <c r="G816" s="4"/>
      <c r="H816" s="1"/>
    </row>
    <row r="817" spans="1:8" ht="19.5">
      <c r="A817" s="1"/>
      <c r="B817" s="1"/>
      <c r="C817" s="1"/>
      <c r="D817" s="1"/>
      <c r="E817" s="1"/>
      <c r="G817" s="4"/>
      <c r="H817" s="1"/>
    </row>
    <row r="818" spans="1:8" ht="19.5">
      <c r="A818" s="1"/>
      <c r="B818" s="1"/>
      <c r="C818" s="1"/>
      <c r="D818" s="1"/>
      <c r="E818" s="1"/>
      <c r="G818" s="4"/>
      <c r="H818" s="1"/>
    </row>
    <row r="819" spans="1:8" ht="19.5">
      <c r="A819" s="1"/>
      <c r="B819" s="1"/>
      <c r="C819" s="1"/>
      <c r="D819" s="1"/>
      <c r="E819" s="1"/>
      <c r="G819" s="4"/>
      <c r="H819" s="1"/>
    </row>
    <row r="820" spans="1:8" ht="19.5">
      <c r="A820" s="1"/>
      <c r="B820" s="1"/>
      <c r="C820" s="1"/>
      <c r="D820" s="1"/>
      <c r="E820" s="1"/>
      <c r="G820" s="4"/>
      <c r="H820" s="1"/>
    </row>
    <row r="821" spans="1:8" ht="19.5">
      <c r="A821" s="1"/>
      <c r="B821" s="1"/>
      <c r="C821" s="1"/>
      <c r="D821" s="1"/>
      <c r="E821" s="1"/>
      <c r="G821" s="4"/>
      <c r="H821" s="1"/>
    </row>
    <row r="822" spans="1:8" ht="19.5">
      <c r="A822" s="1"/>
      <c r="B822" s="1"/>
      <c r="C822" s="1"/>
      <c r="D822" s="1"/>
      <c r="E822" s="1"/>
      <c r="G822" s="4"/>
      <c r="H822" s="1"/>
    </row>
    <row r="823" spans="1:8" ht="19.5">
      <c r="A823" s="1"/>
      <c r="B823" s="1"/>
      <c r="C823" s="1"/>
      <c r="D823" s="1"/>
      <c r="E823" s="1"/>
      <c r="G823" s="4"/>
      <c r="H823" s="1"/>
    </row>
    <row r="824" spans="1:8" ht="19.5">
      <c r="A824" s="1"/>
      <c r="B824" s="1"/>
      <c r="C824" s="1"/>
      <c r="D824" s="1"/>
      <c r="E824" s="1"/>
      <c r="G824" s="4"/>
      <c r="H824" s="1"/>
    </row>
    <row r="825" spans="1:8" ht="19.5">
      <c r="A825" s="1"/>
      <c r="B825" s="1"/>
      <c r="C825" s="1"/>
      <c r="D825" s="1"/>
      <c r="E825" s="1"/>
      <c r="G825" s="4"/>
      <c r="H825" s="1"/>
    </row>
    <row r="826" spans="1:8" ht="19.5">
      <c r="A826" s="1"/>
      <c r="B826" s="1"/>
      <c r="C826" s="1"/>
      <c r="D826" s="1"/>
      <c r="E826" s="1"/>
      <c r="G826" s="4"/>
      <c r="H826" s="1"/>
    </row>
    <row r="827" spans="1:8" ht="19.5">
      <c r="A827" s="1"/>
      <c r="B827" s="1"/>
      <c r="C827" s="1"/>
      <c r="D827" s="1"/>
      <c r="E827" s="1"/>
      <c r="G827" s="4"/>
      <c r="H827" s="1"/>
    </row>
    <row r="828" spans="1:8" ht="19.5">
      <c r="A828" s="1"/>
      <c r="B828" s="1"/>
      <c r="C828" s="1"/>
      <c r="D828" s="1"/>
      <c r="E828" s="1"/>
      <c r="G828" s="4"/>
      <c r="H828" s="1"/>
    </row>
    <row r="829" spans="1:8" ht="19.5">
      <c r="A829" s="1"/>
      <c r="B829" s="1"/>
      <c r="C829" s="1"/>
      <c r="D829" s="1"/>
      <c r="E829" s="1"/>
      <c r="G829" s="4"/>
      <c r="H829" s="1"/>
    </row>
    <row r="830" spans="1:8" ht="19.5">
      <c r="A830" s="1"/>
      <c r="B830" s="1"/>
      <c r="C830" s="1"/>
      <c r="D830" s="1"/>
      <c r="E830" s="1"/>
      <c r="G830" s="4"/>
      <c r="H830" s="1"/>
    </row>
    <row r="831" spans="1:8" ht="19.5">
      <c r="A831" s="1"/>
      <c r="B831" s="1"/>
      <c r="C831" s="1"/>
      <c r="D831" s="1"/>
      <c r="E831" s="1"/>
      <c r="G831" s="4"/>
      <c r="H831" s="1"/>
    </row>
    <row r="832" spans="1:8" ht="19.5">
      <c r="A832" s="1"/>
      <c r="B832" s="1"/>
      <c r="C832" s="1"/>
      <c r="D832" s="1"/>
      <c r="E832" s="1"/>
      <c r="G832" s="4"/>
      <c r="H832" s="1"/>
    </row>
    <row r="833" spans="1:8" ht="19.5">
      <c r="A833" s="1"/>
      <c r="B833" s="1"/>
      <c r="C833" s="1"/>
      <c r="D833" s="1"/>
      <c r="E833" s="1"/>
      <c r="G833" s="4"/>
      <c r="H833" s="1"/>
    </row>
    <row r="834" spans="1:8" ht="19.5">
      <c r="A834" s="1"/>
      <c r="B834" s="1"/>
      <c r="C834" s="1"/>
      <c r="D834" s="1"/>
      <c r="E834" s="1"/>
      <c r="G834" s="4"/>
      <c r="H834" s="1"/>
    </row>
    <row r="835" spans="1:8" ht="19.5">
      <c r="A835" s="1"/>
      <c r="B835" s="1"/>
      <c r="C835" s="1"/>
      <c r="D835" s="1"/>
      <c r="E835" s="1"/>
      <c r="G835" s="4"/>
      <c r="H835" s="1"/>
    </row>
    <row r="836" spans="1:8" ht="19.5">
      <c r="A836" s="1"/>
      <c r="B836" s="1"/>
      <c r="C836" s="1"/>
      <c r="D836" s="1"/>
      <c r="E836" s="1"/>
      <c r="G836" s="4"/>
      <c r="H836" s="1"/>
    </row>
    <row r="837" spans="1:8" ht="19.5">
      <c r="A837" s="1"/>
      <c r="B837" s="1"/>
      <c r="C837" s="1"/>
      <c r="D837" s="1"/>
      <c r="E837" s="1"/>
      <c r="G837" s="4"/>
      <c r="H837" s="1"/>
    </row>
    <row r="838" spans="1:8" ht="19.5">
      <c r="A838" s="1"/>
      <c r="B838" s="1"/>
      <c r="C838" s="1"/>
      <c r="D838" s="1"/>
      <c r="E838" s="1"/>
      <c r="G838" s="4"/>
      <c r="H838" s="1"/>
    </row>
    <row r="839" spans="1:8" ht="19.5">
      <c r="A839" s="1"/>
      <c r="B839" s="1"/>
      <c r="C839" s="1"/>
      <c r="D839" s="1"/>
      <c r="E839" s="1"/>
      <c r="G839" s="4"/>
      <c r="H839" s="1"/>
    </row>
    <row r="840" spans="1:8" ht="19.5">
      <c r="A840" s="1"/>
      <c r="B840" s="1"/>
      <c r="C840" s="1"/>
      <c r="D840" s="1"/>
      <c r="E840" s="1"/>
      <c r="G840" s="4"/>
      <c r="H840" s="1"/>
    </row>
    <row r="841" spans="1:8" ht="19.5">
      <c r="A841" s="1"/>
      <c r="B841" s="1"/>
      <c r="C841" s="1"/>
      <c r="D841" s="1"/>
      <c r="E841" s="1"/>
      <c r="G841" s="4"/>
      <c r="H841" s="1"/>
    </row>
    <row r="842" spans="1:8" ht="19.5">
      <c r="A842" s="1"/>
      <c r="B842" s="1"/>
      <c r="C842" s="1"/>
      <c r="D842" s="1"/>
      <c r="E842" s="1"/>
      <c r="G842" s="4"/>
      <c r="H842" s="1"/>
    </row>
    <row r="843" spans="1:8" ht="19.5">
      <c r="A843" s="1"/>
      <c r="B843" s="1"/>
      <c r="C843" s="1"/>
      <c r="D843" s="1"/>
      <c r="E843" s="1"/>
      <c r="G843" s="4"/>
      <c r="H843" s="1"/>
    </row>
    <row r="844" spans="1:8" ht="19.5">
      <c r="A844" s="1"/>
      <c r="B844" s="1"/>
      <c r="C844" s="1"/>
      <c r="D844" s="1"/>
      <c r="E844" s="1"/>
      <c r="G844" s="4"/>
      <c r="H844" s="1"/>
    </row>
    <row r="845" spans="1:8" ht="19.5">
      <c r="A845" s="1"/>
      <c r="B845" s="1"/>
      <c r="C845" s="1"/>
      <c r="D845" s="1"/>
      <c r="E845" s="1"/>
      <c r="G845" s="4"/>
      <c r="H845" s="1"/>
    </row>
    <row r="846" spans="1:8" ht="19.5">
      <c r="A846" s="1"/>
      <c r="B846" s="1"/>
      <c r="C846" s="1"/>
      <c r="D846" s="1"/>
      <c r="E846" s="1"/>
      <c r="G846" s="4"/>
      <c r="H846" s="1"/>
    </row>
    <row r="847" spans="1:8" ht="19.5">
      <c r="A847" s="1"/>
      <c r="B847" s="1"/>
      <c r="C847" s="1"/>
      <c r="D847" s="1"/>
      <c r="E847" s="1"/>
      <c r="G847" s="4"/>
      <c r="H847" s="1"/>
    </row>
    <row r="848" spans="1:8" ht="19.5">
      <c r="A848" s="1"/>
      <c r="B848" s="1"/>
      <c r="C848" s="1"/>
      <c r="D848" s="1"/>
      <c r="E848" s="1"/>
      <c r="G848" s="4"/>
      <c r="H848" s="1"/>
    </row>
    <row r="849" spans="1:8" ht="19.5">
      <c r="A849" s="1"/>
      <c r="B849" s="1"/>
      <c r="C849" s="1"/>
      <c r="D849" s="1"/>
      <c r="E849" s="1"/>
      <c r="G849" s="4"/>
      <c r="H849" s="1"/>
    </row>
    <row r="850" spans="1:8" ht="19.5">
      <c r="A850" s="1"/>
      <c r="B850" s="1"/>
      <c r="C850" s="1"/>
      <c r="D850" s="1"/>
      <c r="E850" s="1"/>
      <c r="G850" s="4"/>
      <c r="H850" s="1"/>
    </row>
    <row r="851" spans="1:8" ht="19.5">
      <c r="A851" s="1"/>
      <c r="B851" s="1"/>
      <c r="C851" s="1"/>
      <c r="D851" s="1"/>
      <c r="E851" s="1"/>
      <c r="G851" s="4"/>
      <c r="H851" s="1"/>
    </row>
    <row r="852" spans="1:8" ht="19.5">
      <c r="A852" s="1"/>
      <c r="B852" s="1"/>
      <c r="C852" s="1"/>
      <c r="D852" s="1"/>
      <c r="E852" s="1"/>
      <c r="G852" s="4"/>
      <c r="H852" s="1"/>
    </row>
    <row r="853" spans="1:8" ht="19.5">
      <c r="A853" s="1"/>
      <c r="B853" s="1"/>
      <c r="C853" s="1"/>
      <c r="D853" s="1"/>
      <c r="E853" s="1"/>
      <c r="G853" s="4"/>
      <c r="H853" s="1"/>
    </row>
    <row r="854" spans="1:8" ht="19.5">
      <c r="A854" s="1"/>
      <c r="B854" s="1"/>
      <c r="C854" s="1"/>
      <c r="D854" s="1"/>
      <c r="E854" s="1"/>
      <c r="G854" s="4"/>
      <c r="H854" s="1"/>
    </row>
    <row r="855" spans="1:8" ht="19.5">
      <c r="A855" s="1"/>
      <c r="B855" s="1"/>
      <c r="C855" s="1"/>
      <c r="D855" s="1"/>
      <c r="E855" s="1"/>
      <c r="G855" s="4"/>
      <c r="H855" s="1"/>
    </row>
    <row r="856" spans="1:8" ht="19.5">
      <c r="A856" s="1"/>
      <c r="B856" s="1"/>
      <c r="C856" s="1"/>
      <c r="D856" s="1"/>
      <c r="E856" s="1"/>
      <c r="G856" s="4"/>
      <c r="H856" s="1"/>
    </row>
    <row r="857" spans="1:8" ht="19.5">
      <c r="A857" s="1"/>
      <c r="B857" s="1"/>
      <c r="C857" s="1"/>
      <c r="D857" s="1"/>
      <c r="E857" s="1"/>
      <c r="G857" s="4"/>
      <c r="H857" s="1"/>
    </row>
    <row r="858" spans="1:8" ht="19.5">
      <c r="A858" s="1"/>
      <c r="B858" s="1"/>
      <c r="C858" s="1"/>
      <c r="D858" s="1"/>
      <c r="E858" s="1"/>
      <c r="G858" s="4"/>
      <c r="H858" s="1"/>
    </row>
    <row r="859" spans="1:8" ht="19.5">
      <c r="A859" s="1"/>
      <c r="B859" s="1"/>
      <c r="C859" s="1"/>
      <c r="D859" s="1"/>
      <c r="E859" s="1"/>
      <c r="G859" s="4"/>
      <c r="H859" s="1"/>
    </row>
    <row r="860" spans="1:8" ht="19.5">
      <c r="A860" s="1"/>
      <c r="B860" s="1"/>
      <c r="C860" s="1"/>
      <c r="D860" s="1"/>
      <c r="E860" s="1"/>
      <c r="G860" s="4"/>
      <c r="H860" s="1"/>
    </row>
    <row r="861" spans="1:8" ht="19.5">
      <c r="A861" s="1"/>
      <c r="B861" s="1"/>
      <c r="C861" s="1"/>
      <c r="D861" s="1"/>
      <c r="E861" s="1"/>
      <c r="G861" s="4"/>
      <c r="H861" s="1"/>
    </row>
    <row r="862" spans="1:8" ht="19.5">
      <c r="A862" s="1"/>
      <c r="B862" s="1"/>
      <c r="C862" s="1"/>
      <c r="D862" s="1"/>
      <c r="E862" s="1"/>
      <c r="G862" s="4"/>
      <c r="H862" s="1"/>
    </row>
    <row r="863" spans="1:8" ht="19.5">
      <c r="A863" s="1"/>
      <c r="B863" s="1"/>
      <c r="C863" s="1"/>
      <c r="D863" s="1"/>
      <c r="E863" s="1"/>
      <c r="G863" s="4"/>
      <c r="H863" s="1"/>
    </row>
    <row r="864" spans="1:8" ht="19.5">
      <c r="A864" s="1"/>
      <c r="B864" s="1"/>
      <c r="C864" s="1"/>
      <c r="D864" s="1"/>
      <c r="E864" s="1"/>
      <c r="G864" s="4"/>
      <c r="H864" s="1"/>
    </row>
    <row r="865" spans="1:8" ht="19.5">
      <c r="A865" s="1"/>
      <c r="B865" s="1"/>
      <c r="C865" s="1"/>
      <c r="D865" s="1"/>
      <c r="E865" s="1"/>
      <c r="G865" s="4"/>
      <c r="H865" s="1"/>
    </row>
    <row r="866" spans="1:8" ht="19.5">
      <c r="A866" s="1"/>
      <c r="B866" s="1"/>
      <c r="C866" s="1"/>
      <c r="D866" s="1"/>
      <c r="E866" s="1"/>
      <c r="G866" s="4"/>
      <c r="H866" s="1"/>
    </row>
    <row r="867" spans="1:8" ht="19.5">
      <c r="A867" s="1"/>
      <c r="B867" s="1"/>
      <c r="C867" s="1"/>
      <c r="D867" s="1"/>
      <c r="E867" s="1"/>
      <c r="G867" s="4"/>
      <c r="H867" s="1"/>
    </row>
    <row r="868" spans="1:8" ht="19.5">
      <c r="A868" s="1"/>
      <c r="B868" s="1"/>
      <c r="C868" s="1"/>
      <c r="D868" s="1"/>
      <c r="E868" s="1"/>
      <c r="G868" s="4"/>
      <c r="H868" s="1"/>
    </row>
    <row r="869" spans="1:8" ht="19.5">
      <c r="A869" s="1"/>
      <c r="B869" s="1"/>
      <c r="C869" s="1"/>
      <c r="D869" s="1"/>
      <c r="E869" s="1"/>
      <c r="G869" s="4"/>
      <c r="H869" s="1"/>
    </row>
    <row r="870" spans="1:8" ht="19.5">
      <c r="A870" s="1"/>
      <c r="B870" s="1"/>
      <c r="C870" s="1"/>
      <c r="D870" s="1"/>
      <c r="E870" s="1"/>
      <c r="G870" s="4"/>
      <c r="H870" s="1"/>
    </row>
    <row r="871" spans="1:8" ht="19.5">
      <c r="A871" s="1"/>
      <c r="B871" s="1"/>
      <c r="C871" s="1"/>
      <c r="D871" s="1"/>
      <c r="E871" s="1"/>
      <c r="G871" s="4"/>
      <c r="H871" s="1"/>
    </row>
    <row r="872" spans="1:8" ht="19.5">
      <c r="A872" s="1"/>
      <c r="B872" s="1"/>
      <c r="C872" s="1"/>
      <c r="D872" s="1"/>
      <c r="E872" s="1"/>
      <c r="G872" s="4"/>
      <c r="H872" s="1"/>
    </row>
    <row r="873" spans="1:8" ht="19.5">
      <c r="A873" s="1"/>
      <c r="B873" s="1"/>
      <c r="C873" s="1"/>
      <c r="D873" s="1"/>
      <c r="E873" s="1"/>
      <c r="G873" s="4"/>
      <c r="H873" s="1"/>
    </row>
    <row r="874" spans="1:8" ht="19.5">
      <c r="A874" s="1"/>
      <c r="B874" s="1"/>
      <c r="C874" s="1"/>
      <c r="D874" s="1"/>
      <c r="E874" s="1"/>
      <c r="G874" s="4"/>
      <c r="H874" s="1"/>
    </row>
    <row r="875" spans="1:8" ht="19.5">
      <c r="A875" s="1"/>
      <c r="B875" s="1"/>
      <c r="C875" s="1"/>
      <c r="D875" s="1"/>
      <c r="E875" s="1"/>
      <c r="G875" s="4"/>
      <c r="H875" s="1"/>
    </row>
    <row r="876" spans="1:8" ht="19.5">
      <c r="A876" s="1"/>
      <c r="B876" s="1"/>
      <c r="C876" s="1"/>
      <c r="D876" s="1"/>
      <c r="E876" s="1"/>
      <c r="G876" s="4"/>
      <c r="H876" s="1"/>
    </row>
    <row r="877" spans="1:8" ht="19.5">
      <c r="A877" s="1"/>
      <c r="B877" s="1"/>
      <c r="C877" s="1"/>
      <c r="D877" s="1"/>
      <c r="E877" s="1"/>
      <c r="G877" s="4"/>
      <c r="H877" s="1"/>
    </row>
    <row r="878" spans="1:8" ht="19.5">
      <c r="A878" s="1"/>
      <c r="B878" s="1"/>
      <c r="C878" s="1"/>
      <c r="D878" s="1"/>
      <c r="E878" s="1"/>
      <c r="G878" s="4"/>
      <c r="H878" s="1"/>
    </row>
    <row r="879" spans="1:8" ht="19.5">
      <c r="A879" s="1"/>
      <c r="B879" s="1"/>
      <c r="C879" s="1"/>
      <c r="D879" s="1"/>
      <c r="E879" s="1"/>
      <c r="G879" s="4"/>
      <c r="H879" s="1"/>
    </row>
    <row r="880" spans="1:8" ht="19.5">
      <c r="A880" s="1"/>
      <c r="B880" s="1"/>
      <c r="C880" s="1"/>
      <c r="D880" s="1"/>
      <c r="E880" s="1"/>
      <c r="G880" s="4"/>
      <c r="H880" s="1"/>
    </row>
    <row r="881" spans="1:8" ht="19.5">
      <c r="A881" s="1"/>
      <c r="B881" s="1"/>
      <c r="C881" s="1"/>
      <c r="D881" s="1"/>
      <c r="E881" s="1"/>
      <c r="G881" s="4"/>
      <c r="H881" s="1"/>
    </row>
    <row r="882" spans="1:8" ht="19.5">
      <c r="A882" s="1"/>
      <c r="B882" s="1"/>
      <c r="C882" s="1"/>
      <c r="D882" s="1"/>
      <c r="E882" s="1"/>
      <c r="G882" s="4"/>
      <c r="H882" s="1"/>
    </row>
    <row r="883" spans="1:8" ht="19.5">
      <c r="A883" s="1"/>
      <c r="B883" s="1"/>
      <c r="C883" s="1"/>
      <c r="D883" s="1"/>
      <c r="E883" s="1"/>
      <c r="G883" s="4"/>
      <c r="H883" s="1"/>
    </row>
    <row r="884" spans="1:8" ht="19.5">
      <c r="A884" s="1"/>
      <c r="B884" s="1"/>
      <c r="C884" s="1"/>
      <c r="D884" s="1"/>
      <c r="E884" s="1"/>
      <c r="G884" s="4"/>
      <c r="H884" s="1"/>
    </row>
    <row r="885" spans="1:8" ht="19.5">
      <c r="A885" s="1"/>
      <c r="B885" s="1"/>
      <c r="C885" s="1"/>
      <c r="D885" s="1"/>
      <c r="E885" s="1"/>
      <c r="G885" s="4"/>
      <c r="H885" s="1"/>
    </row>
    <row r="886" spans="1:8" ht="19.5">
      <c r="A886" s="1"/>
      <c r="B886" s="1"/>
      <c r="C886" s="1"/>
      <c r="D886" s="1"/>
      <c r="E886" s="1"/>
      <c r="G886" s="4"/>
      <c r="H886" s="1"/>
    </row>
    <row r="887" spans="1:8" ht="19.5">
      <c r="A887" s="1"/>
      <c r="B887" s="1"/>
      <c r="C887" s="1"/>
      <c r="D887" s="1"/>
      <c r="E887" s="1"/>
      <c r="G887" s="4"/>
      <c r="H887" s="1"/>
    </row>
    <row r="888" spans="1:8" ht="19.5">
      <c r="A888" s="1"/>
      <c r="B888" s="1"/>
      <c r="C888" s="1"/>
      <c r="D888" s="1"/>
      <c r="E888" s="1"/>
      <c r="G888" s="4"/>
      <c r="H888" s="1"/>
    </row>
    <row r="889" spans="1:8" ht="19.5">
      <c r="A889" s="1"/>
      <c r="B889" s="1"/>
      <c r="C889" s="1"/>
      <c r="D889" s="1"/>
      <c r="E889" s="1"/>
      <c r="G889" s="4"/>
      <c r="H889" s="1"/>
    </row>
    <row r="890" spans="1:8" ht="19.5">
      <c r="A890" s="1"/>
      <c r="B890" s="1"/>
      <c r="C890" s="1"/>
      <c r="D890" s="1"/>
      <c r="E890" s="1"/>
      <c r="G890" s="4"/>
      <c r="H890" s="1"/>
    </row>
    <row r="891" spans="1:8" ht="19.5">
      <c r="A891" s="1"/>
      <c r="B891" s="1"/>
      <c r="C891" s="1"/>
      <c r="D891" s="1"/>
      <c r="E891" s="1"/>
      <c r="G891" s="4"/>
      <c r="H891" s="1"/>
    </row>
    <row r="892" spans="1:8" ht="19.5">
      <c r="A892" s="1"/>
      <c r="B892" s="1"/>
      <c r="C892" s="1"/>
      <c r="D892" s="1"/>
      <c r="E892" s="1"/>
      <c r="G892" s="4"/>
      <c r="H892" s="1"/>
    </row>
    <row r="893" spans="1:8" ht="19.5">
      <c r="A893" s="1"/>
      <c r="B893" s="1"/>
      <c r="C893" s="1"/>
      <c r="D893" s="1"/>
      <c r="E893" s="1"/>
      <c r="G893" s="4"/>
      <c r="H893" s="1"/>
    </row>
    <row r="894" spans="1:8" ht="19.5">
      <c r="A894" s="1"/>
      <c r="B894" s="1"/>
      <c r="C894" s="1"/>
      <c r="D894" s="1"/>
      <c r="E894" s="1"/>
      <c r="G894" s="4"/>
      <c r="H894" s="1"/>
    </row>
    <row r="895" spans="1:8" ht="19.5">
      <c r="A895" s="1"/>
      <c r="B895" s="1"/>
      <c r="C895" s="1"/>
      <c r="D895" s="1"/>
      <c r="E895" s="1"/>
      <c r="G895" s="4"/>
      <c r="H895" s="1"/>
    </row>
    <row r="896" spans="1:8" ht="19.5">
      <c r="A896" s="1"/>
      <c r="B896" s="1"/>
      <c r="C896" s="1"/>
      <c r="D896" s="1"/>
      <c r="E896" s="1"/>
      <c r="G896" s="4"/>
      <c r="H896" s="1"/>
    </row>
    <row r="897" spans="1:8" ht="19.5">
      <c r="A897" s="1"/>
      <c r="B897" s="1"/>
      <c r="C897" s="1"/>
      <c r="D897" s="1"/>
      <c r="E897" s="1"/>
      <c r="G897" s="4"/>
      <c r="H897" s="1"/>
    </row>
    <row r="898" spans="1:8" ht="19.5">
      <c r="A898" s="1"/>
      <c r="B898" s="1"/>
      <c r="C898" s="1"/>
      <c r="D898" s="1"/>
      <c r="E898" s="1"/>
      <c r="G898" s="4"/>
      <c r="H898" s="1"/>
    </row>
    <row r="899" spans="1:8" ht="19.5">
      <c r="A899" s="1"/>
      <c r="B899" s="1"/>
      <c r="C899" s="1"/>
      <c r="D899" s="1"/>
      <c r="E899" s="1"/>
      <c r="G899" s="4"/>
      <c r="H899" s="1"/>
    </row>
    <row r="900" spans="1:8" ht="19.5">
      <c r="A900" s="1"/>
      <c r="B900" s="1"/>
      <c r="C900" s="1"/>
      <c r="D900" s="1"/>
      <c r="E900" s="1"/>
      <c r="G900" s="4"/>
      <c r="H900" s="1"/>
    </row>
    <row r="901" spans="1:8" ht="19.5">
      <c r="A901" s="1"/>
      <c r="B901" s="1"/>
      <c r="C901" s="1"/>
      <c r="D901" s="1"/>
      <c r="E901" s="1"/>
      <c r="G901" s="4"/>
      <c r="H901" s="1"/>
    </row>
    <row r="902" spans="1:8" ht="19.5">
      <c r="A902" s="1"/>
      <c r="B902" s="1"/>
      <c r="C902" s="1"/>
      <c r="D902" s="1"/>
      <c r="E902" s="1"/>
      <c r="G902" s="4"/>
      <c r="H902" s="1"/>
    </row>
    <row r="903" spans="1:8" ht="19.5">
      <c r="A903" s="1"/>
      <c r="B903" s="1"/>
      <c r="C903" s="1"/>
      <c r="D903" s="1"/>
      <c r="E903" s="1"/>
      <c r="G903" s="4"/>
      <c r="H903" s="1"/>
    </row>
    <row r="904" spans="1:8" ht="19.5">
      <c r="A904" s="1"/>
      <c r="B904" s="1"/>
      <c r="C904" s="1"/>
      <c r="D904" s="1"/>
      <c r="E904" s="1"/>
      <c r="G904" s="4"/>
      <c r="H904" s="1"/>
    </row>
    <row r="905" spans="1:8" ht="19.5">
      <c r="A905" s="1"/>
      <c r="B905" s="1"/>
      <c r="C905" s="1"/>
      <c r="D905" s="1"/>
      <c r="E905" s="1"/>
      <c r="G905" s="4"/>
      <c r="H905" s="1"/>
    </row>
    <row r="906" spans="1:8" ht="19.5">
      <c r="A906" s="1"/>
      <c r="B906" s="1"/>
      <c r="C906" s="1"/>
      <c r="D906" s="1"/>
      <c r="E906" s="1"/>
      <c r="G906" s="4"/>
      <c r="H906" s="1"/>
    </row>
    <row r="907" spans="1:8" ht="19.5">
      <c r="A907" s="1"/>
      <c r="B907" s="1"/>
      <c r="C907" s="1"/>
      <c r="D907" s="1"/>
      <c r="E907" s="1"/>
      <c r="G907" s="4"/>
      <c r="H907" s="1"/>
    </row>
    <row r="908" spans="1:8" ht="19.5">
      <c r="A908" s="1"/>
      <c r="B908" s="1"/>
      <c r="C908" s="1"/>
      <c r="D908" s="1"/>
      <c r="E908" s="1"/>
      <c r="G908" s="4"/>
      <c r="H908" s="1"/>
    </row>
    <row r="909" spans="1:8" ht="19.5">
      <c r="A909" s="1"/>
      <c r="B909" s="1"/>
      <c r="C909" s="1"/>
      <c r="D909" s="1"/>
      <c r="E909" s="1"/>
      <c r="G909" s="4"/>
      <c r="H909" s="1"/>
    </row>
    <row r="910" spans="1:8" ht="19.5">
      <c r="A910" s="1"/>
      <c r="B910" s="1"/>
      <c r="C910" s="1"/>
      <c r="D910" s="1"/>
      <c r="E910" s="1"/>
      <c r="G910" s="4"/>
      <c r="H910" s="1"/>
    </row>
    <row r="911" spans="1:8" ht="19.5">
      <c r="A911" s="1"/>
      <c r="B911" s="1"/>
      <c r="C911" s="1"/>
      <c r="D911" s="1"/>
      <c r="E911" s="1"/>
      <c r="G911" s="4"/>
      <c r="H911" s="1"/>
    </row>
    <row r="912" spans="1:8" ht="19.5">
      <c r="A912" s="1"/>
      <c r="B912" s="1"/>
      <c r="C912" s="1"/>
      <c r="D912" s="1"/>
      <c r="E912" s="1"/>
      <c r="G912" s="4"/>
      <c r="H912" s="1"/>
    </row>
    <row r="913" spans="1:8" ht="19.5">
      <c r="A913" s="1"/>
      <c r="B913" s="1"/>
      <c r="C913" s="1"/>
      <c r="D913" s="1"/>
      <c r="E913" s="1"/>
      <c r="G913" s="4"/>
      <c r="H913" s="1"/>
    </row>
    <row r="914" spans="1:8" ht="19.5">
      <c r="A914" s="1"/>
      <c r="B914" s="1"/>
      <c r="C914" s="1"/>
      <c r="D914" s="1"/>
      <c r="E914" s="1"/>
      <c r="G914" s="4"/>
      <c r="H914" s="1"/>
    </row>
    <row r="915" spans="1:8" ht="19.5">
      <c r="A915" s="1"/>
      <c r="B915" s="1"/>
      <c r="C915" s="1"/>
      <c r="D915" s="1"/>
      <c r="E915" s="1"/>
      <c r="G915" s="4"/>
      <c r="H915" s="1"/>
    </row>
    <row r="916" spans="1:8" ht="19.5">
      <c r="A916" s="1"/>
      <c r="B916" s="1"/>
      <c r="C916" s="1"/>
      <c r="D916" s="1"/>
      <c r="E916" s="1"/>
      <c r="G916" s="4"/>
      <c r="H916" s="1"/>
    </row>
    <row r="917" spans="1:8" ht="19.5">
      <c r="A917" s="1"/>
      <c r="B917" s="1"/>
      <c r="C917" s="1"/>
      <c r="D917" s="1"/>
      <c r="E917" s="1"/>
      <c r="G917" s="4"/>
      <c r="H917" s="1"/>
    </row>
    <row r="918" spans="1:8" ht="19.5">
      <c r="A918" s="1"/>
      <c r="B918" s="1"/>
      <c r="C918" s="1"/>
      <c r="D918" s="1"/>
      <c r="E918" s="1"/>
      <c r="G918" s="4"/>
      <c r="H918" s="1"/>
    </row>
    <row r="919" spans="1:8" ht="19.5">
      <c r="A919" s="1"/>
      <c r="B919" s="1"/>
      <c r="C919" s="1"/>
      <c r="D919" s="1"/>
      <c r="E919" s="1"/>
      <c r="G919" s="4"/>
      <c r="H919" s="1"/>
    </row>
    <row r="920" spans="1:8" ht="19.5">
      <c r="A920" s="1"/>
      <c r="B920" s="1"/>
      <c r="C920" s="1"/>
      <c r="D920" s="1"/>
      <c r="E920" s="1"/>
      <c r="G920" s="4"/>
      <c r="H920" s="1"/>
    </row>
    <row r="921" spans="1:8" ht="19.5">
      <c r="A921" s="1"/>
      <c r="B921" s="1"/>
      <c r="C921" s="1"/>
      <c r="D921" s="1"/>
      <c r="E921" s="1"/>
      <c r="G921" s="4"/>
      <c r="H921" s="1"/>
    </row>
    <row r="922" spans="1:8" ht="19.5">
      <c r="A922" s="1"/>
      <c r="B922" s="1"/>
      <c r="C922" s="1"/>
      <c r="D922" s="1"/>
      <c r="E922" s="1"/>
      <c r="G922" s="4"/>
      <c r="H922" s="1"/>
    </row>
    <row r="923" spans="1:8" ht="19.5">
      <c r="A923" s="1"/>
      <c r="B923" s="1"/>
      <c r="C923" s="1"/>
      <c r="D923" s="1"/>
      <c r="E923" s="1"/>
      <c r="G923" s="4"/>
      <c r="H923" s="1"/>
    </row>
    <row r="924" spans="1:8" ht="19.5">
      <c r="A924" s="1"/>
      <c r="B924" s="1"/>
      <c r="C924" s="1"/>
      <c r="D924" s="1"/>
      <c r="E924" s="1"/>
      <c r="G924" s="4"/>
      <c r="H924" s="1"/>
    </row>
    <row r="925" spans="1:8" ht="19.5">
      <c r="A925" s="1"/>
      <c r="B925" s="1"/>
      <c r="C925" s="1"/>
      <c r="D925" s="1"/>
      <c r="E925" s="1"/>
      <c r="G925" s="4"/>
      <c r="H925" s="1"/>
    </row>
    <row r="926" spans="1:8" ht="19.5">
      <c r="A926" s="1"/>
      <c r="B926" s="1"/>
      <c r="C926" s="1"/>
      <c r="D926" s="1"/>
      <c r="E926" s="1"/>
      <c r="G926" s="4"/>
      <c r="H926" s="1"/>
    </row>
    <row r="927" spans="1:8" ht="19.5">
      <c r="A927" s="1"/>
      <c r="B927" s="1"/>
      <c r="C927" s="1"/>
      <c r="D927" s="1"/>
      <c r="E927" s="1"/>
      <c r="G927" s="4"/>
      <c r="H927" s="1"/>
    </row>
    <row r="928" spans="1:8" ht="19.5">
      <c r="A928" s="1"/>
      <c r="B928" s="1"/>
      <c r="C928" s="1"/>
      <c r="D928" s="1"/>
      <c r="E928" s="1"/>
      <c r="G928" s="4"/>
      <c r="H928" s="1"/>
    </row>
    <row r="929" spans="1:8" ht="19.5">
      <c r="A929" s="1"/>
      <c r="B929" s="1"/>
      <c r="C929" s="1"/>
      <c r="D929" s="1"/>
      <c r="E929" s="1"/>
      <c r="G929" s="4"/>
      <c r="H929" s="1"/>
    </row>
    <row r="930" spans="1:8" ht="19.5">
      <c r="A930" s="1"/>
      <c r="B930" s="1"/>
      <c r="C930" s="1"/>
      <c r="D930" s="1"/>
      <c r="E930" s="1"/>
      <c r="G930" s="4"/>
      <c r="H930" s="1"/>
    </row>
    <row r="931" spans="1:8" ht="19.5">
      <c r="A931" s="1"/>
      <c r="B931" s="1"/>
      <c r="C931" s="1"/>
      <c r="D931" s="1"/>
      <c r="E931" s="1"/>
      <c r="G931" s="4"/>
      <c r="H931" s="1"/>
    </row>
    <row r="932" spans="1:8" ht="19.5">
      <c r="A932" s="1"/>
      <c r="B932" s="1"/>
      <c r="C932" s="1"/>
      <c r="D932" s="1"/>
      <c r="E932" s="1"/>
      <c r="G932" s="4"/>
      <c r="H932" s="1"/>
    </row>
    <row r="933" spans="1:8" ht="19.5">
      <c r="A933" s="1"/>
      <c r="B933" s="1"/>
      <c r="C933" s="1"/>
      <c r="D933" s="1"/>
      <c r="E933" s="1"/>
      <c r="G933" s="4"/>
      <c r="H933" s="1"/>
    </row>
    <row r="934" spans="1:8" ht="19.5">
      <c r="A934" s="1"/>
      <c r="B934" s="1"/>
      <c r="C934" s="1"/>
      <c r="D934" s="1"/>
      <c r="E934" s="1"/>
      <c r="G934" s="4"/>
      <c r="H934" s="1"/>
    </row>
    <row r="935" spans="1:8" ht="19.5">
      <c r="A935" s="1"/>
      <c r="B935" s="1"/>
      <c r="C935" s="1"/>
      <c r="D935" s="1"/>
      <c r="E935" s="1"/>
      <c r="G935" s="4"/>
      <c r="H935" s="1"/>
    </row>
    <row r="936" spans="1:8" ht="19.5">
      <c r="A936" s="1"/>
      <c r="B936" s="1"/>
      <c r="C936" s="1"/>
      <c r="D936" s="1"/>
      <c r="E936" s="1"/>
      <c r="G936" s="4"/>
      <c r="H936" s="1"/>
    </row>
    <row r="937" spans="1:8" ht="19.5">
      <c r="A937" s="1"/>
      <c r="B937" s="1"/>
      <c r="C937" s="1"/>
      <c r="D937" s="1"/>
      <c r="E937" s="1"/>
      <c r="G937" s="4"/>
      <c r="H937" s="1"/>
    </row>
    <row r="938" spans="1:8" ht="19.5">
      <c r="A938" s="1"/>
      <c r="B938" s="1"/>
      <c r="C938" s="1"/>
      <c r="D938" s="1"/>
      <c r="E938" s="1"/>
      <c r="G938" s="4"/>
      <c r="H938" s="1"/>
    </row>
    <row r="939" spans="1:8" ht="19.5">
      <c r="A939" s="1"/>
      <c r="B939" s="1"/>
      <c r="C939" s="1"/>
      <c r="D939" s="1"/>
      <c r="E939" s="1"/>
      <c r="G939" s="4"/>
      <c r="H939" s="1"/>
    </row>
    <row r="940" spans="1:8" ht="19.5">
      <c r="A940" s="1"/>
      <c r="B940" s="1"/>
      <c r="C940" s="1"/>
      <c r="D940" s="1"/>
      <c r="E940" s="1"/>
      <c r="G940" s="4"/>
      <c r="H940" s="1"/>
    </row>
    <row r="941" spans="1:8" ht="19.5">
      <c r="A941" s="1"/>
      <c r="B941" s="1"/>
      <c r="C941" s="1"/>
      <c r="D941" s="1"/>
      <c r="E941" s="1"/>
      <c r="G941" s="4"/>
      <c r="H941" s="1"/>
    </row>
    <row r="942" spans="1:8" ht="19.5">
      <c r="A942" s="1"/>
      <c r="B942" s="1"/>
      <c r="C942" s="1"/>
      <c r="D942" s="1"/>
      <c r="E942" s="1"/>
      <c r="G942" s="4"/>
      <c r="H942" s="1"/>
    </row>
    <row r="943" spans="1:8" ht="19.5">
      <c r="A943" s="1"/>
      <c r="B943" s="1"/>
      <c r="C943" s="1"/>
      <c r="D943" s="1"/>
      <c r="E943" s="1"/>
      <c r="G943" s="4"/>
      <c r="H943" s="1"/>
    </row>
    <row r="944" spans="1:8" ht="19.5">
      <c r="A944" s="1"/>
      <c r="B944" s="1"/>
      <c r="C944" s="1"/>
      <c r="D944" s="1"/>
      <c r="E944" s="1"/>
      <c r="G944" s="4"/>
      <c r="H944" s="1"/>
    </row>
    <row r="945" spans="1:8" ht="19.5">
      <c r="A945" s="1"/>
      <c r="B945" s="1"/>
      <c r="C945" s="1"/>
      <c r="D945" s="1"/>
      <c r="E945" s="1"/>
      <c r="G945" s="4"/>
      <c r="H945" s="1"/>
    </row>
    <row r="946" spans="1:8" ht="19.5">
      <c r="A946" s="1"/>
      <c r="B946" s="1"/>
      <c r="C946" s="1"/>
      <c r="D946" s="1"/>
      <c r="E946" s="1"/>
      <c r="G946" s="4"/>
      <c r="H946" s="1"/>
    </row>
    <row r="947" spans="1:8" ht="19.5">
      <c r="A947" s="1"/>
      <c r="B947" s="1"/>
      <c r="C947" s="1"/>
      <c r="D947" s="1"/>
      <c r="E947" s="1"/>
      <c r="G947" s="4"/>
      <c r="H947" s="1"/>
    </row>
    <row r="948" spans="1:8" ht="19.5">
      <c r="A948" s="1"/>
      <c r="B948" s="1"/>
      <c r="C948" s="1"/>
      <c r="D948" s="1"/>
      <c r="E948" s="1"/>
      <c r="G948" s="4"/>
      <c r="H948" s="1"/>
    </row>
    <row r="949" spans="1:8" ht="19.5">
      <c r="A949" s="1"/>
      <c r="B949" s="1"/>
      <c r="C949" s="1"/>
      <c r="D949" s="1"/>
      <c r="E949" s="1"/>
      <c r="G949" s="4"/>
      <c r="H949" s="1"/>
    </row>
    <row r="950" spans="1:8" ht="19.5">
      <c r="A950" s="1"/>
      <c r="B950" s="1"/>
      <c r="C950" s="1"/>
      <c r="D950" s="1"/>
      <c r="E950" s="1"/>
      <c r="G950" s="4"/>
      <c r="H950" s="1"/>
    </row>
    <row r="951" spans="1:8" ht="19.5">
      <c r="A951" s="1"/>
      <c r="B951" s="1"/>
      <c r="C951" s="1"/>
      <c r="D951" s="1"/>
      <c r="E951" s="1"/>
      <c r="G951" s="4"/>
      <c r="H951" s="1"/>
    </row>
    <row r="952" spans="1:8" ht="19.5">
      <c r="A952" s="1"/>
      <c r="B952" s="1"/>
      <c r="C952" s="1"/>
      <c r="D952" s="1"/>
      <c r="E952" s="1"/>
      <c r="G952" s="4"/>
      <c r="H952" s="1"/>
    </row>
    <row r="953" spans="1:8" ht="19.5">
      <c r="A953" s="1"/>
      <c r="B953" s="1"/>
      <c r="C953" s="1"/>
      <c r="D953" s="1"/>
      <c r="E953" s="1"/>
      <c r="G953" s="4"/>
      <c r="H953" s="1"/>
    </row>
    <row r="954" spans="1:8" ht="19.5">
      <c r="A954" s="1"/>
      <c r="B954" s="1"/>
      <c r="C954" s="1"/>
      <c r="D954" s="1"/>
      <c r="E954" s="1"/>
      <c r="G954" s="4"/>
      <c r="H954" s="1"/>
    </row>
    <row r="955" spans="1:8" ht="19.5">
      <c r="A955" s="1"/>
      <c r="B955" s="1"/>
      <c r="C955" s="1"/>
      <c r="D955" s="1"/>
      <c r="E955" s="1"/>
      <c r="G955" s="4"/>
      <c r="H955" s="1"/>
    </row>
    <row r="956" spans="1:8" ht="19.5">
      <c r="A956" s="1"/>
      <c r="B956" s="1"/>
      <c r="C956" s="1"/>
      <c r="D956" s="1"/>
      <c r="E956" s="1"/>
      <c r="G956" s="4"/>
      <c r="H956" s="1"/>
    </row>
    <row r="957" spans="1:8" ht="19.5">
      <c r="A957" s="1"/>
      <c r="B957" s="1"/>
      <c r="C957" s="1"/>
      <c r="D957" s="1"/>
      <c r="E957" s="1"/>
      <c r="G957" s="4"/>
      <c r="H957" s="1"/>
    </row>
    <row r="958" spans="1:8" ht="19.5">
      <c r="A958" s="1"/>
      <c r="B958" s="1"/>
      <c r="C958" s="1"/>
      <c r="D958" s="1"/>
      <c r="E958" s="1"/>
      <c r="G958" s="4"/>
      <c r="H958" s="1"/>
    </row>
    <row r="959" spans="1:8" ht="19.5">
      <c r="A959" s="1"/>
      <c r="B959" s="1"/>
      <c r="C959" s="1"/>
      <c r="D959" s="1"/>
      <c r="E959" s="1"/>
      <c r="G959" s="4"/>
      <c r="H959" s="1"/>
    </row>
    <row r="960" spans="1:8" ht="19.5">
      <c r="A960" s="1"/>
      <c r="B960" s="1"/>
      <c r="C960" s="1"/>
      <c r="D960" s="1"/>
      <c r="E960" s="1"/>
      <c r="G960" s="4"/>
      <c r="H960" s="1"/>
    </row>
    <row r="961" spans="1:8" ht="19.5">
      <c r="A961" s="1"/>
      <c r="B961" s="1"/>
      <c r="C961" s="1"/>
      <c r="D961" s="1"/>
      <c r="E961" s="1"/>
      <c r="G961" s="4"/>
      <c r="H961" s="1"/>
    </row>
    <row r="962" spans="1:8" ht="19.5">
      <c r="A962" s="1"/>
      <c r="B962" s="1"/>
      <c r="C962" s="1"/>
      <c r="D962" s="1"/>
      <c r="E962" s="1"/>
      <c r="G962" s="4"/>
      <c r="H962" s="1"/>
    </row>
    <row r="963" spans="1:8" ht="19.5">
      <c r="A963" s="1"/>
      <c r="B963" s="1"/>
      <c r="C963" s="1"/>
      <c r="D963" s="1"/>
      <c r="E963" s="1"/>
      <c r="G963" s="4"/>
      <c r="H963" s="1"/>
    </row>
    <row r="964" spans="1:8" ht="19.5">
      <c r="A964" s="1"/>
      <c r="B964" s="1"/>
      <c r="C964" s="1"/>
      <c r="D964" s="1"/>
      <c r="E964" s="1"/>
      <c r="G964" s="4"/>
      <c r="H964" s="1"/>
    </row>
    <row r="965" spans="1:8" ht="19.5">
      <c r="A965" s="1"/>
      <c r="B965" s="1"/>
      <c r="C965" s="1"/>
      <c r="D965" s="1"/>
      <c r="E965" s="1"/>
      <c r="G965" s="4"/>
      <c r="H965" s="1"/>
    </row>
    <row r="966" spans="1:8" ht="19.5">
      <c r="A966" s="1"/>
      <c r="B966" s="1"/>
      <c r="C966" s="1"/>
      <c r="D966" s="1"/>
      <c r="E966" s="1"/>
      <c r="G966" s="4"/>
      <c r="H966" s="1"/>
    </row>
    <row r="967" spans="1:8" ht="19.5">
      <c r="A967" s="1"/>
      <c r="B967" s="1"/>
      <c r="C967" s="1"/>
      <c r="D967" s="1"/>
      <c r="E967" s="1"/>
      <c r="G967" s="4"/>
      <c r="H967" s="1"/>
    </row>
    <row r="968" spans="1:8" ht="19.5">
      <c r="A968" s="1"/>
      <c r="B968" s="1"/>
      <c r="C968" s="1"/>
      <c r="D968" s="1"/>
      <c r="E968" s="1"/>
      <c r="G968" s="4"/>
      <c r="H968" s="1"/>
    </row>
    <row r="969" spans="1:8" ht="19.5">
      <c r="A969" s="1"/>
      <c r="B969" s="1"/>
      <c r="C969" s="1"/>
      <c r="D969" s="1"/>
      <c r="E969" s="1"/>
      <c r="G969" s="4"/>
      <c r="H969" s="1"/>
    </row>
    <row r="970" spans="1:8" ht="19.5">
      <c r="A970" s="1"/>
      <c r="B970" s="1"/>
      <c r="C970" s="1"/>
      <c r="D970" s="1"/>
      <c r="E970" s="1"/>
      <c r="G970" s="4"/>
      <c r="H970" s="1"/>
    </row>
    <row r="971" spans="1:8" ht="19.5">
      <c r="A971" s="1"/>
      <c r="B971" s="1"/>
      <c r="C971" s="1"/>
      <c r="D971" s="1"/>
      <c r="E971" s="1"/>
      <c r="G971" s="4"/>
      <c r="H971" s="1"/>
    </row>
    <row r="972" spans="1:8" ht="19.5">
      <c r="A972" s="1"/>
      <c r="B972" s="1"/>
      <c r="C972" s="1"/>
      <c r="D972" s="1"/>
      <c r="E972" s="1"/>
      <c r="G972" s="4"/>
      <c r="H972" s="1"/>
    </row>
    <row r="973" spans="1:8" ht="19.5">
      <c r="A973" s="1"/>
      <c r="B973" s="1"/>
      <c r="C973" s="1"/>
      <c r="D973" s="1"/>
      <c r="E973" s="1"/>
      <c r="G973" s="4"/>
      <c r="H973" s="1"/>
    </row>
    <row r="974" spans="1:8" ht="19.5">
      <c r="A974" s="1"/>
      <c r="B974" s="1"/>
      <c r="C974" s="1"/>
      <c r="D974" s="1"/>
      <c r="E974" s="1"/>
      <c r="G974" s="4"/>
      <c r="H974" s="1"/>
    </row>
    <row r="975" spans="1:8" ht="19.5">
      <c r="A975" s="1"/>
      <c r="B975" s="1"/>
      <c r="C975" s="1"/>
      <c r="D975" s="1"/>
      <c r="E975" s="1"/>
      <c r="G975" s="4"/>
      <c r="H975" s="1"/>
    </row>
    <row r="976" spans="1:8" ht="19.5">
      <c r="A976" s="1"/>
      <c r="B976" s="1"/>
      <c r="C976" s="1"/>
      <c r="D976" s="1"/>
      <c r="E976" s="1"/>
      <c r="G976" s="4"/>
      <c r="H976" s="1"/>
    </row>
    <row r="977" spans="1:8" ht="19.5">
      <c r="A977" s="1"/>
      <c r="B977" s="1"/>
      <c r="C977" s="1"/>
      <c r="D977" s="1"/>
      <c r="E977" s="1"/>
      <c r="G977" s="4"/>
      <c r="H977" s="1"/>
    </row>
    <row r="978" spans="1:8" ht="19.5">
      <c r="A978" s="1"/>
      <c r="B978" s="1"/>
      <c r="C978" s="1"/>
      <c r="D978" s="1"/>
      <c r="E978" s="1"/>
      <c r="G978" s="4"/>
      <c r="H978" s="1"/>
    </row>
    <row r="979" spans="1:8" ht="19.5">
      <c r="A979" s="1"/>
      <c r="B979" s="1"/>
      <c r="C979" s="1"/>
      <c r="D979" s="1"/>
      <c r="E979" s="1"/>
      <c r="G979" s="4"/>
      <c r="H979" s="1"/>
    </row>
    <row r="980" spans="1:8" ht="19.5">
      <c r="A980" s="1"/>
      <c r="B980" s="1"/>
      <c r="C980" s="1"/>
      <c r="D980" s="1"/>
      <c r="E980" s="1"/>
      <c r="G980" s="4"/>
      <c r="H980" s="1"/>
    </row>
    <row r="981" spans="1:8" ht="19.5">
      <c r="A981" s="1"/>
      <c r="B981" s="1"/>
      <c r="C981" s="1"/>
      <c r="D981" s="1"/>
      <c r="E981" s="1"/>
      <c r="G981" s="4"/>
      <c r="H981" s="1"/>
    </row>
    <row r="982" spans="1:8" ht="19.5">
      <c r="A982" s="1"/>
      <c r="B982" s="1"/>
      <c r="C982" s="1"/>
      <c r="D982" s="1"/>
      <c r="E982" s="1"/>
      <c r="G982" s="4"/>
      <c r="H982" s="1"/>
    </row>
    <row r="983" spans="1:8" ht="19.5">
      <c r="A983" s="1"/>
      <c r="B983" s="1"/>
      <c r="C983" s="1"/>
      <c r="D983" s="1"/>
      <c r="E983" s="1"/>
      <c r="G983" s="4"/>
      <c r="H983" s="1"/>
    </row>
    <row r="984" spans="1:8" ht="19.5">
      <c r="A984" s="1"/>
      <c r="B984" s="1"/>
      <c r="C984" s="1"/>
      <c r="D984" s="1"/>
      <c r="E984" s="1"/>
      <c r="G984" s="4"/>
      <c r="H984" s="1"/>
    </row>
    <row r="985" spans="1:8" ht="19.5">
      <c r="A985" s="1"/>
      <c r="B985" s="1"/>
      <c r="C985" s="1"/>
      <c r="D985" s="1"/>
      <c r="E985" s="1"/>
      <c r="G985" s="4"/>
      <c r="H985" s="1"/>
    </row>
    <row r="986" spans="1:8" ht="19.5">
      <c r="A986" s="1"/>
      <c r="B986" s="1"/>
      <c r="C986" s="1"/>
      <c r="D986" s="1"/>
      <c r="E986" s="1"/>
      <c r="G986" s="4"/>
      <c r="H986" s="1"/>
    </row>
    <row r="987" spans="1:8" ht="19.5">
      <c r="A987" s="1"/>
      <c r="B987" s="1"/>
      <c r="C987" s="1"/>
      <c r="D987" s="1"/>
      <c r="E987" s="1"/>
      <c r="G987" s="4"/>
      <c r="H987" s="1"/>
    </row>
    <row r="988" spans="1:8" ht="19.5">
      <c r="A988" s="1"/>
      <c r="B988" s="1"/>
      <c r="C988" s="1"/>
      <c r="D988" s="1"/>
      <c r="E988" s="1"/>
      <c r="G988" s="4"/>
      <c r="H988" s="1"/>
    </row>
    <row r="989" spans="1:8" ht="19.5">
      <c r="A989" s="1"/>
      <c r="B989" s="1"/>
      <c r="C989" s="1"/>
      <c r="D989" s="1"/>
      <c r="E989" s="1"/>
      <c r="G989" s="4"/>
      <c r="H989" s="1"/>
    </row>
    <row r="990" spans="1:8" ht="19.5">
      <c r="A990" s="1"/>
      <c r="B990" s="1"/>
      <c r="C990" s="1"/>
      <c r="D990" s="1"/>
      <c r="E990" s="1"/>
      <c r="G990" s="4"/>
      <c r="H990" s="1"/>
    </row>
    <row r="991" spans="1:8" ht="19.5">
      <c r="A991" s="1"/>
      <c r="B991" s="1"/>
      <c r="C991" s="1"/>
      <c r="D991" s="1"/>
      <c r="E991" s="1"/>
      <c r="G991" s="4"/>
      <c r="H991" s="1"/>
    </row>
    <row r="992" spans="1:8" ht="19.5">
      <c r="A992" s="1"/>
      <c r="B992" s="1"/>
      <c r="C992" s="1"/>
      <c r="D992" s="1"/>
      <c r="E992" s="1"/>
      <c r="G992" s="4"/>
      <c r="H992" s="1"/>
    </row>
    <row r="993" spans="1:8" ht="19.5">
      <c r="A993" s="1"/>
      <c r="B993" s="1"/>
      <c r="C993" s="1"/>
      <c r="D993" s="1"/>
      <c r="E993" s="1"/>
      <c r="G993" s="4"/>
      <c r="H993" s="1"/>
    </row>
    <row r="994" spans="1:8" ht="19.5">
      <c r="A994" s="1"/>
      <c r="B994" s="1"/>
      <c r="C994" s="1"/>
      <c r="D994" s="1"/>
      <c r="E994" s="1"/>
      <c r="G994" s="4"/>
      <c r="H994" s="1"/>
    </row>
    <row r="995" spans="1:8" ht="19.5">
      <c r="A995" s="1"/>
      <c r="B995" s="1"/>
      <c r="C995" s="1"/>
      <c r="D995" s="1"/>
      <c r="E995" s="1"/>
      <c r="G995" s="4"/>
      <c r="H995" s="1"/>
    </row>
    <row r="996" spans="1:8" ht="19.5">
      <c r="A996" s="1"/>
      <c r="B996" s="1"/>
      <c r="C996" s="1"/>
      <c r="D996" s="1"/>
      <c r="E996" s="1"/>
      <c r="G996" s="4"/>
      <c r="H996" s="1"/>
    </row>
    <row r="997" spans="1:8" ht="19.5">
      <c r="A997" s="1"/>
      <c r="B997" s="1"/>
      <c r="C997" s="1"/>
      <c r="D997" s="1"/>
      <c r="E997" s="1"/>
      <c r="G997" s="4"/>
      <c r="H997" s="1"/>
    </row>
    <row r="998" spans="1:8" ht="19.5">
      <c r="A998" s="1"/>
      <c r="B998" s="1"/>
      <c r="C998" s="1"/>
      <c r="D998" s="1"/>
      <c r="E998" s="1"/>
      <c r="G998" s="4"/>
      <c r="H998" s="1"/>
    </row>
    <row r="999" spans="1:8" ht="19.5">
      <c r="A999" s="1"/>
      <c r="B999" s="1"/>
      <c r="C999" s="1"/>
      <c r="D999" s="1"/>
      <c r="E999" s="1"/>
      <c r="G999" s="4"/>
      <c r="H999" s="1"/>
    </row>
    <row r="1000" spans="1:8" ht="19.5">
      <c r="A1000" s="1"/>
      <c r="B1000" s="1"/>
      <c r="C1000" s="1"/>
      <c r="D1000" s="1"/>
      <c r="E1000" s="1"/>
      <c r="G1000" s="4"/>
      <c r="H1000" s="1"/>
    </row>
    <row r="1001" spans="1:8" ht="19.5">
      <c r="A1001" s="1"/>
      <c r="B1001" s="1"/>
      <c r="C1001" s="1"/>
      <c r="D1001" s="1"/>
      <c r="E1001" s="1"/>
      <c r="G1001" s="4"/>
      <c r="H1001" s="1"/>
    </row>
    <row r="1002" spans="1:8" ht="19.5">
      <c r="A1002" s="1"/>
      <c r="B1002" s="1"/>
      <c r="C1002" s="1"/>
      <c r="D1002" s="1"/>
      <c r="E1002" s="1"/>
      <c r="G1002" s="4"/>
      <c r="H1002" s="1"/>
    </row>
    <row r="1003" spans="1:8" ht="19.5">
      <c r="A1003" s="1"/>
      <c r="B1003" s="1"/>
      <c r="C1003" s="1"/>
      <c r="D1003" s="1"/>
      <c r="E1003" s="1"/>
      <c r="G1003" s="4"/>
      <c r="H1003" s="1"/>
    </row>
    <row r="1004" spans="1:8" ht="19.5">
      <c r="A1004" s="1"/>
      <c r="B1004" s="1"/>
      <c r="C1004" s="1"/>
      <c r="D1004" s="1"/>
      <c r="E1004" s="1"/>
      <c r="G1004" s="4"/>
      <c r="H1004" s="1"/>
    </row>
    <row r="1005" spans="1:8" ht="19.5">
      <c r="A1005" s="1"/>
      <c r="B1005" s="1"/>
      <c r="C1005" s="1"/>
      <c r="D1005" s="1"/>
      <c r="E1005" s="1"/>
      <c r="G1005" s="4"/>
      <c r="H1005" s="1"/>
    </row>
    <row r="1006" spans="1:8" ht="19.5">
      <c r="A1006" s="1"/>
      <c r="B1006" s="1"/>
      <c r="C1006" s="1"/>
      <c r="D1006" s="1"/>
      <c r="E1006" s="1"/>
      <c r="G1006" s="4"/>
      <c r="H1006" s="1"/>
    </row>
    <row r="1007" spans="1:8" ht="19.5">
      <c r="A1007" s="1"/>
      <c r="B1007" s="1"/>
      <c r="C1007" s="1"/>
      <c r="D1007" s="1"/>
      <c r="E1007" s="1"/>
      <c r="G1007" s="4"/>
      <c r="H1007" s="1"/>
    </row>
    <row r="1008" spans="1:8" ht="19.5">
      <c r="A1008" s="1"/>
      <c r="B1008" s="1"/>
      <c r="C1008" s="1"/>
      <c r="D1008" s="1"/>
      <c r="E1008" s="1"/>
      <c r="G1008" s="4"/>
      <c r="H1008" s="1"/>
    </row>
    <row r="1009" spans="1:8" ht="19.5">
      <c r="A1009" s="1"/>
      <c r="B1009" s="1"/>
      <c r="C1009" s="1"/>
      <c r="D1009" s="1"/>
      <c r="E1009" s="1"/>
      <c r="G1009" s="4"/>
      <c r="H1009" s="1"/>
    </row>
    <row r="1010" spans="1:8" ht="19.5">
      <c r="A1010" s="1"/>
      <c r="B1010" s="1"/>
      <c r="C1010" s="1"/>
      <c r="D1010" s="1"/>
      <c r="E1010" s="1"/>
      <c r="G1010" s="4"/>
      <c r="H1010" s="1"/>
    </row>
  </sheetData>
  <mergeCells count="2">
    <mergeCell ref="C1:E1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008"/>
  <sheetViews>
    <sheetView workbookViewId="0"/>
  </sheetViews>
  <sheetFormatPr baseColWidth="10" defaultColWidth="14.42578125" defaultRowHeight="15" customHeight="1"/>
  <cols>
    <col min="1" max="1" width="7" customWidth="1"/>
    <col min="2" max="2" width="13.85546875" customWidth="1"/>
    <col min="3" max="3" width="89.140625" customWidth="1"/>
    <col min="4" max="4" width="11.7109375" customWidth="1"/>
    <col min="5" max="5" width="11.42578125" customWidth="1"/>
    <col min="6" max="6" width="13.42578125" customWidth="1"/>
    <col min="7" max="7" width="18.5703125" customWidth="1"/>
    <col min="8" max="8" width="14.28515625" customWidth="1"/>
    <col min="9" max="9" width="13.85546875" customWidth="1"/>
    <col min="11" max="11" width="21" customWidth="1"/>
  </cols>
  <sheetData>
    <row r="1" spans="1:39" ht="23.25" customHeight="1">
      <c r="A1" s="1"/>
      <c r="B1" s="1"/>
      <c r="C1" s="336"/>
      <c r="D1" s="515"/>
      <c r="E1" s="516"/>
      <c r="F1" s="337" t="s">
        <v>0</v>
      </c>
      <c r="G1" s="4"/>
      <c r="H1" s="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29.25" customHeight="1">
      <c r="A2" s="338"/>
      <c r="B2" s="514" t="s">
        <v>175</v>
      </c>
      <c r="C2" s="510"/>
      <c r="D2" s="7">
        <f t="shared" ref="D2:E2" si="0">SUM(D4:D74)</f>
        <v>1614000</v>
      </c>
      <c r="E2" s="7">
        <f t="shared" si="0"/>
        <v>1919670</v>
      </c>
      <c r="F2" s="227">
        <f>SUM(D2-E2)</f>
        <v>-305670</v>
      </c>
      <c r="G2" s="339" t="s">
        <v>176</v>
      </c>
      <c r="H2" s="338"/>
      <c r="I2" s="340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41"/>
      <c r="AI2" s="341"/>
      <c r="AJ2" s="341"/>
      <c r="AK2" s="341"/>
      <c r="AL2" s="341"/>
      <c r="AM2" s="341"/>
    </row>
    <row r="3" spans="1:39" ht="23.25" customHeight="1">
      <c r="A3" s="1"/>
      <c r="B3" s="12" t="s">
        <v>2</v>
      </c>
      <c r="C3" s="12" t="s">
        <v>3</v>
      </c>
      <c r="D3" s="13" t="s">
        <v>4</v>
      </c>
      <c r="E3" s="13" t="s">
        <v>5</v>
      </c>
      <c r="F3" s="13" t="s">
        <v>0</v>
      </c>
      <c r="G3" s="21"/>
      <c r="H3" s="1"/>
      <c r="I3" s="5"/>
    </row>
    <row r="4" spans="1:39" ht="15" customHeight="1">
      <c r="A4" s="15"/>
      <c r="B4" s="16"/>
      <c r="C4" s="17" t="s">
        <v>98</v>
      </c>
      <c r="D4" s="18"/>
      <c r="E4" s="230"/>
      <c r="F4" s="20">
        <v>0</v>
      </c>
      <c r="G4" s="21"/>
      <c r="H4" s="15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1:39" ht="15" customHeight="1">
      <c r="A5" s="15"/>
      <c r="B5" s="16"/>
      <c r="C5" s="23"/>
      <c r="D5" s="24"/>
      <c r="E5" s="231"/>
      <c r="F5" s="26"/>
      <c r="G5" s="21"/>
      <c r="H5" s="15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</row>
    <row r="6" spans="1:39" ht="15" customHeight="1">
      <c r="A6" s="15"/>
      <c r="B6" s="27"/>
      <c r="C6" s="232" t="s">
        <v>137</v>
      </c>
      <c r="D6" s="233"/>
      <c r="E6" s="234"/>
      <c r="F6" s="235"/>
      <c r="G6" s="267">
        <f>SUM(D7:D9)</f>
        <v>300000</v>
      </c>
      <c r="H6" s="15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pans="1:39" ht="15" customHeight="1">
      <c r="A7" s="15"/>
      <c r="B7" s="237"/>
      <c r="C7" s="342" t="s">
        <v>177</v>
      </c>
      <c r="D7" s="343"/>
      <c r="E7" s="240">
        <v>458000</v>
      </c>
      <c r="F7" s="119"/>
      <c r="G7" s="77"/>
      <c r="H7" s="15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15" customHeight="1">
      <c r="A8" s="15"/>
      <c r="B8" s="282"/>
      <c r="C8" s="344" t="s">
        <v>178</v>
      </c>
      <c r="D8" s="345">
        <v>300000</v>
      </c>
      <c r="E8" s="346"/>
      <c r="F8" s="37"/>
      <c r="G8" s="77"/>
      <c r="H8" s="15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pans="1:39" ht="15" customHeight="1">
      <c r="A9" s="15"/>
      <c r="B9" s="282"/>
      <c r="C9" s="347"/>
      <c r="D9" s="318"/>
      <c r="E9" s="348"/>
      <c r="F9" s="20"/>
      <c r="G9" s="77"/>
      <c r="H9" s="15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pans="1:39" ht="15" customHeight="1">
      <c r="A10" s="15"/>
      <c r="B10" s="249"/>
      <c r="C10" s="244" t="s">
        <v>12</v>
      </c>
      <c r="D10" s="250"/>
      <c r="E10" s="251"/>
      <c r="F10" s="252"/>
      <c r="G10" s="349">
        <f>SUM(E11:E21)</f>
        <v>265940</v>
      </c>
      <c r="H10" s="49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</row>
    <row r="11" spans="1:39" ht="15" customHeight="1">
      <c r="A11" s="73"/>
      <c r="B11" s="254"/>
      <c r="C11" s="68" t="s">
        <v>13</v>
      </c>
      <c r="D11" s="69"/>
      <c r="E11" s="75"/>
      <c r="F11" s="71"/>
      <c r="G11" s="72"/>
      <c r="H11" s="73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</row>
    <row r="12" spans="1:39" ht="15" customHeight="1">
      <c r="A12" s="15"/>
      <c r="B12" s="258"/>
      <c r="C12" s="256" t="s">
        <v>179</v>
      </c>
      <c r="D12" s="178"/>
      <c r="E12" s="272">
        <v>49940</v>
      </c>
      <c r="F12" s="81"/>
      <c r="G12" s="77"/>
      <c r="H12" s="15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</row>
    <row r="13" spans="1:39" ht="15" customHeight="1">
      <c r="A13" s="15"/>
      <c r="B13" s="258"/>
      <c r="C13" s="130" t="s">
        <v>180</v>
      </c>
      <c r="D13" s="46"/>
      <c r="E13" s="105">
        <v>50000</v>
      </c>
      <c r="F13" s="82"/>
      <c r="G13" s="77"/>
      <c r="H13" s="15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39" ht="15" customHeight="1">
      <c r="A14" s="15"/>
      <c r="B14" s="258"/>
      <c r="C14" s="130" t="s">
        <v>181</v>
      </c>
      <c r="D14" s="311"/>
      <c r="E14" s="105">
        <v>50000</v>
      </c>
      <c r="F14" s="82"/>
      <c r="G14" s="77"/>
      <c r="H14" s="15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39" ht="15" customHeight="1">
      <c r="A15" s="15"/>
      <c r="B15" s="258"/>
      <c r="C15" s="323"/>
      <c r="D15" s="311"/>
      <c r="E15" s="260"/>
      <c r="F15" s="82"/>
      <c r="G15" s="77"/>
      <c r="H15" s="15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15" customHeight="1">
      <c r="A16" s="15"/>
      <c r="B16" s="258"/>
      <c r="C16" s="79" t="s">
        <v>14</v>
      </c>
      <c r="D16" s="46"/>
      <c r="E16" s="260"/>
      <c r="F16" s="82"/>
      <c r="G16" s="77"/>
      <c r="H16" s="15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1:39" ht="15" customHeight="1">
      <c r="A17" s="15"/>
      <c r="B17" s="83"/>
      <c r="C17" s="84" t="s">
        <v>182</v>
      </c>
      <c r="D17" s="260"/>
      <c r="E17" s="261">
        <v>50000</v>
      </c>
      <c r="F17" s="20"/>
      <c r="G17" s="85"/>
      <c r="H17" s="262"/>
      <c r="I17" s="87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5" customHeight="1">
      <c r="A18" s="15"/>
      <c r="B18" s="83"/>
      <c r="C18" s="84" t="s">
        <v>183</v>
      </c>
      <c r="D18" s="260"/>
      <c r="E18" s="261">
        <v>16000</v>
      </c>
      <c r="F18" s="20"/>
      <c r="G18" s="85"/>
      <c r="H18" s="262"/>
      <c r="I18" s="87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39" ht="15" customHeight="1">
      <c r="A19" s="15"/>
      <c r="B19" s="83"/>
      <c r="C19" s="84" t="s">
        <v>184</v>
      </c>
      <c r="D19" s="260"/>
      <c r="E19" s="261">
        <v>50000</v>
      </c>
      <c r="F19" s="20"/>
      <c r="G19" s="85"/>
      <c r="H19" s="262"/>
      <c r="I19" s="87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39" ht="15" customHeight="1">
      <c r="A20" s="15"/>
      <c r="B20" s="83"/>
      <c r="C20" s="88"/>
      <c r="D20" s="260"/>
      <c r="E20" s="230"/>
      <c r="F20" s="20"/>
      <c r="G20" s="85" t="s">
        <v>185</v>
      </c>
      <c r="H20" s="262"/>
      <c r="I20" s="87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39" ht="15" customHeight="1">
      <c r="A21" s="15"/>
      <c r="B21" s="83"/>
      <c r="C21" s="88"/>
      <c r="D21" s="260"/>
      <c r="E21" s="230"/>
      <c r="F21" s="20"/>
      <c r="G21" s="85" t="s">
        <v>102</v>
      </c>
      <c r="H21" s="262" t="s">
        <v>16</v>
      </c>
      <c r="I21" s="87" t="s">
        <v>18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39" ht="15" customHeight="1">
      <c r="A22" s="15"/>
      <c r="B22" s="90"/>
      <c r="C22" s="350" t="s">
        <v>186</v>
      </c>
      <c r="D22" s="264"/>
      <c r="E22" s="265"/>
      <c r="F22" s="266"/>
      <c r="G22" s="267">
        <f>SUM(D24:D32)</f>
        <v>1314000</v>
      </c>
      <c r="H22" s="351">
        <v>1236500</v>
      </c>
      <c r="I22" s="352">
        <f>SUM(G22-H22)</f>
        <v>77500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 ht="18" customHeight="1">
      <c r="A23" s="15"/>
      <c r="B23" s="268"/>
      <c r="C23" s="324" t="s">
        <v>187</v>
      </c>
      <c r="D23" s="269"/>
      <c r="E23" s="260"/>
      <c r="F23" s="82"/>
      <c r="G23" s="332"/>
      <c r="H23" s="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 ht="18" customHeight="1">
      <c r="A24" s="15"/>
      <c r="B24" s="237">
        <v>46088</v>
      </c>
      <c r="C24" s="271" t="s">
        <v>188</v>
      </c>
      <c r="D24" s="325">
        <v>63000</v>
      </c>
      <c r="E24" s="271"/>
      <c r="F24" s="81"/>
      <c r="G24" s="77"/>
      <c r="H24" s="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</row>
    <row r="25" spans="1:39" ht="16.5" customHeight="1">
      <c r="A25" s="15"/>
      <c r="B25" s="237">
        <v>46084</v>
      </c>
      <c r="C25" s="260" t="s">
        <v>189</v>
      </c>
      <c r="D25" s="325">
        <v>100000</v>
      </c>
      <c r="E25" s="260"/>
      <c r="F25" s="82"/>
      <c r="G25" s="77"/>
      <c r="H25" s="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39" ht="17.25" customHeight="1">
      <c r="A26" s="15"/>
      <c r="B26" s="237">
        <v>46087</v>
      </c>
      <c r="C26" s="260" t="s">
        <v>190</v>
      </c>
      <c r="D26" s="269">
        <v>126000</v>
      </c>
      <c r="E26" s="260"/>
      <c r="F26" s="82"/>
      <c r="G26" s="77"/>
      <c r="H26" s="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39" ht="17.25" customHeight="1">
      <c r="A27" s="15"/>
      <c r="B27" s="237">
        <v>46087</v>
      </c>
      <c r="C27" s="260" t="s">
        <v>191</v>
      </c>
      <c r="D27" s="269">
        <v>53000</v>
      </c>
      <c r="E27" s="260"/>
      <c r="F27" s="82"/>
      <c r="G27" s="77"/>
      <c r="H27" s="15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39" ht="17.25" customHeight="1">
      <c r="A28" s="15"/>
      <c r="B28" s="237">
        <v>46091</v>
      </c>
      <c r="C28" s="260" t="s">
        <v>192</v>
      </c>
      <c r="D28" s="105">
        <v>85000</v>
      </c>
      <c r="E28" s="260"/>
      <c r="F28" s="82"/>
      <c r="G28" s="77"/>
      <c r="H28" s="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39" ht="17.25" customHeight="1">
      <c r="A29" s="15"/>
      <c r="B29" s="237">
        <v>46091</v>
      </c>
      <c r="C29" s="260" t="s">
        <v>193</v>
      </c>
      <c r="D29" s="279">
        <v>85000</v>
      </c>
      <c r="E29" s="260"/>
      <c r="F29" s="82"/>
      <c r="G29" s="77"/>
      <c r="H29" s="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 ht="17.25" customHeight="1">
      <c r="A30" s="15"/>
      <c r="B30" s="237">
        <v>46103</v>
      </c>
      <c r="C30" s="353" t="s">
        <v>194</v>
      </c>
      <c r="D30" s="108">
        <v>74000</v>
      </c>
      <c r="E30" s="260"/>
      <c r="F30" s="82"/>
      <c r="G30" s="77"/>
      <c r="H30" s="15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</row>
    <row r="31" spans="1:39" ht="17.25" customHeight="1">
      <c r="A31" s="15"/>
      <c r="B31" s="237">
        <v>46103</v>
      </c>
      <c r="C31" s="109" t="s">
        <v>195</v>
      </c>
      <c r="D31" s="108">
        <v>728000</v>
      </c>
      <c r="E31" s="260"/>
      <c r="F31" s="82"/>
      <c r="G31" s="77"/>
      <c r="H31" s="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 ht="17.25" customHeight="1">
      <c r="A32" s="15"/>
      <c r="B32" s="83"/>
      <c r="C32" s="111"/>
      <c r="D32" s="20"/>
      <c r="E32" s="260"/>
      <c r="F32" s="20"/>
      <c r="G32" s="77"/>
      <c r="H32" s="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</row>
    <row r="33" spans="1:39" ht="17.25" customHeight="1">
      <c r="A33" s="15"/>
      <c r="B33" s="113"/>
      <c r="C33" s="274" t="s">
        <v>29</v>
      </c>
      <c r="D33" s="233"/>
      <c r="E33" s="234"/>
      <c r="F33" s="235"/>
      <c r="G33" s="267">
        <f>SUM(E34)</f>
        <v>700000</v>
      </c>
      <c r="H33" s="115">
        <v>700000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39" ht="16.5" customHeight="1">
      <c r="A34" s="15"/>
      <c r="B34" s="237">
        <v>46095</v>
      </c>
      <c r="C34" s="116" t="s">
        <v>196</v>
      </c>
      <c r="D34" s="117"/>
      <c r="E34" s="275">
        <v>700000</v>
      </c>
      <c r="F34" s="119"/>
      <c r="G34" s="77"/>
      <c r="H34" s="1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 ht="17.25" customHeight="1">
      <c r="A35" s="15"/>
      <c r="B35" s="83"/>
      <c r="C35" s="120"/>
      <c r="D35" s="26"/>
      <c r="E35" s="276"/>
      <c r="F35" s="26"/>
      <c r="G35" s="77"/>
      <c r="H35" s="15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39" ht="17.25" customHeight="1">
      <c r="A36" s="15"/>
      <c r="B36" s="123"/>
      <c r="C36" s="277" t="s">
        <v>31</v>
      </c>
      <c r="D36" s="233"/>
      <c r="E36" s="234"/>
      <c r="F36" s="235"/>
      <c r="G36" s="267">
        <f>SUM(E37+E38+E39)</f>
        <v>175730</v>
      </c>
      <c r="H36" s="125">
        <v>177070</v>
      </c>
      <c r="I36" s="22" t="s">
        <v>107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</row>
    <row r="37" spans="1:39" ht="15" customHeight="1">
      <c r="A37" s="15"/>
      <c r="B37" s="237">
        <v>46091</v>
      </c>
      <c r="C37" s="126" t="s">
        <v>197</v>
      </c>
      <c r="D37" s="127"/>
      <c r="E37" s="278">
        <v>15510</v>
      </c>
      <c r="F37" s="119"/>
      <c r="G37" s="77"/>
      <c r="H37" s="1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39" ht="15" customHeight="1">
      <c r="A38" s="15"/>
      <c r="B38" s="237">
        <v>46105</v>
      </c>
      <c r="C38" s="219" t="s">
        <v>198</v>
      </c>
      <c r="D38" s="354"/>
      <c r="E38" s="355">
        <v>69210</v>
      </c>
      <c r="F38" s="20"/>
      <c r="G38" s="77"/>
      <c r="H38" s="15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39" ht="15" customHeight="1">
      <c r="A39" s="15"/>
      <c r="B39" s="237">
        <v>46096</v>
      </c>
      <c r="C39" s="130" t="s">
        <v>199</v>
      </c>
      <c r="D39" s="46"/>
      <c r="E39" s="279">
        <v>91010</v>
      </c>
      <c r="F39" s="82"/>
      <c r="G39" s="77"/>
      <c r="H39" s="15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</row>
    <row r="40" spans="1:39" ht="15" customHeight="1">
      <c r="A40" s="15"/>
      <c r="B40" s="132"/>
      <c r="C40" s="133"/>
      <c r="D40" s="46"/>
      <c r="E40" s="260"/>
      <c r="F40" s="82"/>
      <c r="G40" s="77"/>
      <c r="H40" s="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</row>
    <row r="41" spans="1:39" ht="15" customHeight="1">
      <c r="A41" s="15"/>
      <c r="B41" s="27"/>
      <c r="C41" s="232" t="s">
        <v>200</v>
      </c>
      <c r="D41" s="233"/>
      <c r="E41" s="234"/>
      <c r="F41" s="235"/>
      <c r="G41" s="302">
        <f>SUM(E42:E52)</f>
        <v>100000</v>
      </c>
      <c r="H41" s="125">
        <v>90000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</row>
    <row r="42" spans="1:39" ht="15" customHeight="1">
      <c r="A42" s="15"/>
      <c r="B42" s="237">
        <v>46084</v>
      </c>
      <c r="C42" s="134" t="s">
        <v>201</v>
      </c>
      <c r="D42" s="80"/>
      <c r="E42" s="42">
        <v>10000</v>
      </c>
      <c r="F42" s="20"/>
      <c r="G42" s="77"/>
      <c r="H42" s="15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</row>
    <row r="43" spans="1:39" ht="15" customHeight="1">
      <c r="A43" s="15"/>
      <c r="B43" s="237">
        <v>46086</v>
      </c>
      <c r="C43" s="134" t="s">
        <v>202</v>
      </c>
      <c r="D43" s="80"/>
      <c r="E43" s="280">
        <v>10000</v>
      </c>
      <c r="F43" s="20"/>
      <c r="G43" s="77"/>
      <c r="H43" s="1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39" ht="15" customHeight="1">
      <c r="A44" s="15"/>
      <c r="B44" s="237">
        <v>46087</v>
      </c>
      <c r="C44" s="134" t="s">
        <v>203</v>
      </c>
      <c r="D44" s="136"/>
      <c r="E44" s="280">
        <v>10000</v>
      </c>
      <c r="F44" s="82"/>
      <c r="G44" s="77"/>
      <c r="H44" s="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39" ht="15" customHeight="1">
      <c r="A45" s="15"/>
      <c r="B45" s="237">
        <v>46090</v>
      </c>
      <c r="C45" s="134" t="s">
        <v>204</v>
      </c>
      <c r="D45" s="136"/>
      <c r="E45" s="280">
        <v>10000</v>
      </c>
      <c r="F45" s="20"/>
      <c r="G45" s="22"/>
      <c r="H45" s="15"/>
      <c r="I45" s="22"/>
      <c r="J45" s="15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</row>
    <row r="46" spans="1:39" ht="15" customHeight="1">
      <c r="A46" s="15"/>
      <c r="B46" s="237">
        <v>46094</v>
      </c>
      <c r="C46" s="134" t="s">
        <v>205</v>
      </c>
      <c r="D46" s="80"/>
      <c r="E46" s="146">
        <v>10000</v>
      </c>
      <c r="F46" s="20"/>
      <c r="G46" s="22"/>
      <c r="H46" s="1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</row>
    <row r="47" spans="1:39" ht="15" customHeight="1">
      <c r="A47" s="15"/>
      <c r="B47" s="237">
        <v>46098</v>
      </c>
      <c r="C47" s="134" t="s">
        <v>206</v>
      </c>
      <c r="D47" s="137"/>
      <c r="E47" s="146">
        <v>10000</v>
      </c>
      <c r="F47" s="139"/>
      <c r="G47" s="77"/>
      <c r="H47" s="15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</row>
    <row r="48" spans="1:39" ht="15" customHeight="1">
      <c r="A48" s="15"/>
      <c r="B48" s="237">
        <v>46102</v>
      </c>
      <c r="C48" s="134" t="s">
        <v>207</v>
      </c>
      <c r="D48" s="46"/>
      <c r="E48" s="146">
        <v>10000</v>
      </c>
      <c r="F48" s="139"/>
      <c r="G48" s="77"/>
      <c r="H48" s="15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</row>
    <row r="49" spans="1:39" ht="15" customHeight="1">
      <c r="A49" s="15"/>
      <c r="B49" s="237">
        <v>46102</v>
      </c>
      <c r="C49" s="134" t="s">
        <v>208</v>
      </c>
      <c r="D49" s="46"/>
      <c r="E49" s="146">
        <v>10000</v>
      </c>
      <c r="F49" s="139"/>
      <c r="G49" s="77"/>
      <c r="H49" s="15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</row>
    <row r="50" spans="1:39" ht="15" customHeight="1">
      <c r="A50" s="15"/>
      <c r="B50" s="237">
        <v>46107</v>
      </c>
      <c r="C50" s="134" t="s">
        <v>209</v>
      </c>
      <c r="D50" s="46"/>
      <c r="E50" s="146">
        <v>10000</v>
      </c>
      <c r="F50" s="139"/>
      <c r="G50" s="77"/>
      <c r="H50" s="15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39" ht="15" customHeight="1">
      <c r="A51" s="15"/>
      <c r="B51" s="237">
        <v>46109</v>
      </c>
      <c r="C51" s="343" t="s">
        <v>210</v>
      </c>
      <c r="D51" s="46"/>
      <c r="E51" s="356">
        <v>10000</v>
      </c>
      <c r="F51" s="139"/>
      <c r="G51" s="77"/>
      <c r="H51" s="15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</row>
    <row r="52" spans="1:39" ht="15" customHeight="1">
      <c r="A52" s="59"/>
      <c r="B52" s="357"/>
      <c r="C52" s="276"/>
      <c r="D52" s="24"/>
      <c r="E52" s="231"/>
      <c r="F52" s="26"/>
      <c r="G52" s="77"/>
      <c r="H52" s="15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</row>
    <row r="53" spans="1:39" ht="15" customHeight="1">
      <c r="A53" s="59"/>
      <c r="B53" s="75"/>
      <c r="C53" s="358" t="s">
        <v>163</v>
      </c>
      <c r="D53" s="233"/>
      <c r="E53" s="234"/>
      <c r="F53" s="235"/>
      <c r="G53" s="359">
        <v>74940</v>
      </c>
      <c r="H53" s="153">
        <v>85000</v>
      </c>
      <c r="I53" s="15" t="s">
        <v>44</v>
      </c>
      <c r="J53" s="154">
        <v>284940</v>
      </c>
      <c r="K53" s="145" t="s">
        <v>45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</row>
    <row r="54" spans="1:39" ht="15" customHeight="1">
      <c r="A54" s="59"/>
      <c r="B54" s="327"/>
      <c r="C54" s="360" t="s">
        <v>211</v>
      </c>
      <c r="D54" s="53"/>
      <c r="E54" s="361"/>
      <c r="F54" s="157"/>
      <c r="G54" s="77"/>
      <c r="H54" s="143"/>
      <c r="I54" s="22"/>
      <c r="J54" s="15"/>
      <c r="K54" s="15"/>
      <c r="L54" s="145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</row>
    <row r="55" spans="1:39" ht="15" customHeight="1">
      <c r="A55" s="59"/>
      <c r="B55" s="237"/>
      <c r="C55" s="165"/>
      <c r="D55" s="46"/>
      <c r="E55" s="261"/>
      <c r="F55" s="157"/>
      <c r="G55" s="77"/>
      <c r="H55" s="15"/>
      <c r="I55" s="22"/>
      <c r="J55" s="15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</row>
    <row r="56" spans="1:39" ht="15" customHeight="1">
      <c r="A56" s="59"/>
      <c r="B56" s="282"/>
      <c r="C56" s="362"/>
      <c r="D56" s="46"/>
      <c r="E56" s="230"/>
      <c r="F56" s="157"/>
      <c r="G56" s="77"/>
      <c r="H56" s="15"/>
      <c r="I56" s="22"/>
      <c r="J56" s="15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</row>
    <row r="57" spans="1:39" ht="15" customHeight="1">
      <c r="A57" s="59"/>
      <c r="B57" s="75"/>
      <c r="C57" s="358" t="s">
        <v>164</v>
      </c>
      <c r="D57" s="233"/>
      <c r="E57" s="234"/>
      <c r="F57" s="235"/>
      <c r="G57" s="359">
        <f>SUM(E58:E60)</f>
        <v>85000</v>
      </c>
      <c r="H57" s="153">
        <v>114940</v>
      </c>
      <c r="I57" s="15" t="s">
        <v>44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39" ht="15" customHeight="1">
      <c r="A58" s="59"/>
      <c r="B58" s="237">
        <v>46084</v>
      </c>
      <c r="C58" s="363" t="s">
        <v>212</v>
      </c>
      <c r="D58" s="331"/>
      <c r="E58" s="239">
        <v>85000</v>
      </c>
      <c r="F58" s="119"/>
      <c r="G58" s="77"/>
      <c r="H58" s="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39" ht="15" customHeight="1">
      <c r="A59" s="59"/>
      <c r="B59" s="282"/>
      <c r="C59" s="364"/>
      <c r="D59" s="365"/>
      <c r="E59" s="366"/>
      <c r="F59" s="367"/>
      <c r="G59" s="77"/>
      <c r="H59" s="1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</row>
    <row r="60" spans="1:39" ht="15" customHeight="1">
      <c r="A60" s="59"/>
      <c r="B60" s="282"/>
      <c r="C60" s="368"/>
      <c r="D60" s="369"/>
      <c r="E60" s="231"/>
      <c r="F60" s="26"/>
      <c r="G60" s="77"/>
      <c r="H60" s="1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</row>
    <row r="61" spans="1:39" ht="15" customHeight="1">
      <c r="A61" s="59"/>
      <c r="B61" s="75"/>
      <c r="C61" s="358" t="s">
        <v>48</v>
      </c>
      <c r="D61" s="233"/>
      <c r="E61" s="234"/>
      <c r="F61" s="235"/>
      <c r="G61" s="267">
        <f>SUM(E62:E63)</f>
        <v>110000</v>
      </c>
      <c r="H61" s="284">
        <v>85000</v>
      </c>
      <c r="I61" s="15" t="s">
        <v>44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</row>
    <row r="62" spans="1:39" ht="15" customHeight="1">
      <c r="A62" s="59"/>
      <c r="B62" s="237">
        <v>46084</v>
      </c>
      <c r="C62" s="363" t="s">
        <v>213</v>
      </c>
      <c r="D62" s="331"/>
      <c r="E62" s="239">
        <v>110000</v>
      </c>
      <c r="F62" s="119"/>
      <c r="G62" s="77"/>
      <c r="H62" s="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</row>
    <row r="63" spans="1:39" ht="15" customHeight="1">
      <c r="A63" s="59"/>
      <c r="B63" s="282"/>
      <c r="C63" s="370"/>
      <c r="D63" s="46"/>
      <c r="E63" s="230"/>
      <c r="F63" s="139"/>
      <c r="G63" s="321"/>
      <c r="H63" s="15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</row>
    <row r="64" spans="1:39" ht="15" customHeight="1">
      <c r="A64" s="15"/>
      <c r="B64" s="27"/>
      <c r="C64" s="196" t="s">
        <v>50</v>
      </c>
      <c r="D64" s="46"/>
      <c r="E64" s="230"/>
      <c r="F64" s="20"/>
      <c r="G64" s="371">
        <f>SUM(E65:E66)</f>
        <v>10000</v>
      </c>
      <c r="H64" s="49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</row>
    <row r="65" spans="1:39" ht="15" customHeight="1">
      <c r="A65" s="15"/>
      <c r="B65" s="282"/>
      <c r="C65" s="173" t="s">
        <v>214</v>
      </c>
      <c r="D65" s="242"/>
      <c r="E65" s="372"/>
      <c r="F65" s="37"/>
      <c r="G65" s="329"/>
      <c r="H65" s="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</row>
    <row r="66" spans="1:39" ht="15" customHeight="1">
      <c r="A66" s="15"/>
      <c r="B66" s="237">
        <v>46108</v>
      </c>
      <c r="C66" s="240" t="s">
        <v>215</v>
      </c>
      <c r="D66" s="331"/>
      <c r="E66" s="240">
        <v>10000</v>
      </c>
      <c r="F66" s="20"/>
      <c r="G66" s="77"/>
      <c r="H66" s="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</row>
    <row r="67" spans="1:39" ht="15" customHeight="1">
      <c r="A67" s="59"/>
      <c r="B67" s="237">
        <v>46108</v>
      </c>
      <c r="C67" s="373" t="s">
        <v>216</v>
      </c>
      <c r="D67" s="46"/>
      <c r="E67" s="319">
        <v>5000</v>
      </c>
      <c r="F67" s="20"/>
      <c r="G67" s="332"/>
      <c r="H67" s="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</row>
    <row r="68" spans="1:39" ht="15" customHeight="1">
      <c r="A68" s="59"/>
      <c r="B68" s="282"/>
      <c r="C68" s="196"/>
      <c r="D68" s="46"/>
      <c r="E68" s="230"/>
      <c r="F68" s="20"/>
      <c r="G68" s="332"/>
      <c r="H68" s="1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1:39" ht="15" customHeight="1">
      <c r="A69" s="15"/>
      <c r="B69" s="282"/>
      <c r="C69" s="374" t="s">
        <v>128</v>
      </c>
      <c r="D69" s="375"/>
      <c r="E69" s="376"/>
      <c r="F69" s="377"/>
      <c r="G69" s="267">
        <f>SUM(E70:E71)</f>
        <v>10000</v>
      </c>
      <c r="H69" s="1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</row>
    <row r="70" spans="1:39" ht="15" customHeight="1">
      <c r="A70" s="188"/>
      <c r="B70" s="237">
        <v>46109</v>
      </c>
      <c r="C70" s="378" t="s">
        <v>217</v>
      </c>
      <c r="D70" s="379"/>
      <c r="E70" s="240">
        <v>10000</v>
      </c>
      <c r="F70" s="192"/>
      <c r="G70" s="193"/>
      <c r="H70" s="188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</row>
    <row r="71" spans="1:39" ht="18.75" customHeight="1">
      <c r="A71" s="15"/>
      <c r="B71" s="83"/>
      <c r="C71" s="20"/>
      <c r="D71" s="20"/>
      <c r="E71" s="20"/>
      <c r="F71" s="20"/>
      <c r="G71" s="22"/>
      <c r="H71" s="1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</row>
    <row r="72" spans="1:39" ht="15" customHeight="1">
      <c r="A72" s="15"/>
      <c r="B72" s="123"/>
      <c r="C72" s="277" t="s">
        <v>174</v>
      </c>
      <c r="D72" s="233"/>
      <c r="E72" s="234"/>
      <c r="F72" s="235"/>
      <c r="G72" s="267">
        <f>SUM(E73:E74)</f>
        <v>0</v>
      </c>
      <c r="H72" s="1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</row>
    <row r="73" spans="1:39" ht="15" customHeight="1">
      <c r="A73" s="15"/>
      <c r="B73" s="83"/>
      <c r="C73" s="335"/>
      <c r="D73" s="335"/>
      <c r="E73" s="303"/>
      <c r="F73" s="119"/>
      <c r="G73" s="77"/>
      <c r="H73" s="15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</row>
    <row r="74" spans="1:39" ht="15" customHeight="1">
      <c r="A74" s="15"/>
      <c r="B74" s="16"/>
      <c r="C74" s="26"/>
      <c r="D74" s="26"/>
      <c r="E74" s="20"/>
      <c r="F74" s="26"/>
      <c r="G74" s="22"/>
      <c r="H74" s="15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</row>
    <row r="75" spans="1:39" ht="19.5">
      <c r="A75" s="1"/>
      <c r="B75" s="1"/>
      <c r="C75" s="1"/>
      <c r="D75" s="1"/>
      <c r="E75" s="1"/>
      <c r="G75" s="4"/>
      <c r="H75" s="1"/>
    </row>
    <row r="76" spans="1:39" ht="25.5" customHeight="1">
      <c r="A76" s="1"/>
      <c r="B76" s="1"/>
      <c r="C76" s="380" t="s">
        <v>218</v>
      </c>
      <c r="D76" s="381">
        <f>SUM(D77:D78)</f>
        <v>0</v>
      </c>
      <c r="E76" s="1"/>
      <c r="G76" s="4"/>
      <c r="H76" s="1"/>
    </row>
    <row r="77" spans="1:39" ht="15.75" customHeight="1">
      <c r="A77" s="1"/>
      <c r="B77" s="1"/>
      <c r="C77" s="310"/>
      <c r="D77" s="311"/>
      <c r="E77" s="1"/>
      <c r="G77" s="4"/>
      <c r="H77" s="1"/>
    </row>
    <row r="78" spans="1:39" ht="15" customHeight="1">
      <c r="A78" s="1"/>
      <c r="B78" s="1"/>
      <c r="C78" s="312"/>
      <c r="D78" s="1"/>
      <c r="E78" s="1"/>
      <c r="G78" s="4"/>
      <c r="H78" s="1"/>
    </row>
    <row r="79" spans="1:39" ht="27.75" customHeight="1">
      <c r="A79" s="1"/>
      <c r="B79" s="1"/>
      <c r="C79" s="313" t="s">
        <v>134</v>
      </c>
      <c r="D79" s="314"/>
      <c r="E79" s="1"/>
      <c r="G79" s="4"/>
      <c r="H79" s="1"/>
    </row>
    <row r="80" spans="1:39" ht="15" customHeight="1">
      <c r="A80" s="1"/>
      <c r="B80" s="1"/>
      <c r="C80" s="119"/>
      <c r="D80" s="119"/>
      <c r="E80" s="316"/>
      <c r="G80" s="4"/>
      <c r="H80" s="1"/>
    </row>
    <row r="81" spans="1:8" ht="15" customHeight="1">
      <c r="A81" s="1"/>
      <c r="B81" s="1"/>
      <c r="C81" s="1"/>
      <c r="D81" s="1"/>
      <c r="E81" s="1"/>
      <c r="G81" s="4"/>
      <c r="H81" s="1"/>
    </row>
    <row r="82" spans="1:8" ht="19.5">
      <c r="A82" s="1"/>
      <c r="B82" s="1"/>
      <c r="C82" s="1"/>
      <c r="D82" s="1"/>
      <c r="E82" s="1"/>
      <c r="G82" s="4"/>
      <c r="H82" s="1"/>
    </row>
    <row r="83" spans="1:8" ht="19.5">
      <c r="A83" s="1"/>
      <c r="B83" s="1"/>
      <c r="C83" s="1"/>
      <c r="D83" s="1"/>
      <c r="E83" s="1"/>
      <c r="G83" s="4"/>
      <c r="H83" s="1"/>
    </row>
    <row r="84" spans="1:8" ht="19.5">
      <c r="A84" s="1"/>
      <c r="B84" s="1"/>
      <c r="C84" s="1"/>
      <c r="D84" s="1"/>
      <c r="E84" s="1"/>
      <c r="G84" s="4"/>
      <c r="H84" s="1"/>
    </row>
    <row r="85" spans="1:8" ht="19.5">
      <c r="A85" s="1"/>
      <c r="B85" s="1"/>
      <c r="C85" s="1"/>
      <c r="D85" s="1"/>
      <c r="E85" s="1"/>
      <c r="G85" s="4"/>
      <c r="H85" s="1"/>
    </row>
    <row r="86" spans="1:8" ht="19.5">
      <c r="A86" s="1"/>
      <c r="B86" s="1"/>
      <c r="C86" s="1"/>
      <c r="D86" s="1"/>
      <c r="E86" s="1"/>
      <c r="G86" s="4"/>
      <c r="H86" s="1"/>
    </row>
    <row r="87" spans="1:8" ht="19.5">
      <c r="A87" s="1"/>
      <c r="B87" s="1"/>
      <c r="C87" s="1"/>
      <c r="D87" s="1"/>
      <c r="E87" s="1"/>
      <c r="G87" s="4"/>
      <c r="H87" s="1"/>
    </row>
    <row r="88" spans="1:8" ht="19.5">
      <c r="A88" s="1"/>
      <c r="B88" s="1"/>
      <c r="C88" s="1"/>
      <c r="D88" s="1"/>
      <c r="E88" s="1"/>
      <c r="G88" s="4"/>
      <c r="H88" s="1"/>
    </row>
    <row r="89" spans="1:8" ht="19.5">
      <c r="A89" s="1"/>
      <c r="B89" s="1"/>
      <c r="C89" s="1"/>
      <c r="D89" s="1"/>
      <c r="E89" s="1"/>
      <c r="G89" s="4"/>
      <c r="H89" s="1"/>
    </row>
    <row r="90" spans="1:8" ht="19.5">
      <c r="A90" s="1"/>
      <c r="B90" s="1"/>
      <c r="C90" s="1"/>
      <c r="D90" s="1"/>
      <c r="E90" s="1"/>
      <c r="G90" s="4"/>
      <c r="H90" s="1"/>
    </row>
    <row r="91" spans="1:8" ht="19.5">
      <c r="A91" s="1"/>
      <c r="B91" s="1"/>
      <c r="C91" s="1"/>
      <c r="D91" s="1"/>
      <c r="E91" s="1"/>
      <c r="G91" s="4"/>
      <c r="H91" s="1"/>
    </row>
    <row r="92" spans="1:8" ht="19.5">
      <c r="A92" s="1"/>
      <c r="B92" s="1"/>
      <c r="C92" s="1"/>
      <c r="D92" s="1"/>
      <c r="E92" s="1"/>
      <c r="G92" s="4"/>
      <c r="H92" s="1"/>
    </row>
    <row r="93" spans="1:8" ht="19.5">
      <c r="A93" s="1"/>
      <c r="B93" s="1"/>
      <c r="C93" s="1"/>
      <c r="D93" s="1"/>
      <c r="E93" s="1"/>
      <c r="G93" s="4"/>
      <c r="H93" s="1"/>
    </row>
    <row r="94" spans="1:8" ht="19.5">
      <c r="A94" s="1"/>
      <c r="B94" s="1"/>
      <c r="C94" s="1"/>
      <c r="D94" s="1"/>
      <c r="E94" s="1"/>
      <c r="G94" s="4"/>
      <c r="H94" s="1"/>
    </row>
    <row r="95" spans="1:8" ht="19.5">
      <c r="A95" s="1"/>
      <c r="B95" s="1"/>
      <c r="C95" s="1"/>
      <c r="D95" s="1"/>
      <c r="E95" s="1"/>
      <c r="G95" s="4"/>
      <c r="H95" s="1"/>
    </row>
    <row r="96" spans="1:8" ht="19.5">
      <c r="A96" s="1"/>
      <c r="B96" s="1"/>
      <c r="C96" s="1"/>
      <c r="D96" s="1"/>
      <c r="E96" s="1"/>
      <c r="G96" s="4"/>
      <c r="H96" s="1"/>
    </row>
    <row r="97" spans="1:8" ht="19.5">
      <c r="A97" s="1"/>
      <c r="B97" s="1"/>
      <c r="C97" s="1"/>
      <c r="D97" s="1"/>
      <c r="E97" s="1"/>
      <c r="G97" s="4"/>
      <c r="H97" s="1"/>
    </row>
    <row r="98" spans="1:8" ht="19.5">
      <c r="A98" s="1"/>
      <c r="B98" s="1"/>
      <c r="C98" s="1"/>
      <c r="D98" s="1"/>
      <c r="E98" s="1"/>
      <c r="G98" s="4"/>
      <c r="H98" s="1"/>
    </row>
    <row r="99" spans="1:8" ht="19.5">
      <c r="A99" s="1"/>
      <c r="B99" s="1"/>
      <c r="C99" s="1"/>
      <c r="D99" s="1"/>
      <c r="E99" s="1"/>
      <c r="G99" s="4"/>
      <c r="H99" s="1"/>
    </row>
    <row r="100" spans="1:8" ht="19.5">
      <c r="A100" s="1"/>
      <c r="B100" s="1"/>
      <c r="C100" s="1"/>
      <c r="D100" s="1"/>
      <c r="E100" s="1"/>
      <c r="G100" s="4"/>
      <c r="H100" s="1"/>
    </row>
    <row r="101" spans="1:8" ht="19.5">
      <c r="A101" s="1"/>
      <c r="B101" s="1"/>
      <c r="C101" s="1"/>
      <c r="D101" s="1"/>
      <c r="E101" s="1"/>
      <c r="G101" s="4"/>
      <c r="H101" s="1"/>
    </row>
    <row r="102" spans="1:8" ht="19.5">
      <c r="A102" s="1"/>
      <c r="B102" s="1"/>
      <c r="C102" s="1"/>
      <c r="D102" s="1"/>
      <c r="E102" s="1"/>
      <c r="G102" s="4"/>
      <c r="H102" s="1"/>
    </row>
    <row r="103" spans="1:8" ht="19.5">
      <c r="A103" s="1"/>
      <c r="B103" s="1"/>
      <c r="C103" s="1"/>
      <c r="D103" s="1"/>
      <c r="E103" s="1"/>
      <c r="G103" s="4"/>
      <c r="H103" s="1"/>
    </row>
    <row r="104" spans="1:8" ht="19.5">
      <c r="A104" s="1"/>
      <c r="B104" s="1"/>
      <c r="C104" s="1"/>
      <c r="D104" s="1"/>
      <c r="E104" s="1"/>
      <c r="G104" s="4"/>
      <c r="H104" s="1"/>
    </row>
    <row r="105" spans="1:8" ht="19.5">
      <c r="A105" s="1"/>
      <c r="B105" s="1"/>
      <c r="C105" s="1"/>
      <c r="D105" s="1"/>
      <c r="E105" s="1"/>
      <c r="G105" s="4"/>
      <c r="H105" s="1"/>
    </row>
    <row r="106" spans="1:8" ht="19.5">
      <c r="A106" s="1"/>
      <c r="B106" s="1"/>
      <c r="C106" s="1"/>
      <c r="D106" s="1"/>
      <c r="E106" s="1"/>
      <c r="G106" s="4"/>
      <c r="H106" s="1"/>
    </row>
    <row r="107" spans="1:8" ht="19.5">
      <c r="A107" s="1"/>
      <c r="B107" s="1"/>
      <c r="C107" s="1"/>
      <c r="D107" s="1"/>
      <c r="E107" s="1"/>
      <c r="G107" s="4"/>
      <c r="H107" s="1"/>
    </row>
    <row r="108" spans="1:8" ht="19.5">
      <c r="A108" s="1"/>
      <c r="B108" s="1"/>
      <c r="C108" s="1"/>
      <c r="D108" s="1"/>
      <c r="E108" s="1"/>
      <c r="G108" s="4"/>
      <c r="H108" s="1"/>
    </row>
    <row r="109" spans="1:8" ht="19.5">
      <c r="A109" s="1"/>
      <c r="B109" s="1"/>
      <c r="C109" s="1"/>
      <c r="D109" s="1"/>
      <c r="E109" s="1"/>
      <c r="G109" s="4"/>
      <c r="H109" s="1"/>
    </row>
    <row r="110" spans="1:8" ht="19.5">
      <c r="A110" s="1"/>
      <c r="B110" s="1"/>
      <c r="C110" s="1"/>
      <c r="D110" s="1"/>
      <c r="E110" s="1"/>
      <c r="G110" s="4"/>
      <c r="H110" s="1"/>
    </row>
    <row r="111" spans="1:8" ht="19.5">
      <c r="A111" s="1"/>
      <c r="B111" s="1"/>
      <c r="C111" s="1"/>
      <c r="D111" s="1"/>
      <c r="E111" s="1"/>
      <c r="G111" s="4"/>
      <c r="H111" s="1"/>
    </row>
    <row r="112" spans="1:8" ht="19.5">
      <c r="A112" s="1"/>
      <c r="B112" s="1"/>
      <c r="C112" s="1"/>
      <c r="D112" s="1"/>
      <c r="E112" s="1"/>
      <c r="G112" s="4"/>
      <c r="H112" s="1"/>
    </row>
    <row r="113" spans="1:8" ht="19.5">
      <c r="A113" s="1"/>
      <c r="B113" s="1"/>
      <c r="C113" s="1"/>
      <c r="D113" s="1"/>
      <c r="E113" s="1"/>
      <c r="G113" s="4"/>
      <c r="H113" s="1"/>
    </row>
    <row r="114" spans="1:8" ht="19.5">
      <c r="A114" s="1"/>
      <c r="B114" s="1"/>
      <c r="C114" s="1"/>
      <c r="D114" s="1"/>
      <c r="E114" s="1"/>
      <c r="G114" s="4"/>
      <c r="H114" s="1"/>
    </row>
    <row r="115" spans="1:8" ht="19.5">
      <c r="A115" s="1"/>
      <c r="B115" s="1"/>
      <c r="C115" s="1"/>
      <c r="D115" s="1"/>
      <c r="E115" s="1"/>
      <c r="G115" s="4"/>
      <c r="H115" s="1"/>
    </row>
    <row r="116" spans="1:8" ht="19.5">
      <c r="A116" s="1"/>
      <c r="B116" s="1"/>
      <c r="C116" s="1"/>
      <c r="D116" s="1"/>
      <c r="E116" s="1"/>
      <c r="G116" s="4"/>
      <c r="H116" s="1"/>
    </row>
    <row r="117" spans="1:8" ht="19.5">
      <c r="A117" s="1"/>
      <c r="B117" s="1"/>
      <c r="C117" s="1"/>
      <c r="D117" s="1"/>
      <c r="E117" s="1"/>
      <c r="G117" s="4"/>
      <c r="H117" s="1"/>
    </row>
    <row r="118" spans="1:8" ht="19.5">
      <c r="A118" s="1"/>
      <c r="B118" s="1"/>
      <c r="C118" s="1"/>
      <c r="D118" s="1"/>
      <c r="E118" s="1"/>
      <c r="G118" s="4"/>
      <c r="H118" s="1"/>
    </row>
    <row r="119" spans="1:8" ht="19.5">
      <c r="A119" s="1"/>
      <c r="B119" s="1"/>
      <c r="C119" s="1"/>
      <c r="D119" s="1"/>
      <c r="E119" s="1"/>
      <c r="G119" s="4"/>
      <c r="H119" s="1"/>
    </row>
    <row r="120" spans="1:8" ht="19.5">
      <c r="A120" s="1"/>
      <c r="B120" s="1"/>
      <c r="C120" s="1"/>
      <c r="D120" s="1"/>
      <c r="E120" s="1"/>
      <c r="G120" s="4"/>
      <c r="H120" s="1"/>
    </row>
    <row r="121" spans="1:8" ht="19.5">
      <c r="A121" s="1"/>
      <c r="B121" s="1"/>
      <c r="C121" s="1"/>
      <c r="D121" s="1"/>
      <c r="E121" s="1"/>
      <c r="G121" s="4"/>
      <c r="H121" s="1"/>
    </row>
    <row r="122" spans="1:8" ht="19.5">
      <c r="A122" s="1"/>
      <c r="B122" s="1"/>
      <c r="C122" s="1"/>
      <c r="D122" s="1"/>
      <c r="E122" s="1"/>
      <c r="G122" s="4"/>
      <c r="H122" s="1"/>
    </row>
    <row r="123" spans="1:8" ht="19.5">
      <c r="A123" s="1"/>
      <c r="B123" s="1"/>
      <c r="C123" s="1"/>
      <c r="D123" s="1"/>
      <c r="E123" s="1"/>
      <c r="G123" s="4"/>
      <c r="H123" s="1"/>
    </row>
    <row r="124" spans="1:8" ht="19.5">
      <c r="A124" s="1"/>
      <c r="B124" s="1"/>
      <c r="C124" s="1"/>
      <c r="D124" s="1"/>
      <c r="E124" s="1"/>
      <c r="G124" s="4"/>
      <c r="H124" s="1"/>
    </row>
    <row r="125" spans="1:8" ht="19.5">
      <c r="A125" s="1"/>
      <c r="B125" s="1"/>
      <c r="C125" s="1"/>
      <c r="D125" s="1"/>
      <c r="E125" s="1"/>
      <c r="G125" s="4"/>
      <c r="H125" s="1"/>
    </row>
    <row r="126" spans="1:8" ht="19.5">
      <c r="A126" s="1"/>
      <c r="B126" s="1"/>
      <c r="C126" s="1"/>
      <c r="D126" s="1"/>
      <c r="E126" s="1"/>
      <c r="G126" s="4"/>
      <c r="H126" s="1"/>
    </row>
    <row r="127" spans="1:8" ht="19.5">
      <c r="A127" s="1"/>
      <c r="B127" s="1"/>
      <c r="C127" s="1"/>
      <c r="D127" s="1"/>
      <c r="E127" s="1"/>
      <c r="G127" s="4"/>
      <c r="H127" s="1"/>
    </row>
    <row r="128" spans="1:8" ht="19.5">
      <c r="A128" s="1"/>
      <c r="B128" s="1"/>
      <c r="C128" s="1"/>
      <c r="D128" s="1"/>
      <c r="E128" s="1"/>
      <c r="G128" s="4"/>
      <c r="H128" s="1"/>
    </row>
    <row r="129" spans="1:8" ht="19.5">
      <c r="A129" s="1"/>
      <c r="B129" s="1"/>
      <c r="C129" s="1"/>
      <c r="D129" s="1"/>
      <c r="E129" s="1"/>
      <c r="G129" s="4"/>
      <c r="H129" s="1"/>
    </row>
    <row r="130" spans="1:8" ht="19.5">
      <c r="A130" s="1"/>
      <c r="B130" s="1"/>
      <c r="C130" s="1"/>
      <c r="D130" s="1"/>
      <c r="E130" s="1"/>
      <c r="G130" s="4"/>
      <c r="H130" s="1"/>
    </row>
    <row r="131" spans="1:8" ht="19.5">
      <c r="A131" s="1"/>
      <c r="B131" s="1"/>
      <c r="C131" s="1"/>
      <c r="D131" s="1"/>
      <c r="E131" s="1"/>
      <c r="G131" s="4"/>
      <c r="H131" s="1"/>
    </row>
    <row r="132" spans="1:8" ht="19.5">
      <c r="A132" s="1"/>
      <c r="B132" s="1"/>
      <c r="C132" s="1"/>
      <c r="D132" s="1"/>
      <c r="E132" s="1"/>
      <c r="G132" s="4"/>
      <c r="H132" s="1"/>
    </row>
    <row r="133" spans="1:8" ht="19.5">
      <c r="A133" s="1"/>
      <c r="B133" s="1"/>
      <c r="C133" s="1"/>
      <c r="D133" s="1"/>
      <c r="E133" s="1"/>
      <c r="G133" s="4"/>
      <c r="H133" s="1"/>
    </row>
    <row r="134" spans="1:8" ht="19.5">
      <c r="A134" s="1"/>
      <c r="B134" s="1"/>
      <c r="C134" s="1"/>
      <c r="D134" s="1"/>
      <c r="E134" s="1"/>
      <c r="G134" s="4"/>
      <c r="H134" s="1"/>
    </row>
    <row r="135" spans="1:8" ht="19.5">
      <c r="A135" s="1"/>
      <c r="B135" s="1"/>
      <c r="C135" s="1"/>
      <c r="D135" s="1"/>
      <c r="E135" s="1"/>
      <c r="G135" s="4"/>
      <c r="H135" s="1"/>
    </row>
    <row r="136" spans="1:8" ht="19.5">
      <c r="A136" s="1"/>
      <c r="B136" s="1"/>
      <c r="C136" s="1"/>
      <c r="D136" s="1"/>
      <c r="E136" s="1"/>
      <c r="G136" s="4"/>
      <c r="H136" s="1"/>
    </row>
    <row r="137" spans="1:8" ht="19.5">
      <c r="A137" s="1"/>
      <c r="B137" s="1"/>
      <c r="C137" s="1"/>
      <c r="D137" s="1"/>
      <c r="E137" s="1"/>
      <c r="G137" s="4"/>
      <c r="H137" s="1"/>
    </row>
    <row r="138" spans="1:8" ht="19.5">
      <c r="A138" s="1"/>
      <c r="B138" s="1"/>
      <c r="C138" s="1"/>
      <c r="D138" s="1"/>
      <c r="E138" s="1"/>
      <c r="G138" s="4"/>
      <c r="H138" s="1"/>
    </row>
    <row r="139" spans="1:8" ht="19.5">
      <c r="A139" s="1"/>
      <c r="B139" s="1"/>
      <c r="C139" s="1"/>
      <c r="D139" s="1"/>
      <c r="E139" s="1"/>
      <c r="G139" s="4"/>
      <c r="H139" s="1"/>
    </row>
    <row r="140" spans="1:8" ht="19.5">
      <c r="A140" s="1"/>
      <c r="B140" s="1"/>
      <c r="C140" s="1"/>
      <c r="D140" s="1"/>
      <c r="E140" s="1"/>
      <c r="G140" s="4"/>
      <c r="H140" s="1"/>
    </row>
    <row r="141" spans="1:8" ht="19.5">
      <c r="A141" s="1"/>
      <c r="B141" s="1"/>
      <c r="C141" s="1"/>
      <c r="D141" s="1"/>
      <c r="E141" s="1"/>
      <c r="G141" s="4"/>
      <c r="H141" s="1"/>
    </row>
    <row r="142" spans="1:8" ht="19.5">
      <c r="A142" s="1"/>
      <c r="B142" s="1"/>
      <c r="C142" s="1"/>
      <c r="D142" s="1"/>
      <c r="E142" s="1"/>
      <c r="G142" s="4"/>
      <c r="H142" s="1"/>
    </row>
    <row r="143" spans="1:8" ht="19.5">
      <c r="A143" s="1"/>
      <c r="B143" s="1"/>
      <c r="C143" s="1"/>
      <c r="D143" s="1"/>
      <c r="E143" s="1"/>
      <c r="G143" s="4"/>
      <c r="H143" s="1"/>
    </row>
    <row r="144" spans="1:8" ht="19.5">
      <c r="A144" s="1"/>
      <c r="B144" s="1"/>
      <c r="C144" s="1"/>
      <c r="D144" s="1"/>
      <c r="E144" s="1"/>
      <c r="G144" s="4"/>
      <c r="H144" s="1"/>
    </row>
    <row r="145" spans="1:8" ht="19.5">
      <c r="A145" s="1"/>
      <c r="B145" s="1"/>
      <c r="C145" s="1"/>
      <c r="D145" s="1"/>
      <c r="E145" s="1"/>
      <c r="G145" s="4"/>
      <c r="H145" s="1"/>
    </row>
    <row r="146" spans="1:8" ht="19.5">
      <c r="A146" s="1"/>
      <c r="B146" s="1"/>
      <c r="C146" s="1"/>
      <c r="D146" s="1"/>
      <c r="E146" s="1"/>
      <c r="G146" s="4"/>
      <c r="H146" s="1"/>
    </row>
    <row r="147" spans="1:8" ht="19.5">
      <c r="A147" s="1"/>
      <c r="B147" s="1"/>
      <c r="C147" s="1"/>
      <c r="D147" s="1"/>
      <c r="E147" s="1"/>
      <c r="G147" s="4"/>
      <c r="H147" s="1"/>
    </row>
    <row r="148" spans="1:8" ht="19.5">
      <c r="A148" s="1"/>
      <c r="B148" s="1"/>
      <c r="C148" s="1"/>
      <c r="D148" s="1"/>
      <c r="E148" s="1"/>
      <c r="G148" s="4"/>
      <c r="H148" s="1"/>
    </row>
    <row r="149" spans="1:8" ht="19.5">
      <c r="A149" s="1"/>
      <c r="B149" s="1"/>
      <c r="C149" s="1"/>
      <c r="D149" s="1"/>
      <c r="E149" s="1"/>
      <c r="G149" s="4"/>
      <c r="H149" s="1"/>
    </row>
    <row r="150" spans="1:8" ht="19.5">
      <c r="A150" s="1"/>
      <c r="B150" s="1"/>
      <c r="C150" s="1"/>
      <c r="D150" s="1"/>
      <c r="E150" s="1"/>
      <c r="G150" s="4"/>
      <c r="H150" s="1"/>
    </row>
    <row r="151" spans="1:8" ht="19.5">
      <c r="A151" s="1"/>
      <c r="B151" s="1"/>
      <c r="C151" s="1"/>
      <c r="D151" s="1"/>
      <c r="E151" s="1"/>
      <c r="G151" s="4"/>
      <c r="H151" s="1"/>
    </row>
    <row r="152" spans="1:8" ht="19.5">
      <c r="A152" s="1"/>
      <c r="B152" s="1"/>
      <c r="C152" s="1"/>
      <c r="D152" s="1"/>
      <c r="E152" s="1"/>
      <c r="G152" s="4"/>
      <c r="H152" s="1"/>
    </row>
    <row r="153" spans="1:8" ht="19.5">
      <c r="A153" s="1"/>
      <c r="B153" s="1"/>
      <c r="C153" s="1"/>
      <c r="D153" s="1"/>
      <c r="E153" s="1"/>
      <c r="G153" s="4"/>
      <c r="H153" s="1"/>
    </row>
    <row r="154" spans="1:8" ht="19.5">
      <c r="A154" s="1"/>
      <c r="B154" s="1"/>
      <c r="C154" s="1"/>
      <c r="D154" s="1"/>
      <c r="E154" s="1"/>
      <c r="G154" s="4"/>
      <c r="H154" s="1"/>
    </row>
    <row r="155" spans="1:8" ht="19.5">
      <c r="A155" s="1"/>
      <c r="B155" s="1"/>
      <c r="C155" s="1"/>
      <c r="D155" s="1"/>
      <c r="E155" s="1"/>
      <c r="G155" s="4"/>
      <c r="H155" s="1"/>
    </row>
    <row r="156" spans="1:8" ht="19.5">
      <c r="A156" s="1"/>
      <c r="B156" s="1"/>
      <c r="C156" s="1"/>
      <c r="D156" s="1"/>
      <c r="E156" s="1"/>
      <c r="G156" s="4"/>
      <c r="H156" s="1"/>
    </row>
    <row r="157" spans="1:8" ht="19.5">
      <c r="A157" s="1"/>
      <c r="B157" s="1"/>
      <c r="C157" s="1"/>
      <c r="D157" s="1"/>
      <c r="E157" s="1"/>
      <c r="G157" s="4"/>
      <c r="H157" s="1"/>
    </row>
    <row r="158" spans="1:8" ht="19.5">
      <c r="A158" s="1"/>
      <c r="B158" s="1"/>
      <c r="C158" s="1"/>
      <c r="D158" s="1"/>
      <c r="E158" s="1"/>
      <c r="G158" s="4"/>
      <c r="H158" s="1"/>
    </row>
    <row r="159" spans="1:8" ht="19.5">
      <c r="A159" s="1"/>
      <c r="B159" s="1"/>
      <c r="C159" s="1"/>
      <c r="D159" s="1"/>
      <c r="E159" s="1"/>
      <c r="G159" s="4"/>
      <c r="H159" s="1"/>
    </row>
    <row r="160" spans="1:8" ht="19.5">
      <c r="A160" s="1"/>
      <c r="B160" s="1"/>
      <c r="C160" s="1"/>
      <c r="D160" s="1"/>
      <c r="E160" s="1"/>
      <c r="G160" s="4"/>
      <c r="H160" s="1"/>
    </row>
    <row r="161" spans="1:8" ht="19.5">
      <c r="A161" s="1"/>
      <c r="B161" s="1"/>
      <c r="C161" s="1"/>
      <c r="D161" s="1"/>
      <c r="E161" s="1"/>
      <c r="G161" s="4"/>
      <c r="H161" s="1"/>
    </row>
    <row r="162" spans="1:8" ht="19.5">
      <c r="A162" s="1"/>
      <c r="B162" s="1"/>
      <c r="C162" s="1"/>
      <c r="D162" s="1"/>
      <c r="E162" s="1"/>
      <c r="G162" s="4"/>
      <c r="H162" s="1"/>
    </row>
    <row r="163" spans="1:8" ht="19.5">
      <c r="A163" s="1"/>
      <c r="B163" s="1"/>
      <c r="C163" s="1"/>
      <c r="D163" s="1"/>
      <c r="E163" s="1"/>
      <c r="G163" s="4"/>
      <c r="H163" s="1"/>
    </row>
    <row r="164" spans="1:8" ht="19.5">
      <c r="A164" s="1"/>
      <c r="B164" s="1"/>
      <c r="C164" s="1"/>
      <c r="D164" s="1"/>
      <c r="E164" s="1"/>
      <c r="G164" s="4"/>
      <c r="H164" s="1"/>
    </row>
    <row r="165" spans="1:8" ht="19.5">
      <c r="A165" s="1"/>
      <c r="B165" s="1"/>
      <c r="C165" s="1"/>
      <c r="D165" s="1"/>
      <c r="E165" s="1"/>
      <c r="G165" s="4"/>
      <c r="H165" s="1"/>
    </row>
    <row r="166" spans="1:8" ht="19.5">
      <c r="A166" s="1"/>
      <c r="B166" s="1"/>
      <c r="C166" s="1"/>
      <c r="D166" s="1"/>
      <c r="E166" s="1"/>
      <c r="G166" s="4"/>
      <c r="H166" s="1"/>
    </row>
    <row r="167" spans="1:8" ht="19.5">
      <c r="A167" s="1"/>
      <c r="B167" s="1"/>
      <c r="C167" s="1"/>
      <c r="D167" s="1"/>
      <c r="E167" s="1"/>
      <c r="G167" s="4"/>
      <c r="H167" s="1"/>
    </row>
    <row r="168" spans="1:8" ht="19.5">
      <c r="A168" s="1"/>
      <c r="B168" s="1"/>
      <c r="C168" s="1"/>
      <c r="D168" s="1"/>
      <c r="E168" s="1"/>
      <c r="G168" s="4"/>
      <c r="H168" s="1"/>
    </row>
    <row r="169" spans="1:8" ht="19.5">
      <c r="A169" s="1"/>
      <c r="B169" s="1"/>
      <c r="C169" s="1"/>
      <c r="D169" s="1"/>
      <c r="E169" s="1"/>
      <c r="G169" s="4"/>
      <c r="H169" s="1"/>
    </row>
    <row r="170" spans="1:8" ht="19.5">
      <c r="A170" s="1"/>
      <c r="B170" s="1"/>
      <c r="C170" s="1"/>
      <c r="D170" s="1"/>
      <c r="E170" s="1"/>
      <c r="G170" s="4"/>
      <c r="H170" s="1"/>
    </row>
    <row r="171" spans="1:8" ht="19.5">
      <c r="A171" s="1"/>
      <c r="B171" s="1"/>
      <c r="C171" s="1"/>
      <c r="D171" s="1"/>
      <c r="E171" s="1"/>
      <c r="G171" s="4"/>
      <c r="H171" s="1"/>
    </row>
    <row r="172" spans="1:8" ht="19.5">
      <c r="A172" s="1"/>
      <c r="B172" s="1"/>
      <c r="C172" s="1"/>
      <c r="D172" s="1"/>
      <c r="E172" s="1"/>
      <c r="G172" s="4"/>
      <c r="H172" s="1"/>
    </row>
    <row r="173" spans="1:8" ht="19.5">
      <c r="A173" s="1"/>
      <c r="B173" s="1"/>
      <c r="C173" s="1"/>
      <c r="D173" s="1"/>
      <c r="E173" s="1"/>
      <c r="G173" s="4"/>
      <c r="H173" s="1"/>
    </row>
    <row r="174" spans="1:8" ht="19.5">
      <c r="A174" s="1"/>
      <c r="B174" s="1"/>
      <c r="C174" s="1"/>
      <c r="D174" s="1"/>
      <c r="E174" s="1"/>
      <c r="G174" s="4"/>
      <c r="H174" s="1"/>
    </row>
    <row r="175" spans="1:8" ht="19.5">
      <c r="A175" s="1"/>
      <c r="B175" s="1"/>
      <c r="C175" s="1"/>
      <c r="D175" s="1"/>
      <c r="E175" s="1"/>
      <c r="G175" s="4"/>
      <c r="H175" s="1"/>
    </row>
    <row r="176" spans="1:8" ht="19.5">
      <c r="A176" s="1"/>
      <c r="B176" s="1"/>
      <c r="C176" s="1"/>
      <c r="D176" s="1"/>
      <c r="E176" s="1"/>
      <c r="G176" s="4"/>
      <c r="H176" s="1"/>
    </row>
    <row r="177" spans="1:8" ht="19.5">
      <c r="A177" s="1"/>
      <c r="B177" s="1"/>
      <c r="C177" s="1"/>
      <c r="D177" s="1"/>
      <c r="E177" s="1"/>
      <c r="G177" s="4"/>
      <c r="H177" s="1"/>
    </row>
    <row r="178" spans="1:8" ht="19.5">
      <c r="A178" s="1"/>
      <c r="B178" s="1"/>
      <c r="C178" s="1"/>
      <c r="D178" s="1"/>
      <c r="E178" s="1"/>
      <c r="G178" s="4"/>
      <c r="H178" s="1"/>
    </row>
    <row r="179" spans="1:8" ht="19.5">
      <c r="A179" s="1"/>
      <c r="B179" s="1"/>
      <c r="C179" s="1"/>
      <c r="D179" s="1"/>
      <c r="E179" s="1"/>
      <c r="G179" s="4"/>
      <c r="H179" s="1"/>
    </row>
    <row r="180" spans="1:8" ht="19.5">
      <c r="A180" s="1"/>
      <c r="B180" s="1"/>
      <c r="C180" s="1"/>
      <c r="D180" s="1"/>
      <c r="E180" s="1"/>
      <c r="G180" s="4"/>
      <c r="H180" s="1"/>
    </row>
    <row r="181" spans="1:8" ht="19.5">
      <c r="A181" s="1"/>
      <c r="B181" s="1"/>
      <c r="C181" s="1"/>
      <c r="D181" s="1"/>
      <c r="E181" s="1"/>
      <c r="G181" s="4"/>
      <c r="H181" s="1"/>
    </row>
    <row r="182" spans="1:8" ht="19.5">
      <c r="A182" s="1"/>
      <c r="B182" s="1"/>
      <c r="C182" s="1"/>
      <c r="D182" s="1"/>
      <c r="E182" s="1"/>
      <c r="G182" s="4"/>
      <c r="H182" s="1"/>
    </row>
    <row r="183" spans="1:8" ht="19.5">
      <c r="A183" s="1"/>
      <c r="B183" s="1"/>
      <c r="C183" s="1"/>
      <c r="D183" s="1"/>
      <c r="E183" s="1"/>
      <c r="G183" s="4"/>
      <c r="H183" s="1"/>
    </row>
    <row r="184" spans="1:8" ht="19.5">
      <c r="A184" s="1"/>
      <c r="B184" s="1"/>
      <c r="C184" s="1"/>
      <c r="D184" s="1"/>
      <c r="E184" s="1"/>
      <c r="G184" s="4"/>
      <c r="H184" s="1"/>
    </row>
    <row r="185" spans="1:8" ht="19.5">
      <c r="A185" s="1"/>
      <c r="B185" s="1"/>
      <c r="C185" s="1"/>
      <c r="D185" s="1"/>
      <c r="E185" s="1"/>
      <c r="G185" s="4"/>
      <c r="H185" s="1"/>
    </row>
    <row r="186" spans="1:8" ht="19.5">
      <c r="A186" s="1"/>
      <c r="B186" s="1"/>
      <c r="C186" s="1"/>
      <c r="D186" s="1"/>
      <c r="E186" s="1"/>
      <c r="G186" s="4"/>
      <c r="H186" s="1"/>
    </row>
    <row r="187" spans="1:8" ht="19.5">
      <c r="A187" s="1"/>
      <c r="B187" s="1"/>
      <c r="C187" s="1"/>
      <c r="D187" s="1"/>
      <c r="E187" s="1"/>
      <c r="G187" s="4"/>
      <c r="H187" s="1"/>
    </row>
    <row r="188" spans="1:8" ht="19.5">
      <c r="A188" s="1"/>
      <c r="B188" s="1"/>
      <c r="C188" s="1"/>
      <c r="D188" s="1"/>
      <c r="E188" s="1"/>
      <c r="G188" s="4"/>
      <c r="H188" s="1"/>
    </row>
    <row r="189" spans="1:8" ht="19.5">
      <c r="A189" s="1"/>
      <c r="B189" s="1"/>
      <c r="C189" s="1"/>
      <c r="D189" s="1"/>
      <c r="E189" s="1"/>
      <c r="G189" s="4"/>
      <c r="H189" s="1"/>
    </row>
    <row r="190" spans="1:8" ht="19.5">
      <c r="A190" s="1"/>
      <c r="B190" s="1"/>
      <c r="C190" s="1"/>
      <c r="D190" s="1"/>
      <c r="E190" s="1"/>
      <c r="G190" s="4"/>
      <c r="H190" s="1"/>
    </row>
    <row r="191" spans="1:8" ht="19.5">
      <c r="A191" s="1"/>
      <c r="B191" s="1"/>
      <c r="C191" s="1"/>
      <c r="D191" s="1"/>
      <c r="E191" s="1"/>
      <c r="G191" s="4"/>
      <c r="H191" s="1"/>
    </row>
    <row r="192" spans="1:8" ht="19.5">
      <c r="A192" s="1"/>
      <c r="B192" s="1"/>
      <c r="C192" s="1"/>
      <c r="D192" s="1"/>
      <c r="E192" s="1"/>
      <c r="G192" s="4"/>
      <c r="H192" s="1"/>
    </row>
    <row r="193" spans="1:8" ht="19.5">
      <c r="A193" s="1"/>
      <c r="B193" s="1"/>
      <c r="C193" s="1"/>
      <c r="D193" s="1"/>
      <c r="E193" s="1"/>
      <c r="G193" s="4"/>
      <c r="H193" s="1"/>
    </row>
    <row r="194" spans="1:8" ht="19.5">
      <c r="A194" s="1"/>
      <c r="B194" s="1"/>
      <c r="C194" s="1"/>
      <c r="D194" s="1"/>
      <c r="E194" s="1"/>
      <c r="G194" s="4"/>
      <c r="H194" s="1"/>
    </row>
    <row r="195" spans="1:8" ht="19.5">
      <c r="A195" s="1"/>
      <c r="B195" s="1"/>
      <c r="C195" s="1"/>
      <c r="D195" s="1"/>
      <c r="E195" s="1"/>
      <c r="G195" s="4"/>
      <c r="H195" s="1"/>
    </row>
    <row r="196" spans="1:8" ht="19.5">
      <c r="A196" s="1"/>
      <c r="B196" s="1"/>
      <c r="C196" s="1"/>
      <c r="D196" s="1"/>
      <c r="E196" s="1"/>
      <c r="G196" s="4"/>
      <c r="H196" s="1"/>
    </row>
    <row r="197" spans="1:8" ht="19.5">
      <c r="A197" s="1"/>
      <c r="B197" s="1"/>
      <c r="C197" s="1"/>
      <c r="D197" s="1"/>
      <c r="E197" s="1"/>
      <c r="G197" s="4"/>
      <c r="H197" s="1"/>
    </row>
    <row r="198" spans="1:8" ht="19.5">
      <c r="A198" s="1"/>
      <c r="B198" s="1"/>
      <c r="C198" s="1"/>
      <c r="D198" s="1"/>
      <c r="E198" s="1"/>
      <c r="G198" s="4"/>
      <c r="H198" s="1"/>
    </row>
    <row r="199" spans="1:8" ht="19.5">
      <c r="A199" s="1"/>
      <c r="B199" s="1"/>
      <c r="C199" s="1"/>
      <c r="D199" s="1"/>
      <c r="E199" s="1"/>
      <c r="G199" s="4"/>
      <c r="H199" s="1"/>
    </row>
    <row r="200" spans="1:8" ht="19.5">
      <c r="A200" s="1"/>
      <c r="B200" s="1"/>
      <c r="C200" s="1"/>
      <c r="D200" s="1"/>
      <c r="E200" s="1"/>
      <c r="G200" s="4"/>
      <c r="H200" s="1"/>
    </row>
    <row r="201" spans="1:8" ht="19.5">
      <c r="A201" s="1"/>
      <c r="B201" s="1"/>
      <c r="C201" s="1"/>
      <c r="D201" s="1"/>
      <c r="E201" s="1"/>
      <c r="G201" s="4"/>
      <c r="H201" s="1"/>
    </row>
    <row r="202" spans="1:8" ht="19.5">
      <c r="A202" s="1"/>
      <c r="B202" s="1"/>
      <c r="C202" s="1"/>
      <c r="D202" s="1"/>
      <c r="E202" s="1"/>
      <c r="G202" s="4"/>
      <c r="H202" s="1"/>
    </row>
    <row r="203" spans="1:8" ht="19.5">
      <c r="A203" s="1"/>
      <c r="B203" s="1"/>
      <c r="C203" s="1"/>
      <c r="D203" s="1"/>
      <c r="E203" s="1"/>
      <c r="G203" s="4"/>
      <c r="H203" s="1"/>
    </row>
    <row r="204" spans="1:8" ht="19.5">
      <c r="A204" s="1"/>
      <c r="B204" s="1"/>
      <c r="C204" s="1"/>
      <c r="D204" s="1"/>
      <c r="E204" s="1"/>
      <c r="G204" s="4"/>
      <c r="H204" s="1"/>
    </row>
    <row r="205" spans="1:8" ht="19.5">
      <c r="A205" s="1"/>
      <c r="B205" s="1"/>
      <c r="C205" s="1"/>
      <c r="D205" s="1"/>
      <c r="E205" s="1"/>
      <c r="G205" s="4"/>
      <c r="H205" s="1"/>
    </row>
    <row r="206" spans="1:8" ht="19.5">
      <c r="A206" s="1"/>
      <c r="B206" s="1"/>
      <c r="C206" s="1"/>
      <c r="D206" s="1"/>
      <c r="E206" s="1"/>
      <c r="G206" s="4"/>
      <c r="H206" s="1"/>
    </row>
    <row r="207" spans="1:8" ht="19.5">
      <c r="A207" s="1"/>
      <c r="B207" s="1"/>
      <c r="C207" s="1"/>
      <c r="D207" s="1"/>
      <c r="E207" s="1"/>
      <c r="G207" s="4"/>
      <c r="H207" s="1"/>
    </row>
    <row r="208" spans="1:8" ht="19.5">
      <c r="A208" s="1"/>
      <c r="B208" s="1"/>
      <c r="C208" s="1"/>
      <c r="D208" s="1"/>
      <c r="E208" s="1"/>
      <c r="G208" s="4"/>
      <c r="H208" s="1"/>
    </row>
    <row r="209" spans="1:8" ht="19.5">
      <c r="A209" s="1"/>
      <c r="B209" s="1"/>
      <c r="C209" s="1"/>
      <c r="D209" s="1"/>
      <c r="E209" s="1"/>
      <c r="G209" s="4"/>
      <c r="H209" s="1"/>
    </row>
    <row r="210" spans="1:8" ht="19.5">
      <c r="A210" s="1"/>
      <c r="B210" s="1"/>
      <c r="C210" s="1"/>
      <c r="D210" s="1"/>
      <c r="E210" s="1"/>
      <c r="G210" s="4"/>
      <c r="H210" s="1"/>
    </row>
    <row r="211" spans="1:8" ht="19.5">
      <c r="A211" s="1"/>
      <c r="B211" s="1"/>
      <c r="C211" s="1"/>
      <c r="D211" s="1"/>
      <c r="E211" s="1"/>
      <c r="G211" s="4"/>
      <c r="H211" s="1"/>
    </row>
    <row r="212" spans="1:8" ht="19.5">
      <c r="A212" s="1"/>
      <c r="B212" s="1"/>
      <c r="C212" s="1"/>
      <c r="D212" s="1"/>
      <c r="E212" s="1"/>
      <c r="G212" s="4"/>
      <c r="H212" s="1"/>
    </row>
    <row r="213" spans="1:8" ht="19.5">
      <c r="A213" s="1"/>
      <c r="B213" s="1"/>
      <c r="C213" s="1"/>
      <c r="D213" s="1"/>
      <c r="E213" s="1"/>
      <c r="G213" s="4"/>
      <c r="H213" s="1"/>
    </row>
    <row r="214" spans="1:8" ht="19.5">
      <c r="A214" s="1"/>
      <c r="B214" s="1"/>
      <c r="C214" s="1"/>
      <c r="D214" s="1"/>
      <c r="E214" s="1"/>
      <c r="G214" s="4"/>
      <c r="H214" s="1"/>
    </row>
    <row r="215" spans="1:8" ht="19.5">
      <c r="A215" s="1"/>
      <c r="B215" s="1"/>
      <c r="C215" s="1"/>
      <c r="D215" s="1"/>
      <c r="E215" s="1"/>
      <c r="G215" s="4"/>
      <c r="H215" s="1"/>
    </row>
    <row r="216" spans="1:8" ht="19.5">
      <c r="A216" s="1"/>
      <c r="B216" s="1"/>
      <c r="C216" s="1"/>
      <c r="D216" s="1"/>
      <c r="E216" s="1"/>
      <c r="G216" s="4"/>
      <c r="H216" s="1"/>
    </row>
    <row r="217" spans="1:8" ht="19.5">
      <c r="A217" s="1"/>
      <c r="B217" s="1"/>
      <c r="C217" s="1"/>
      <c r="D217" s="1"/>
      <c r="E217" s="1"/>
      <c r="G217" s="4"/>
      <c r="H217" s="1"/>
    </row>
    <row r="218" spans="1:8" ht="19.5">
      <c r="A218" s="1"/>
      <c r="B218" s="1"/>
      <c r="C218" s="1"/>
      <c r="D218" s="1"/>
      <c r="E218" s="1"/>
      <c r="G218" s="4"/>
      <c r="H218" s="1"/>
    </row>
    <row r="219" spans="1:8" ht="19.5">
      <c r="A219" s="1"/>
      <c r="B219" s="1"/>
      <c r="C219" s="1"/>
      <c r="D219" s="1"/>
      <c r="E219" s="1"/>
      <c r="G219" s="4"/>
      <c r="H219" s="1"/>
    </row>
    <row r="220" spans="1:8" ht="19.5">
      <c r="A220" s="1"/>
      <c r="B220" s="1"/>
      <c r="C220" s="1"/>
      <c r="D220" s="1"/>
      <c r="E220" s="1"/>
      <c r="G220" s="4"/>
      <c r="H220" s="1"/>
    </row>
    <row r="221" spans="1:8" ht="19.5">
      <c r="A221" s="1"/>
      <c r="B221" s="1"/>
      <c r="C221" s="1"/>
      <c r="D221" s="1"/>
      <c r="E221" s="1"/>
      <c r="G221" s="4"/>
      <c r="H221" s="1"/>
    </row>
    <row r="222" spans="1:8" ht="19.5">
      <c r="A222" s="1"/>
      <c r="B222" s="1"/>
      <c r="C222" s="1"/>
      <c r="D222" s="1"/>
      <c r="E222" s="1"/>
      <c r="G222" s="4"/>
      <c r="H222" s="1"/>
    </row>
    <row r="223" spans="1:8" ht="19.5">
      <c r="A223" s="1"/>
      <c r="B223" s="1"/>
      <c r="C223" s="1"/>
      <c r="D223" s="1"/>
      <c r="E223" s="1"/>
      <c r="G223" s="4"/>
      <c r="H223" s="1"/>
    </row>
    <row r="224" spans="1:8" ht="19.5">
      <c r="A224" s="1"/>
      <c r="B224" s="1"/>
      <c r="C224" s="1"/>
      <c r="D224" s="1"/>
      <c r="E224" s="1"/>
      <c r="G224" s="4"/>
      <c r="H224" s="1"/>
    </row>
    <row r="225" spans="1:8" ht="19.5">
      <c r="A225" s="1"/>
      <c r="B225" s="1"/>
      <c r="C225" s="1"/>
      <c r="D225" s="1"/>
      <c r="E225" s="1"/>
      <c r="G225" s="4"/>
      <c r="H225" s="1"/>
    </row>
    <row r="226" spans="1:8" ht="19.5">
      <c r="A226" s="1"/>
      <c r="B226" s="1"/>
      <c r="C226" s="1"/>
      <c r="D226" s="1"/>
      <c r="E226" s="1"/>
      <c r="G226" s="4"/>
      <c r="H226" s="1"/>
    </row>
    <row r="227" spans="1:8" ht="19.5">
      <c r="A227" s="1"/>
      <c r="B227" s="1"/>
      <c r="C227" s="1"/>
      <c r="D227" s="1"/>
      <c r="E227" s="1"/>
      <c r="G227" s="4"/>
      <c r="H227" s="1"/>
    </row>
    <row r="228" spans="1:8" ht="19.5">
      <c r="A228" s="1"/>
      <c r="B228" s="1"/>
      <c r="C228" s="1"/>
      <c r="D228" s="1"/>
      <c r="E228" s="1"/>
      <c r="G228" s="4"/>
      <c r="H228" s="1"/>
    </row>
    <row r="229" spans="1:8" ht="19.5">
      <c r="A229" s="1"/>
      <c r="B229" s="1"/>
      <c r="C229" s="1"/>
      <c r="D229" s="1"/>
      <c r="E229" s="1"/>
      <c r="G229" s="4"/>
      <c r="H229" s="1"/>
    </row>
    <row r="230" spans="1:8" ht="19.5">
      <c r="A230" s="1"/>
      <c r="B230" s="1"/>
      <c r="C230" s="1"/>
      <c r="D230" s="1"/>
      <c r="E230" s="1"/>
      <c r="G230" s="4"/>
      <c r="H230" s="1"/>
    </row>
    <row r="231" spans="1:8" ht="19.5">
      <c r="A231" s="1"/>
      <c r="B231" s="1"/>
      <c r="C231" s="1"/>
      <c r="D231" s="1"/>
      <c r="E231" s="1"/>
      <c r="G231" s="4"/>
      <c r="H231" s="1"/>
    </row>
    <row r="232" spans="1:8" ht="19.5">
      <c r="A232" s="1"/>
      <c r="B232" s="1"/>
      <c r="C232" s="1"/>
      <c r="D232" s="1"/>
      <c r="E232" s="1"/>
      <c r="G232" s="4"/>
      <c r="H232" s="1"/>
    </row>
    <row r="233" spans="1:8" ht="19.5">
      <c r="A233" s="1"/>
      <c r="B233" s="1"/>
      <c r="C233" s="1"/>
      <c r="D233" s="1"/>
      <c r="E233" s="1"/>
      <c r="G233" s="4"/>
      <c r="H233" s="1"/>
    </row>
    <row r="234" spans="1:8" ht="19.5">
      <c r="A234" s="1"/>
      <c r="B234" s="1"/>
      <c r="C234" s="1"/>
      <c r="D234" s="1"/>
      <c r="E234" s="1"/>
      <c r="G234" s="4"/>
      <c r="H234" s="1"/>
    </row>
    <row r="235" spans="1:8" ht="19.5">
      <c r="A235" s="1"/>
      <c r="B235" s="1"/>
      <c r="C235" s="1"/>
      <c r="D235" s="1"/>
      <c r="E235" s="1"/>
      <c r="G235" s="4"/>
      <c r="H235" s="1"/>
    </row>
    <row r="236" spans="1:8" ht="19.5">
      <c r="A236" s="1"/>
      <c r="B236" s="1"/>
      <c r="C236" s="1"/>
      <c r="D236" s="1"/>
      <c r="E236" s="1"/>
      <c r="G236" s="4"/>
      <c r="H236" s="1"/>
    </row>
    <row r="237" spans="1:8" ht="19.5">
      <c r="A237" s="1"/>
      <c r="B237" s="1"/>
      <c r="C237" s="1"/>
      <c r="D237" s="1"/>
      <c r="E237" s="1"/>
      <c r="G237" s="4"/>
      <c r="H237" s="1"/>
    </row>
    <row r="238" spans="1:8" ht="19.5">
      <c r="A238" s="1"/>
      <c r="B238" s="1"/>
      <c r="C238" s="1"/>
      <c r="D238" s="1"/>
      <c r="E238" s="1"/>
      <c r="G238" s="4"/>
      <c r="H238" s="1"/>
    </row>
    <row r="239" spans="1:8" ht="19.5">
      <c r="A239" s="1"/>
      <c r="B239" s="1"/>
      <c r="C239" s="1"/>
      <c r="D239" s="1"/>
      <c r="E239" s="1"/>
      <c r="G239" s="4"/>
      <c r="H239" s="1"/>
    </row>
    <row r="240" spans="1:8" ht="19.5">
      <c r="A240" s="1"/>
      <c r="B240" s="1"/>
      <c r="C240" s="1"/>
      <c r="D240" s="1"/>
      <c r="E240" s="1"/>
      <c r="G240" s="4"/>
      <c r="H240" s="1"/>
    </row>
    <row r="241" spans="1:8" ht="19.5">
      <c r="A241" s="1"/>
      <c r="B241" s="1"/>
      <c r="C241" s="1"/>
      <c r="D241" s="1"/>
      <c r="E241" s="1"/>
      <c r="G241" s="4"/>
      <c r="H241" s="1"/>
    </row>
    <row r="242" spans="1:8" ht="19.5">
      <c r="A242" s="1"/>
      <c r="B242" s="1"/>
      <c r="C242" s="1"/>
      <c r="D242" s="1"/>
      <c r="E242" s="1"/>
      <c r="G242" s="4"/>
      <c r="H242" s="1"/>
    </row>
    <row r="243" spans="1:8" ht="19.5">
      <c r="A243" s="1"/>
      <c r="B243" s="1"/>
      <c r="C243" s="1"/>
      <c r="D243" s="1"/>
      <c r="E243" s="1"/>
      <c r="G243" s="4"/>
      <c r="H243" s="1"/>
    </row>
    <row r="244" spans="1:8" ht="19.5">
      <c r="A244" s="1"/>
      <c r="B244" s="1"/>
      <c r="C244" s="1"/>
      <c r="D244" s="1"/>
      <c r="E244" s="1"/>
      <c r="G244" s="4"/>
      <c r="H244" s="1"/>
    </row>
    <row r="245" spans="1:8" ht="19.5">
      <c r="A245" s="1"/>
      <c r="B245" s="1"/>
      <c r="C245" s="1"/>
      <c r="D245" s="1"/>
      <c r="E245" s="1"/>
      <c r="G245" s="4"/>
      <c r="H245" s="1"/>
    </row>
    <row r="246" spans="1:8" ht="19.5">
      <c r="A246" s="1"/>
      <c r="B246" s="1"/>
      <c r="C246" s="1"/>
      <c r="D246" s="1"/>
      <c r="E246" s="1"/>
      <c r="G246" s="4"/>
      <c r="H246" s="1"/>
    </row>
    <row r="247" spans="1:8" ht="19.5">
      <c r="A247" s="1"/>
      <c r="B247" s="1"/>
      <c r="C247" s="1"/>
      <c r="D247" s="1"/>
      <c r="E247" s="1"/>
      <c r="G247" s="4"/>
      <c r="H247" s="1"/>
    </row>
    <row r="248" spans="1:8" ht="19.5">
      <c r="A248" s="1"/>
      <c r="B248" s="1"/>
      <c r="C248" s="1"/>
      <c r="D248" s="1"/>
      <c r="E248" s="1"/>
      <c r="G248" s="4"/>
      <c r="H248" s="1"/>
    </row>
    <row r="249" spans="1:8" ht="19.5">
      <c r="A249" s="1"/>
      <c r="B249" s="1"/>
      <c r="C249" s="1"/>
      <c r="D249" s="1"/>
      <c r="E249" s="1"/>
      <c r="G249" s="4"/>
      <c r="H249" s="1"/>
    </row>
    <row r="250" spans="1:8" ht="19.5">
      <c r="A250" s="1"/>
      <c r="B250" s="1"/>
      <c r="C250" s="1"/>
      <c r="D250" s="1"/>
      <c r="E250" s="1"/>
      <c r="G250" s="4"/>
      <c r="H250" s="1"/>
    </row>
    <row r="251" spans="1:8" ht="19.5">
      <c r="A251" s="1"/>
      <c r="B251" s="1"/>
      <c r="C251" s="1"/>
      <c r="D251" s="1"/>
      <c r="E251" s="1"/>
      <c r="G251" s="4"/>
      <c r="H251" s="1"/>
    </row>
    <row r="252" spans="1:8" ht="19.5">
      <c r="A252" s="1"/>
      <c r="B252" s="1"/>
      <c r="C252" s="1"/>
      <c r="D252" s="1"/>
      <c r="E252" s="1"/>
      <c r="G252" s="4"/>
      <c r="H252" s="1"/>
    </row>
    <row r="253" spans="1:8" ht="19.5">
      <c r="A253" s="1"/>
      <c r="B253" s="1"/>
      <c r="C253" s="1"/>
      <c r="D253" s="1"/>
      <c r="E253" s="1"/>
      <c r="G253" s="4"/>
      <c r="H253" s="1"/>
    </row>
    <row r="254" spans="1:8" ht="19.5">
      <c r="A254" s="1"/>
      <c r="B254" s="1"/>
      <c r="C254" s="1"/>
      <c r="D254" s="1"/>
      <c r="E254" s="1"/>
      <c r="G254" s="4"/>
      <c r="H254" s="1"/>
    </row>
    <row r="255" spans="1:8" ht="19.5">
      <c r="A255" s="1"/>
      <c r="B255" s="1"/>
      <c r="C255" s="1"/>
      <c r="D255" s="1"/>
      <c r="E255" s="1"/>
      <c r="G255" s="4"/>
      <c r="H255" s="1"/>
    </row>
    <row r="256" spans="1:8" ht="19.5">
      <c r="A256" s="1"/>
      <c r="B256" s="1"/>
      <c r="C256" s="1"/>
      <c r="D256" s="1"/>
      <c r="E256" s="1"/>
      <c r="G256" s="4"/>
      <c r="H256" s="1"/>
    </row>
    <row r="257" spans="1:8" ht="19.5">
      <c r="A257" s="1"/>
      <c r="B257" s="1"/>
      <c r="C257" s="1"/>
      <c r="D257" s="1"/>
      <c r="E257" s="1"/>
      <c r="G257" s="4"/>
      <c r="H257" s="1"/>
    </row>
    <row r="258" spans="1:8" ht="19.5">
      <c r="A258" s="1"/>
      <c r="B258" s="1"/>
      <c r="C258" s="1"/>
      <c r="D258" s="1"/>
      <c r="E258" s="1"/>
      <c r="G258" s="4"/>
      <c r="H258" s="1"/>
    </row>
    <row r="259" spans="1:8" ht="19.5">
      <c r="A259" s="1"/>
      <c r="B259" s="1"/>
      <c r="C259" s="1"/>
      <c r="D259" s="1"/>
      <c r="E259" s="1"/>
      <c r="G259" s="4"/>
      <c r="H259" s="1"/>
    </row>
    <row r="260" spans="1:8" ht="19.5">
      <c r="A260" s="1"/>
      <c r="B260" s="1"/>
      <c r="C260" s="1"/>
      <c r="D260" s="1"/>
      <c r="E260" s="1"/>
      <c r="G260" s="4"/>
      <c r="H260" s="1"/>
    </row>
    <row r="261" spans="1:8" ht="19.5">
      <c r="A261" s="1"/>
      <c r="B261" s="1"/>
      <c r="C261" s="1"/>
      <c r="D261" s="1"/>
      <c r="E261" s="1"/>
      <c r="G261" s="4"/>
      <c r="H261" s="1"/>
    </row>
    <row r="262" spans="1:8" ht="19.5">
      <c r="A262" s="1"/>
      <c r="B262" s="1"/>
      <c r="C262" s="1"/>
      <c r="D262" s="1"/>
      <c r="E262" s="1"/>
      <c r="G262" s="4"/>
      <c r="H262" s="1"/>
    </row>
    <row r="263" spans="1:8" ht="19.5">
      <c r="A263" s="1"/>
      <c r="B263" s="1"/>
      <c r="C263" s="1"/>
      <c r="D263" s="1"/>
      <c r="E263" s="1"/>
      <c r="G263" s="4"/>
      <c r="H263" s="1"/>
    </row>
    <row r="264" spans="1:8" ht="19.5">
      <c r="A264" s="1"/>
      <c r="B264" s="1"/>
      <c r="C264" s="1"/>
      <c r="D264" s="1"/>
      <c r="E264" s="1"/>
      <c r="G264" s="4"/>
      <c r="H264" s="1"/>
    </row>
    <row r="265" spans="1:8" ht="19.5">
      <c r="A265" s="1"/>
      <c r="B265" s="1"/>
      <c r="C265" s="1"/>
      <c r="D265" s="1"/>
      <c r="E265" s="1"/>
      <c r="G265" s="4"/>
      <c r="H265" s="1"/>
    </row>
    <row r="266" spans="1:8" ht="19.5">
      <c r="A266" s="1"/>
      <c r="B266" s="1"/>
      <c r="C266" s="1"/>
      <c r="D266" s="1"/>
      <c r="E266" s="1"/>
      <c r="G266" s="4"/>
      <c r="H266" s="1"/>
    </row>
    <row r="267" spans="1:8" ht="19.5">
      <c r="A267" s="1"/>
      <c r="B267" s="1"/>
      <c r="C267" s="1"/>
      <c r="D267" s="1"/>
      <c r="E267" s="1"/>
      <c r="G267" s="4"/>
      <c r="H267" s="1"/>
    </row>
    <row r="268" spans="1:8" ht="19.5">
      <c r="A268" s="1"/>
      <c r="B268" s="1"/>
      <c r="C268" s="1"/>
      <c r="D268" s="1"/>
      <c r="E268" s="1"/>
      <c r="G268" s="4"/>
      <c r="H268" s="1"/>
    </row>
    <row r="269" spans="1:8" ht="19.5">
      <c r="A269" s="1"/>
      <c r="B269" s="1"/>
      <c r="C269" s="1"/>
      <c r="D269" s="1"/>
      <c r="E269" s="1"/>
      <c r="G269" s="4"/>
      <c r="H269" s="1"/>
    </row>
    <row r="270" spans="1:8" ht="19.5">
      <c r="A270" s="1"/>
      <c r="B270" s="1"/>
      <c r="C270" s="1"/>
      <c r="D270" s="1"/>
      <c r="E270" s="1"/>
      <c r="G270" s="4"/>
      <c r="H270" s="1"/>
    </row>
    <row r="271" spans="1:8" ht="19.5">
      <c r="A271" s="1"/>
      <c r="B271" s="1"/>
      <c r="C271" s="1"/>
      <c r="D271" s="1"/>
      <c r="E271" s="1"/>
      <c r="G271" s="4"/>
      <c r="H271" s="1"/>
    </row>
    <row r="272" spans="1:8" ht="19.5">
      <c r="A272" s="1"/>
      <c r="B272" s="1"/>
      <c r="C272" s="1"/>
      <c r="D272" s="1"/>
      <c r="E272" s="1"/>
      <c r="G272" s="4"/>
      <c r="H272" s="1"/>
    </row>
    <row r="273" spans="1:8" ht="19.5">
      <c r="A273" s="1"/>
      <c r="B273" s="1"/>
      <c r="C273" s="1"/>
      <c r="D273" s="1"/>
      <c r="E273" s="1"/>
      <c r="G273" s="4"/>
      <c r="H273" s="1"/>
    </row>
    <row r="274" spans="1:8" ht="19.5">
      <c r="A274" s="1"/>
      <c r="B274" s="1"/>
      <c r="C274" s="1"/>
      <c r="D274" s="1"/>
      <c r="E274" s="1"/>
      <c r="G274" s="4"/>
      <c r="H274" s="1"/>
    </row>
    <row r="275" spans="1:8" ht="19.5">
      <c r="A275" s="1"/>
      <c r="B275" s="1"/>
      <c r="C275" s="1"/>
      <c r="D275" s="1"/>
      <c r="E275" s="1"/>
      <c r="G275" s="4"/>
      <c r="H275" s="1"/>
    </row>
    <row r="276" spans="1:8" ht="19.5">
      <c r="A276" s="1"/>
      <c r="B276" s="1"/>
      <c r="C276" s="1"/>
      <c r="D276" s="1"/>
      <c r="E276" s="1"/>
      <c r="G276" s="4"/>
      <c r="H276" s="1"/>
    </row>
    <row r="277" spans="1:8" ht="19.5">
      <c r="A277" s="1"/>
      <c r="B277" s="1"/>
      <c r="C277" s="1"/>
      <c r="D277" s="1"/>
      <c r="E277" s="1"/>
      <c r="G277" s="4"/>
      <c r="H277" s="1"/>
    </row>
    <row r="278" spans="1:8" ht="19.5">
      <c r="A278" s="1"/>
      <c r="B278" s="1"/>
      <c r="C278" s="1"/>
      <c r="D278" s="1"/>
      <c r="E278" s="1"/>
      <c r="G278" s="4"/>
      <c r="H278" s="1"/>
    </row>
    <row r="279" spans="1:8" ht="19.5">
      <c r="A279" s="1"/>
      <c r="B279" s="1"/>
      <c r="C279" s="1"/>
      <c r="D279" s="1"/>
      <c r="E279" s="1"/>
      <c r="G279" s="4"/>
      <c r="H279" s="1"/>
    </row>
    <row r="280" spans="1:8" ht="19.5">
      <c r="A280" s="1"/>
      <c r="B280" s="1"/>
      <c r="C280" s="1"/>
      <c r="D280" s="1"/>
      <c r="E280" s="1"/>
      <c r="G280" s="4"/>
      <c r="H280" s="1"/>
    </row>
    <row r="281" spans="1:8" ht="19.5">
      <c r="A281" s="1"/>
      <c r="B281" s="1"/>
      <c r="C281" s="1"/>
      <c r="D281" s="1"/>
      <c r="E281" s="1"/>
      <c r="G281" s="4"/>
      <c r="H281" s="1"/>
    </row>
    <row r="282" spans="1:8" ht="19.5">
      <c r="A282" s="1"/>
      <c r="B282" s="1"/>
      <c r="C282" s="1"/>
      <c r="D282" s="1"/>
      <c r="E282" s="1"/>
      <c r="G282" s="4"/>
      <c r="H282" s="1"/>
    </row>
    <row r="283" spans="1:8" ht="19.5">
      <c r="A283" s="1"/>
      <c r="B283" s="1"/>
      <c r="C283" s="1"/>
      <c r="D283" s="1"/>
      <c r="E283" s="1"/>
      <c r="G283" s="4"/>
      <c r="H283" s="1"/>
    </row>
    <row r="284" spans="1:8" ht="19.5">
      <c r="A284" s="1"/>
      <c r="B284" s="1"/>
      <c r="C284" s="1"/>
      <c r="D284" s="1"/>
      <c r="E284" s="1"/>
      <c r="G284" s="4"/>
      <c r="H284" s="1"/>
    </row>
    <row r="285" spans="1:8" ht="19.5">
      <c r="A285" s="1"/>
      <c r="B285" s="1"/>
      <c r="C285" s="1"/>
      <c r="D285" s="1"/>
      <c r="E285" s="1"/>
      <c r="G285" s="4"/>
      <c r="H285" s="1"/>
    </row>
    <row r="286" spans="1:8" ht="19.5">
      <c r="A286" s="1"/>
      <c r="B286" s="1"/>
      <c r="C286" s="1"/>
      <c r="D286" s="1"/>
      <c r="E286" s="1"/>
      <c r="G286" s="4"/>
      <c r="H286" s="1"/>
    </row>
    <row r="287" spans="1:8" ht="19.5">
      <c r="A287" s="1"/>
      <c r="B287" s="1"/>
      <c r="C287" s="1"/>
      <c r="D287" s="1"/>
      <c r="E287" s="1"/>
      <c r="G287" s="4"/>
      <c r="H287" s="1"/>
    </row>
    <row r="288" spans="1:8" ht="19.5">
      <c r="A288" s="1"/>
      <c r="B288" s="1"/>
      <c r="C288" s="1"/>
      <c r="D288" s="1"/>
      <c r="E288" s="1"/>
      <c r="G288" s="4"/>
      <c r="H288" s="1"/>
    </row>
    <row r="289" spans="1:8" ht="19.5">
      <c r="A289" s="1"/>
      <c r="B289" s="1"/>
      <c r="C289" s="1"/>
      <c r="D289" s="1"/>
      <c r="E289" s="1"/>
      <c r="G289" s="4"/>
      <c r="H289" s="1"/>
    </row>
    <row r="290" spans="1:8" ht="19.5">
      <c r="A290" s="1"/>
      <c r="B290" s="1"/>
      <c r="C290" s="1"/>
      <c r="D290" s="1"/>
      <c r="E290" s="1"/>
      <c r="G290" s="4"/>
      <c r="H290" s="1"/>
    </row>
    <row r="291" spans="1:8" ht="19.5">
      <c r="A291" s="1"/>
      <c r="B291" s="1"/>
      <c r="C291" s="1"/>
      <c r="D291" s="1"/>
      <c r="E291" s="1"/>
      <c r="G291" s="4"/>
      <c r="H291" s="1"/>
    </row>
    <row r="292" spans="1:8" ht="19.5">
      <c r="A292" s="1"/>
      <c r="B292" s="1"/>
      <c r="C292" s="1"/>
      <c r="D292" s="1"/>
      <c r="E292" s="1"/>
      <c r="G292" s="4"/>
      <c r="H292" s="1"/>
    </row>
    <row r="293" spans="1:8" ht="19.5">
      <c r="A293" s="1"/>
      <c r="B293" s="1"/>
      <c r="C293" s="1"/>
      <c r="D293" s="1"/>
      <c r="E293" s="1"/>
      <c r="G293" s="4"/>
      <c r="H293" s="1"/>
    </row>
    <row r="294" spans="1:8" ht="19.5">
      <c r="A294" s="1"/>
      <c r="B294" s="1"/>
      <c r="C294" s="1"/>
      <c r="D294" s="1"/>
      <c r="E294" s="1"/>
      <c r="G294" s="4"/>
      <c r="H294" s="1"/>
    </row>
    <row r="295" spans="1:8" ht="19.5">
      <c r="A295" s="1"/>
      <c r="B295" s="1"/>
      <c r="C295" s="1"/>
      <c r="D295" s="1"/>
      <c r="E295" s="1"/>
      <c r="G295" s="4"/>
      <c r="H295" s="1"/>
    </row>
    <row r="296" spans="1:8" ht="19.5">
      <c r="A296" s="1"/>
      <c r="B296" s="1"/>
      <c r="C296" s="1"/>
      <c r="D296" s="1"/>
      <c r="E296" s="1"/>
      <c r="G296" s="4"/>
      <c r="H296" s="1"/>
    </row>
    <row r="297" spans="1:8" ht="19.5">
      <c r="A297" s="1"/>
      <c r="B297" s="1"/>
      <c r="C297" s="1"/>
      <c r="D297" s="1"/>
      <c r="E297" s="1"/>
      <c r="G297" s="4"/>
      <c r="H297" s="1"/>
    </row>
    <row r="298" spans="1:8" ht="19.5">
      <c r="A298" s="1"/>
      <c r="B298" s="1"/>
      <c r="C298" s="1"/>
      <c r="D298" s="1"/>
      <c r="E298" s="1"/>
      <c r="G298" s="4"/>
      <c r="H298" s="1"/>
    </row>
    <row r="299" spans="1:8" ht="19.5">
      <c r="A299" s="1"/>
      <c r="B299" s="1"/>
      <c r="C299" s="1"/>
      <c r="D299" s="1"/>
      <c r="E299" s="1"/>
      <c r="G299" s="4"/>
      <c r="H299" s="1"/>
    </row>
    <row r="300" spans="1:8" ht="19.5">
      <c r="A300" s="1"/>
      <c r="B300" s="1"/>
      <c r="C300" s="1"/>
      <c r="D300" s="1"/>
      <c r="E300" s="1"/>
      <c r="G300" s="4"/>
      <c r="H300" s="1"/>
    </row>
    <row r="301" spans="1:8" ht="19.5">
      <c r="A301" s="1"/>
      <c r="B301" s="1"/>
      <c r="C301" s="1"/>
      <c r="D301" s="1"/>
      <c r="E301" s="1"/>
      <c r="G301" s="4"/>
      <c r="H301" s="1"/>
    </row>
    <row r="302" spans="1:8" ht="19.5">
      <c r="A302" s="1"/>
      <c r="B302" s="1"/>
      <c r="C302" s="1"/>
      <c r="D302" s="1"/>
      <c r="E302" s="1"/>
      <c r="G302" s="4"/>
      <c r="H302" s="1"/>
    </row>
    <row r="303" spans="1:8" ht="19.5">
      <c r="A303" s="1"/>
      <c r="B303" s="1"/>
      <c r="C303" s="1"/>
      <c r="D303" s="1"/>
      <c r="E303" s="1"/>
      <c r="G303" s="4"/>
      <c r="H303" s="1"/>
    </row>
    <row r="304" spans="1:8" ht="19.5">
      <c r="A304" s="1"/>
      <c r="B304" s="1"/>
      <c r="C304" s="1"/>
      <c r="D304" s="1"/>
      <c r="E304" s="1"/>
      <c r="G304" s="4"/>
      <c r="H304" s="1"/>
    </row>
    <row r="305" spans="1:8" ht="19.5">
      <c r="A305" s="1"/>
      <c r="B305" s="1"/>
      <c r="C305" s="1"/>
      <c r="D305" s="1"/>
      <c r="E305" s="1"/>
      <c r="G305" s="4"/>
      <c r="H305" s="1"/>
    </row>
    <row r="306" spans="1:8" ht="19.5">
      <c r="A306" s="1"/>
      <c r="B306" s="1"/>
      <c r="C306" s="1"/>
      <c r="D306" s="1"/>
      <c r="E306" s="1"/>
      <c r="G306" s="4"/>
      <c r="H306" s="1"/>
    </row>
    <row r="307" spans="1:8" ht="19.5">
      <c r="A307" s="1"/>
      <c r="B307" s="1"/>
      <c r="C307" s="1"/>
      <c r="D307" s="1"/>
      <c r="E307" s="1"/>
      <c r="G307" s="4"/>
      <c r="H307" s="1"/>
    </row>
    <row r="308" spans="1:8" ht="19.5">
      <c r="A308" s="1"/>
      <c r="B308" s="1"/>
      <c r="C308" s="1"/>
      <c r="D308" s="1"/>
      <c r="E308" s="1"/>
      <c r="G308" s="4"/>
      <c r="H308" s="1"/>
    </row>
    <row r="309" spans="1:8" ht="19.5">
      <c r="A309" s="1"/>
      <c r="B309" s="1"/>
      <c r="C309" s="1"/>
      <c r="D309" s="1"/>
      <c r="E309" s="1"/>
      <c r="G309" s="4"/>
      <c r="H309" s="1"/>
    </row>
    <row r="310" spans="1:8" ht="19.5">
      <c r="A310" s="1"/>
      <c r="B310" s="1"/>
      <c r="C310" s="1"/>
      <c r="D310" s="1"/>
      <c r="E310" s="1"/>
      <c r="G310" s="4"/>
      <c r="H310" s="1"/>
    </row>
    <row r="311" spans="1:8" ht="19.5">
      <c r="A311" s="1"/>
      <c r="B311" s="1"/>
      <c r="C311" s="1"/>
      <c r="D311" s="1"/>
      <c r="E311" s="1"/>
      <c r="G311" s="4"/>
      <c r="H311" s="1"/>
    </row>
    <row r="312" spans="1:8" ht="19.5">
      <c r="A312" s="1"/>
      <c r="B312" s="1"/>
      <c r="C312" s="1"/>
      <c r="D312" s="1"/>
      <c r="E312" s="1"/>
      <c r="G312" s="4"/>
      <c r="H312" s="1"/>
    </row>
    <row r="313" spans="1:8" ht="19.5">
      <c r="A313" s="1"/>
      <c r="B313" s="1"/>
      <c r="C313" s="1"/>
      <c r="D313" s="1"/>
      <c r="E313" s="1"/>
      <c r="G313" s="4"/>
      <c r="H313" s="1"/>
    </row>
    <row r="314" spans="1:8" ht="19.5">
      <c r="A314" s="1"/>
      <c r="B314" s="1"/>
      <c r="C314" s="1"/>
      <c r="D314" s="1"/>
      <c r="E314" s="1"/>
      <c r="G314" s="4"/>
      <c r="H314" s="1"/>
    </row>
    <row r="315" spans="1:8" ht="19.5">
      <c r="A315" s="1"/>
      <c r="B315" s="1"/>
      <c r="C315" s="1"/>
      <c r="D315" s="1"/>
      <c r="E315" s="1"/>
      <c r="G315" s="4"/>
      <c r="H315" s="1"/>
    </row>
    <row r="316" spans="1:8" ht="19.5">
      <c r="A316" s="1"/>
      <c r="B316" s="1"/>
      <c r="C316" s="1"/>
      <c r="D316" s="1"/>
      <c r="E316" s="1"/>
      <c r="G316" s="4"/>
      <c r="H316" s="1"/>
    </row>
    <row r="317" spans="1:8" ht="19.5">
      <c r="A317" s="1"/>
      <c r="B317" s="1"/>
      <c r="C317" s="1"/>
      <c r="D317" s="1"/>
      <c r="E317" s="1"/>
      <c r="G317" s="4"/>
      <c r="H317" s="1"/>
    </row>
    <row r="318" spans="1:8" ht="19.5">
      <c r="A318" s="1"/>
      <c r="B318" s="1"/>
      <c r="C318" s="1"/>
      <c r="D318" s="1"/>
      <c r="E318" s="1"/>
      <c r="G318" s="4"/>
      <c r="H318" s="1"/>
    </row>
    <row r="319" spans="1:8" ht="19.5">
      <c r="A319" s="1"/>
      <c r="B319" s="1"/>
      <c r="C319" s="1"/>
      <c r="D319" s="1"/>
      <c r="E319" s="1"/>
      <c r="G319" s="4"/>
      <c r="H319" s="1"/>
    </row>
    <row r="320" spans="1:8" ht="19.5">
      <c r="A320" s="1"/>
      <c r="B320" s="1"/>
      <c r="C320" s="1"/>
      <c r="D320" s="1"/>
      <c r="E320" s="1"/>
      <c r="G320" s="4"/>
      <c r="H320" s="1"/>
    </row>
    <row r="321" spans="1:8" ht="19.5">
      <c r="A321" s="1"/>
      <c r="B321" s="1"/>
      <c r="C321" s="1"/>
      <c r="D321" s="1"/>
      <c r="E321" s="1"/>
      <c r="G321" s="4"/>
      <c r="H321" s="1"/>
    </row>
    <row r="322" spans="1:8" ht="19.5">
      <c r="A322" s="1"/>
      <c r="B322" s="1"/>
      <c r="C322" s="1"/>
      <c r="D322" s="1"/>
      <c r="E322" s="1"/>
      <c r="G322" s="4"/>
      <c r="H322" s="1"/>
    </row>
    <row r="323" spans="1:8" ht="19.5">
      <c r="A323" s="1"/>
      <c r="B323" s="1"/>
      <c r="C323" s="1"/>
      <c r="D323" s="1"/>
      <c r="E323" s="1"/>
      <c r="G323" s="4"/>
      <c r="H323" s="1"/>
    </row>
    <row r="324" spans="1:8" ht="19.5">
      <c r="A324" s="1"/>
      <c r="B324" s="1"/>
      <c r="C324" s="1"/>
      <c r="D324" s="1"/>
      <c r="E324" s="1"/>
      <c r="G324" s="4"/>
      <c r="H324" s="1"/>
    </row>
    <row r="325" spans="1:8" ht="19.5">
      <c r="A325" s="1"/>
      <c r="B325" s="1"/>
      <c r="C325" s="1"/>
      <c r="D325" s="1"/>
      <c r="E325" s="1"/>
      <c r="G325" s="4"/>
      <c r="H325" s="1"/>
    </row>
    <row r="326" spans="1:8" ht="19.5">
      <c r="A326" s="1"/>
      <c r="B326" s="1"/>
      <c r="C326" s="1"/>
      <c r="D326" s="1"/>
      <c r="E326" s="1"/>
      <c r="G326" s="4"/>
      <c r="H326" s="1"/>
    </row>
    <row r="327" spans="1:8" ht="19.5">
      <c r="A327" s="1"/>
      <c r="B327" s="1"/>
      <c r="C327" s="1"/>
      <c r="D327" s="1"/>
      <c r="E327" s="1"/>
      <c r="G327" s="4"/>
      <c r="H327" s="1"/>
    </row>
    <row r="328" spans="1:8" ht="19.5">
      <c r="A328" s="1"/>
      <c r="B328" s="1"/>
      <c r="C328" s="1"/>
      <c r="D328" s="1"/>
      <c r="E328" s="1"/>
      <c r="G328" s="4"/>
      <c r="H328" s="1"/>
    </row>
    <row r="329" spans="1:8" ht="19.5">
      <c r="A329" s="1"/>
      <c r="B329" s="1"/>
      <c r="C329" s="1"/>
      <c r="D329" s="1"/>
      <c r="E329" s="1"/>
      <c r="G329" s="4"/>
      <c r="H329" s="1"/>
    </row>
    <row r="330" spans="1:8" ht="19.5">
      <c r="A330" s="1"/>
      <c r="B330" s="1"/>
      <c r="C330" s="1"/>
      <c r="D330" s="1"/>
      <c r="E330" s="1"/>
      <c r="G330" s="4"/>
      <c r="H330" s="1"/>
    </row>
    <row r="331" spans="1:8" ht="19.5">
      <c r="A331" s="1"/>
      <c r="B331" s="1"/>
      <c r="C331" s="1"/>
      <c r="D331" s="1"/>
      <c r="E331" s="1"/>
      <c r="G331" s="4"/>
      <c r="H331" s="1"/>
    </row>
    <row r="332" spans="1:8" ht="19.5">
      <c r="A332" s="1"/>
      <c r="B332" s="1"/>
      <c r="C332" s="1"/>
      <c r="D332" s="1"/>
      <c r="E332" s="1"/>
      <c r="G332" s="4"/>
      <c r="H332" s="1"/>
    </row>
    <row r="333" spans="1:8" ht="19.5">
      <c r="A333" s="1"/>
      <c r="B333" s="1"/>
      <c r="C333" s="1"/>
      <c r="D333" s="1"/>
      <c r="E333" s="1"/>
      <c r="G333" s="4"/>
      <c r="H333" s="1"/>
    </row>
    <row r="334" spans="1:8" ht="19.5">
      <c r="A334" s="1"/>
      <c r="B334" s="1"/>
      <c r="C334" s="1"/>
      <c r="D334" s="1"/>
      <c r="E334" s="1"/>
      <c r="G334" s="4"/>
      <c r="H334" s="1"/>
    </row>
    <row r="335" spans="1:8" ht="19.5">
      <c r="A335" s="1"/>
      <c r="B335" s="1"/>
      <c r="C335" s="1"/>
      <c r="D335" s="1"/>
      <c r="E335" s="1"/>
      <c r="G335" s="4"/>
      <c r="H335" s="1"/>
    </row>
    <row r="336" spans="1:8" ht="19.5">
      <c r="A336" s="1"/>
      <c r="B336" s="1"/>
      <c r="C336" s="1"/>
      <c r="D336" s="1"/>
      <c r="E336" s="1"/>
      <c r="G336" s="4"/>
      <c r="H336" s="1"/>
    </row>
    <row r="337" spans="1:8" ht="19.5">
      <c r="A337" s="1"/>
      <c r="B337" s="1"/>
      <c r="C337" s="1"/>
      <c r="D337" s="1"/>
      <c r="E337" s="1"/>
      <c r="G337" s="4"/>
      <c r="H337" s="1"/>
    </row>
    <row r="338" spans="1:8" ht="19.5">
      <c r="A338" s="1"/>
      <c r="B338" s="1"/>
      <c r="C338" s="1"/>
      <c r="D338" s="1"/>
      <c r="E338" s="1"/>
      <c r="G338" s="4"/>
      <c r="H338" s="1"/>
    </row>
    <row r="339" spans="1:8" ht="19.5">
      <c r="A339" s="1"/>
      <c r="B339" s="1"/>
      <c r="C339" s="1"/>
      <c r="D339" s="1"/>
      <c r="E339" s="1"/>
      <c r="G339" s="4"/>
      <c r="H339" s="1"/>
    </row>
    <row r="340" spans="1:8" ht="19.5">
      <c r="A340" s="1"/>
      <c r="B340" s="1"/>
      <c r="C340" s="1"/>
      <c r="D340" s="1"/>
      <c r="E340" s="1"/>
      <c r="G340" s="4"/>
      <c r="H340" s="1"/>
    </row>
    <row r="341" spans="1:8" ht="19.5">
      <c r="A341" s="1"/>
      <c r="B341" s="1"/>
      <c r="C341" s="1"/>
      <c r="D341" s="1"/>
      <c r="E341" s="1"/>
      <c r="G341" s="4"/>
      <c r="H341" s="1"/>
    </row>
    <row r="342" spans="1:8" ht="19.5">
      <c r="A342" s="1"/>
      <c r="B342" s="1"/>
      <c r="C342" s="1"/>
      <c r="D342" s="1"/>
      <c r="E342" s="1"/>
      <c r="G342" s="4"/>
      <c r="H342" s="1"/>
    </row>
    <row r="343" spans="1:8" ht="19.5">
      <c r="A343" s="1"/>
      <c r="B343" s="1"/>
      <c r="C343" s="1"/>
      <c r="D343" s="1"/>
      <c r="E343" s="1"/>
      <c r="G343" s="4"/>
      <c r="H343" s="1"/>
    </row>
    <row r="344" spans="1:8" ht="19.5">
      <c r="A344" s="1"/>
      <c r="B344" s="1"/>
      <c r="C344" s="1"/>
      <c r="D344" s="1"/>
      <c r="E344" s="1"/>
      <c r="G344" s="4"/>
      <c r="H344" s="1"/>
    </row>
    <row r="345" spans="1:8" ht="19.5">
      <c r="A345" s="1"/>
      <c r="B345" s="1"/>
      <c r="C345" s="1"/>
      <c r="D345" s="1"/>
      <c r="E345" s="1"/>
      <c r="G345" s="4"/>
      <c r="H345" s="1"/>
    </row>
    <row r="346" spans="1:8" ht="19.5">
      <c r="A346" s="1"/>
      <c r="B346" s="1"/>
      <c r="C346" s="1"/>
      <c r="D346" s="1"/>
      <c r="E346" s="1"/>
      <c r="G346" s="4"/>
      <c r="H346" s="1"/>
    </row>
    <row r="347" spans="1:8" ht="19.5">
      <c r="A347" s="1"/>
      <c r="B347" s="1"/>
      <c r="C347" s="1"/>
      <c r="D347" s="1"/>
      <c r="E347" s="1"/>
      <c r="G347" s="4"/>
      <c r="H347" s="1"/>
    </row>
    <row r="348" spans="1:8" ht="19.5">
      <c r="A348" s="1"/>
      <c r="B348" s="1"/>
      <c r="C348" s="1"/>
      <c r="D348" s="1"/>
      <c r="E348" s="1"/>
      <c r="G348" s="4"/>
      <c r="H348" s="1"/>
    </row>
    <row r="349" spans="1:8" ht="19.5">
      <c r="A349" s="1"/>
      <c r="B349" s="1"/>
      <c r="C349" s="1"/>
      <c r="D349" s="1"/>
      <c r="E349" s="1"/>
      <c r="G349" s="4"/>
      <c r="H349" s="1"/>
    </row>
    <row r="350" spans="1:8" ht="19.5">
      <c r="A350" s="1"/>
      <c r="B350" s="1"/>
      <c r="C350" s="1"/>
      <c r="D350" s="1"/>
      <c r="E350" s="1"/>
      <c r="G350" s="4"/>
      <c r="H350" s="1"/>
    </row>
    <row r="351" spans="1:8" ht="19.5">
      <c r="A351" s="1"/>
      <c r="B351" s="1"/>
      <c r="C351" s="1"/>
      <c r="D351" s="1"/>
      <c r="E351" s="1"/>
      <c r="G351" s="4"/>
      <c r="H351" s="1"/>
    </row>
    <row r="352" spans="1:8" ht="19.5">
      <c r="A352" s="1"/>
      <c r="B352" s="1"/>
      <c r="C352" s="1"/>
      <c r="D352" s="1"/>
      <c r="E352" s="1"/>
      <c r="G352" s="4"/>
      <c r="H352" s="1"/>
    </row>
    <row r="353" spans="1:8" ht="19.5">
      <c r="A353" s="1"/>
      <c r="B353" s="1"/>
      <c r="C353" s="1"/>
      <c r="D353" s="1"/>
      <c r="E353" s="1"/>
      <c r="G353" s="4"/>
      <c r="H353" s="1"/>
    </row>
    <row r="354" spans="1:8" ht="19.5">
      <c r="A354" s="1"/>
      <c r="B354" s="1"/>
      <c r="C354" s="1"/>
      <c r="D354" s="1"/>
      <c r="E354" s="1"/>
      <c r="G354" s="4"/>
      <c r="H354" s="1"/>
    </row>
    <row r="355" spans="1:8" ht="19.5">
      <c r="A355" s="1"/>
      <c r="B355" s="1"/>
      <c r="C355" s="1"/>
      <c r="D355" s="1"/>
      <c r="E355" s="1"/>
      <c r="G355" s="4"/>
      <c r="H355" s="1"/>
    </row>
    <row r="356" spans="1:8" ht="19.5">
      <c r="A356" s="1"/>
      <c r="B356" s="1"/>
      <c r="C356" s="1"/>
      <c r="D356" s="1"/>
      <c r="E356" s="1"/>
      <c r="G356" s="4"/>
      <c r="H356" s="1"/>
    </row>
    <row r="357" spans="1:8" ht="19.5">
      <c r="A357" s="1"/>
      <c r="B357" s="1"/>
      <c r="C357" s="1"/>
      <c r="D357" s="1"/>
      <c r="E357" s="1"/>
      <c r="G357" s="4"/>
      <c r="H357" s="1"/>
    </row>
    <row r="358" spans="1:8" ht="19.5">
      <c r="A358" s="1"/>
      <c r="B358" s="1"/>
      <c r="C358" s="1"/>
      <c r="D358" s="1"/>
      <c r="E358" s="1"/>
      <c r="G358" s="4"/>
      <c r="H358" s="1"/>
    </row>
    <row r="359" spans="1:8" ht="19.5">
      <c r="A359" s="1"/>
      <c r="B359" s="1"/>
      <c r="C359" s="1"/>
      <c r="D359" s="1"/>
      <c r="E359" s="1"/>
      <c r="G359" s="4"/>
      <c r="H359" s="1"/>
    </row>
    <row r="360" spans="1:8" ht="19.5">
      <c r="A360" s="1"/>
      <c r="B360" s="1"/>
      <c r="C360" s="1"/>
      <c r="D360" s="1"/>
      <c r="E360" s="1"/>
      <c r="G360" s="4"/>
      <c r="H360" s="1"/>
    </row>
    <row r="361" spans="1:8" ht="19.5">
      <c r="A361" s="1"/>
      <c r="B361" s="1"/>
      <c r="C361" s="1"/>
      <c r="D361" s="1"/>
      <c r="E361" s="1"/>
      <c r="G361" s="4"/>
      <c r="H361" s="1"/>
    </row>
    <row r="362" spans="1:8" ht="19.5">
      <c r="A362" s="1"/>
      <c r="B362" s="1"/>
      <c r="C362" s="1"/>
      <c r="D362" s="1"/>
      <c r="E362" s="1"/>
      <c r="G362" s="4"/>
      <c r="H362" s="1"/>
    </row>
    <row r="363" spans="1:8" ht="19.5">
      <c r="A363" s="1"/>
      <c r="B363" s="1"/>
      <c r="C363" s="1"/>
      <c r="D363" s="1"/>
      <c r="E363" s="1"/>
      <c r="G363" s="4"/>
      <c r="H363" s="1"/>
    </row>
    <row r="364" spans="1:8" ht="19.5">
      <c r="A364" s="1"/>
      <c r="B364" s="1"/>
      <c r="C364" s="1"/>
      <c r="D364" s="1"/>
      <c r="E364" s="1"/>
      <c r="G364" s="4"/>
      <c r="H364" s="1"/>
    </row>
    <row r="365" spans="1:8" ht="19.5">
      <c r="A365" s="1"/>
      <c r="B365" s="1"/>
      <c r="C365" s="1"/>
      <c r="D365" s="1"/>
      <c r="E365" s="1"/>
      <c r="G365" s="4"/>
      <c r="H365" s="1"/>
    </row>
    <row r="366" spans="1:8" ht="19.5">
      <c r="A366" s="1"/>
      <c r="B366" s="1"/>
      <c r="C366" s="1"/>
      <c r="D366" s="1"/>
      <c r="E366" s="1"/>
      <c r="G366" s="4"/>
      <c r="H366" s="1"/>
    </row>
    <row r="367" spans="1:8" ht="19.5">
      <c r="A367" s="1"/>
      <c r="B367" s="1"/>
      <c r="C367" s="1"/>
      <c r="D367" s="1"/>
      <c r="E367" s="1"/>
      <c r="G367" s="4"/>
      <c r="H367" s="1"/>
    </row>
    <row r="368" spans="1:8" ht="19.5">
      <c r="A368" s="1"/>
      <c r="B368" s="1"/>
      <c r="C368" s="1"/>
      <c r="D368" s="1"/>
      <c r="E368" s="1"/>
      <c r="G368" s="4"/>
      <c r="H368" s="1"/>
    </row>
    <row r="369" spans="1:8" ht="19.5">
      <c r="A369" s="1"/>
      <c r="B369" s="1"/>
      <c r="C369" s="1"/>
      <c r="D369" s="1"/>
      <c r="E369" s="1"/>
      <c r="G369" s="4"/>
      <c r="H369" s="1"/>
    </row>
    <row r="370" spans="1:8" ht="19.5">
      <c r="A370" s="1"/>
      <c r="B370" s="1"/>
      <c r="C370" s="1"/>
      <c r="D370" s="1"/>
      <c r="E370" s="1"/>
      <c r="G370" s="4"/>
      <c r="H370" s="1"/>
    </row>
    <row r="371" spans="1:8" ht="19.5">
      <c r="A371" s="1"/>
      <c r="B371" s="1"/>
      <c r="C371" s="1"/>
      <c r="D371" s="1"/>
      <c r="E371" s="1"/>
      <c r="G371" s="4"/>
      <c r="H371" s="1"/>
    </row>
    <row r="372" spans="1:8" ht="19.5">
      <c r="A372" s="1"/>
      <c r="B372" s="1"/>
      <c r="C372" s="1"/>
      <c r="D372" s="1"/>
      <c r="E372" s="1"/>
      <c r="G372" s="4"/>
      <c r="H372" s="1"/>
    </row>
    <row r="373" spans="1:8" ht="19.5">
      <c r="A373" s="1"/>
      <c r="B373" s="1"/>
      <c r="C373" s="1"/>
      <c r="D373" s="1"/>
      <c r="E373" s="1"/>
      <c r="G373" s="4"/>
      <c r="H373" s="1"/>
    </row>
    <row r="374" spans="1:8" ht="19.5">
      <c r="A374" s="1"/>
      <c r="B374" s="1"/>
      <c r="C374" s="1"/>
      <c r="D374" s="1"/>
      <c r="E374" s="1"/>
      <c r="G374" s="4"/>
      <c r="H374" s="1"/>
    </row>
    <row r="375" spans="1:8" ht="19.5">
      <c r="A375" s="1"/>
      <c r="B375" s="1"/>
      <c r="C375" s="1"/>
      <c r="D375" s="1"/>
      <c r="E375" s="1"/>
      <c r="G375" s="4"/>
      <c r="H375" s="1"/>
    </row>
    <row r="376" spans="1:8" ht="19.5">
      <c r="A376" s="1"/>
      <c r="B376" s="1"/>
      <c r="C376" s="1"/>
      <c r="D376" s="1"/>
      <c r="E376" s="1"/>
      <c r="G376" s="4"/>
      <c r="H376" s="1"/>
    </row>
    <row r="377" spans="1:8" ht="19.5">
      <c r="A377" s="1"/>
      <c r="B377" s="1"/>
      <c r="C377" s="1"/>
      <c r="D377" s="1"/>
      <c r="E377" s="1"/>
      <c r="G377" s="4"/>
      <c r="H377" s="1"/>
    </row>
    <row r="378" spans="1:8" ht="19.5">
      <c r="A378" s="1"/>
      <c r="B378" s="1"/>
      <c r="C378" s="1"/>
      <c r="D378" s="1"/>
      <c r="E378" s="1"/>
      <c r="G378" s="4"/>
      <c r="H378" s="1"/>
    </row>
    <row r="379" spans="1:8" ht="19.5">
      <c r="A379" s="1"/>
      <c r="B379" s="1"/>
      <c r="C379" s="1"/>
      <c r="D379" s="1"/>
      <c r="E379" s="1"/>
      <c r="G379" s="4"/>
      <c r="H379" s="1"/>
    </row>
    <row r="380" spans="1:8" ht="19.5">
      <c r="A380" s="1"/>
      <c r="B380" s="1"/>
      <c r="C380" s="1"/>
      <c r="D380" s="1"/>
      <c r="E380" s="1"/>
      <c r="G380" s="4"/>
      <c r="H380" s="1"/>
    </row>
    <row r="381" spans="1:8" ht="19.5">
      <c r="A381" s="1"/>
      <c r="B381" s="1"/>
      <c r="C381" s="1"/>
      <c r="D381" s="1"/>
      <c r="E381" s="1"/>
      <c r="G381" s="4"/>
      <c r="H381" s="1"/>
    </row>
    <row r="382" spans="1:8" ht="19.5">
      <c r="A382" s="1"/>
      <c r="B382" s="1"/>
      <c r="C382" s="1"/>
      <c r="D382" s="1"/>
      <c r="E382" s="1"/>
      <c r="G382" s="4"/>
      <c r="H382" s="1"/>
    </row>
    <row r="383" spans="1:8" ht="19.5">
      <c r="A383" s="1"/>
      <c r="B383" s="1"/>
      <c r="C383" s="1"/>
      <c r="D383" s="1"/>
      <c r="E383" s="1"/>
      <c r="G383" s="4"/>
      <c r="H383" s="1"/>
    </row>
    <row r="384" spans="1:8" ht="19.5">
      <c r="A384" s="1"/>
      <c r="B384" s="1"/>
      <c r="C384" s="1"/>
      <c r="D384" s="1"/>
      <c r="E384" s="1"/>
      <c r="G384" s="4"/>
      <c r="H384" s="1"/>
    </row>
    <row r="385" spans="1:8" ht="19.5">
      <c r="A385" s="1"/>
      <c r="B385" s="1"/>
      <c r="C385" s="1"/>
      <c r="D385" s="1"/>
      <c r="E385" s="1"/>
      <c r="G385" s="4"/>
      <c r="H385" s="1"/>
    </row>
    <row r="386" spans="1:8" ht="19.5">
      <c r="A386" s="1"/>
      <c r="B386" s="1"/>
      <c r="C386" s="1"/>
      <c r="D386" s="1"/>
      <c r="E386" s="1"/>
      <c r="G386" s="4"/>
      <c r="H386" s="1"/>
    </row>
    <row r="387" spans="1:8" ht="19.5">
      <c r="A387" s="1"/>
      <c r="B387" s="1"/>
      <c r="C387" s="1"/>
      <c r="D387" s="1"/>
      <c r="E387" s="1"/>
      <c r="G387" s="4"/>
      <c r="H387" s="1"/>
    </row>
    <row r="388" spans="1:8" ht="19.5">
      <c r="A388" s="1"/>
      <c r="B388" s="1"/>
      <c r="C388" s="1"/>
      <c r="D388" s="1"/>
      <c r="E388" s="1"/>
      <c r="G388" s="4"/>
      <c r="H388" s="1"/>
    </row>
    <row r="389" spans="1:8" ht="19.5">
      <c r="A389" s="1"/>
      <c r="B389" s="1"/>
      <c r="C389" s="1"/>
      <c r="D389" s="1"/>
      <c r="E389" s="1"/>
      <c r="G389" s="4"/>
      <c r="H389" s="1"/>
    </row>
    <row r="390" spans="1:8" ht="19.5">
      <c r="A390" s="1"/>
      <c r="B390" s="1"/>
      <c r="C390" s="1"/>
      <c r="D390" s="1"/>
      <c r="E390" s="1"/>
      <c r="G390" s="4"/>
      <c r="H390" s="1"/>
    </row>
    <row r="391" spans="1:8" ht="19.5">
      <c r="A391" s="1"/>
      <c r="B391" s="1"/>
      <c r="C391" s="1"/>
      <c r="D391" s="1"/>
      <c r="E391" s="1"/>
      <c r="G391" s="4"/>
      <c r="H391" s="1"/>
    </row>
    <row r="392" spans="1:8" ht="19.5">
      <c r="A392" s="1"/>
      <c r="B392" s="1"/>
      <c r="C392" s="1"/>
      <c r="D392" s="1"/>
      <c r="E392" s="1"/>
      <c r="G392" s="4"/>
      <c r="H392" s="1"/>
    </row>
    <row r="393" spans="1:8" ht="19.5">
      <c r="A393" s="1"/>
      <c r="B393" s="1"/>
      <c r="C393" s="1"/>
      <c r="D393" s="1"/>
      <c r="E393" s="1"/>
      <c r="G393" s="4"/>
      <c r="H393" s="1"/>
    </row>
    <row r="394" spans="1:8" ht="19.5">
      <c r="A394" s="1"/>
      <c r="B394" s="1"/>
      <c r="C394" s="1"/>
      <c r="D394" s="1"/>
      <c r="E394" s="1"/>
      <c r="G394" s="4"/>
      <c r="H394" s="1"/>
    </row>
    <row r="395" spans="1:8" ht="19.5">
      <c r="A395" s="1"/>
      <c r="B395" s="1"/>
      <c r="C395" s="1"/>
      <c r="D395" s="1"/>
      <c r="E395" s="1"/>
      <c r="G395" s="4"/>
      <c r="H395" s="1"/>
    </row>
    <row r="396" spans="1:8" ht="19.5">
      <c r="A396" s="1"/>
      <c r="B396" s="1"/>
      <c r="C396" s="1"/>
      <c r="D396" s="1"/>
      <c r="E396" s="1"/>
      <c r="G396" s="4"/>
      <c r="H396" s="1"/>
    </row>
    <row r="397" spans="1:8" ht="19.5">
      <c r="A397" s="1"/>
      <c r="B397" s="1"/>
      <c r="C397" s="1"/>
      <c r="D397" s="1"/>
      <c r="E397" s="1"/>
      <c r="G397" s="4"/>
      <c r="H397" s="1"/>
    </row>
    <row r="398" spans="1:8" ht="19.5">
      <c r="A398" s="1"/>
      <c r="B398" s="1"/>
      <c r="C398" s="1"/>
      <c r="D398" s="1"/>
      <c r="E398" s="1"/>
      <c r="G398" s="4"/>
      <c r="H398" s="1"/>
    </row>
    <row r="399" spans="1:8" ht="19.5">
      <c r="A399" s="1"/>
      <c r="B399" s="1"/>
      <c r="C399" s="1"/>
      <c r="D399" s="1"/>
      <c r="E399" s="1"/>
      <c r="G399" s="4"/>
      <c r="H399" s="1"/>
    </row>
    <row r="400" spans="1:8" ht="19.5">
      <c r="A400" s="1"/>
      <c r="B400" s="1"/>
      <c r="C400" s="1"/>
      <c r="D400" s="1"/>
      <c r="E400" s="1"/>
      <c r="G400" s="4"/>
      <c r="H400" s="1"/>
    </row>
    <row r="401" spans="1:8" ht="19.5">
      <c r="A401" s="1"/>
      <c r="B401" s="1"/>
      <c r="C401" s="1"/>
      <c r="D401" s="1"/>
      <c r="E401" s="1"/>
      <c r="G401" s="4"/>
      <c r="H401" s="1"/>
    </row>
    <row r="402" spans="1:8" ht="19.5">
      <c r="A402" s="1"/>
      <c r="B402" s="1"/>
      <c r="C402" s="1"/>
      <c r="D402" s="1"/>
      <c r="E402" s="1"/>
      <c r="G402" s="4"/>
      <c r="H402" s="1"/>
    </row>
    <row r="403" spans="1:8" ht="19.5">
      <c r="A403" s="1"/>
      <c r="B403" s="1"/>
      <c r="C403" s="1"/>
      <c r="D403" s="1"/>
      <c r="E403" s="1"/>
      <c r="G403" s="4"/>
      <c r="H403" s="1"/>
    </row>
    <row r="404" spans="1:8" ht="19.5">
      <c r="A404" s="1"/>
      <c r="B404" s="1"/>
      <c r="C404" s="1"/>
      <c r="D404" s="1"/>
      <c r="E404" s="1"/>
      <c r="G404" s="4"/>
      <c r="H404" s="1"/>
    </row>
    <row r="405" spans="1:8" ht="19.5">
      <c r="A405" s="1"/>
      <c r="B405" s="1"/>
      <c r="C405" s="1"/>
      <c r="D405" s="1"/>
      <c r="E405" s="1"/>
      <c r="G405" s="4"/>
      <c r="H405" s="1"/>
    </row>
    <row r="406" spans="1:8" ht="19.5">
      <c r="A406" s="1"/>
      <c r="B406" s="1"/>
      <c r="C406" s="1"/>
      <c r="D406" s="1"/>
      <c r="E406" s="1"/>
      <c r="G406" s="4"/>
      <c r="H406" s="1"/>
    </row>
    <row r="407" spans="1:8" ht="19.5">
      <c r="A407" s="1"/>
      <c r="B407" s="1"/>
      <c r="C407" s="1"/>
      <c r="D407" s="1"/>
      <c r="E407" s="1"/>
      <c r="G407" s="4"/>
      <c r="H407" s="1"/>
    </row>
    <row r="408" spans="1:8" ht="19.5">
      <c r="A408" s="1"/>
      <c r="B408" s="1"/>
      <c r="C408" s="1"/>
      <c r="D408" s="1"/>
      <c r="E408" s="1"/>
      <c r="G408" s="4"/>
      <c r="H408" s="1"/>
    </row>
    <row r="409" spans="1:8" ht="19.5">
      <c r="A409" s="1"/>
      <c r="B409" s="1"/>
      <c r="C409" s="1"/>
      <c r="D409" s="1"/>
      <c r="E409" s="1"/>
      <c r="G409" s="4"/>
      <c r="H409" s="1"/>
    </row>
    <row r="410" spans="1:8" ht="19.5">
      <c r="A410" s="1"/>
      <c r="B410" s="1"/>
      <c r="C410" s="1"/>
      <c r="D410" s="1"/>
      <c r="E410" s="1"/>
      <c r="G410" s="4"/>
      <c r="H410" s="1"/>
    </row>
    <row r="411" spans="1:8" ht="19.5">
      <c r="A411" s="1"/>
      <c r="B411" s="1"/>
      <c r="C411" s="1"/>
      <c r="D411" s="1"/>
      <c r="E411" s="1"/>
      <c r="G411" s="4"/>
      <c r="H411" s="1"/>
    </row>
    <row r="412" spans="1:8" ht="19.5">
      <c r="A412" s="1"/>
      <c r="B412" s="1"/>
      <c r="C412" s="1"/>
      <c r="D412" s="1"/>
      <c r="E412" s="1"/>
      <c r="G412" s="4"/>
      <c r="H412" s="1"/>
    </row>
    <row r="413" spans="1:8" ht="19.5">
      <c r="A413" s="1"/>
      <c r="B413" s="1"/>
      <c r="C413" s="1"/>
      <c r="D413" s="1"/>
      <c r="E413" s="1"/>
      <c r="G413" s="4"/>
      <c r="H413" s="1"/>
    </row>
    <row r="414" spans="1:8" ht="19.5">
      <c r="A414" s="1"/>
      <c r="B414" s="1"/>
      <c r="C414" s="1"/>
      <c r="D414" s="1"/>
      <c r="E414" s="1"/>
      <c r="G414" s="4"/>
      <c r="H414" s="1"/>
    </row>
    <row r="415" spans="1:8" ht="19.5">
      <c r="A415" s="1"/>
      <c r="B415" s="1"/>
      <c r="C415" s="1"/>
      <c r="D415" s="1"/>
      <c r="E415" s="1"/>
      <c r="G415" s="4"/>
      <c r="H415" s="1"/>
    </row>
    <row r="416" spans="1:8" ht="19.5">
      <c r="A416" s="1"/>
      <c r="B416" s="1"/>
      <c r="C416" s="1"/>
      <c r="D416" s="1"/>
      <c r="E416" s="1"/>
      <c r="G416" s="4"/>
      <c r="H416" s="1"/>
    </row>
    <row r="417" spans="1:8" ht="19.5">
      <c r="A417" s="1"/>
      <c r="B417" s="1"/>
      <c r="C417" s="1"/>
      <c r="D417" s="1"/>
      <c r="E417" s="1"/>
      <c r="G417" s="4"/>
      <c r="H417" s="1"/>
    </row>
    <row r="418" spans="1:8" ht="19.5">
      <c r="A418" s="1"/>
      <c r="B418" s="1"/>
      <c r="C418" s="1"/>
      <c r="D418" s="1"/>
      <c r="E418" s="1"/>
      <c r="G418" s="4"/>
      <c r="H418" s="1"/>
    </row>
    <row r="419" spans="1:8" ht="19.5">
      <c r="A419" s="1"/>
      <c r="B419" s="1"/>
      <c r="C419" s="1"/>
      <c r="D419" s="1"/>
      <c r="E419" s="1"/>
      <c r="G419" s="4"/>
      <c r="H419" s="1"/>
    </row>
    <row r="420" spans="1:8" ht="19.5">
      <c r="A420" s="1"/>
      <c r="B420" s="1"/>
      <c r="C420" s="1"/>
      <c r="D420" s="1"/>
      <c r="E420" s="1"/>
      <c r="G420" s="4"/>
      <c r="H420" s="1"/>
    </row>
    <row r="421" spans="1:8" ht="19.5">
      <c r="A421" s="1"/>
      <c r="B421" s="1"/>
      <c r="C421" s="1"/>
      <c r="D421" s="1"/>
      <c r="E421" s="1"/>
      <c r="G421" s="4"/>
      <c r="H421" s="1"/>
    </row>
    <row r="422" spans="1:8" ht="19.5">
      <c r="A422" s="1"/>
      <c r="B422" s="1"/>
      <c r="C422" s="1"/>
      <c r="D422" s="1"/>
      <c r="E422" s="1"/>
      <c r="G422" s="4"/>
      <c r="H422" s="1"/>
    </row>
    <row r="423" spans="1:8" ht="19.5">
      <c r="A423" s="1"/>
      <c r="B423" s="1"/>
      <c r="C423" s="1"/>
      <c r="D423" s="1"/>
      <c r="E423" s="1"/>
      <c r="G423" s="4"/>
      <c r="H423" s="1"/>
    </row>
    <row r="424" spans="1:8" ht="19.5">
      <c r="A424" s="1"/>
      <c r="B424" s="1"/>
      <c r="C424" s="1"/>
      <c r="D424" s="1"/>
      <c r="E424" s="1"/>
      <c r="G424" s="4"/>
      <c r="H424" s="1"/>
    </row>
    <row r="425" spans="1:8" ht="19.5">
      <c r="A425" s="1"/>
      <c r="B425" s="1"/>
      <c r="C425" s="1"/>
      <c r="D425" s="1"/>
      <c r="E425" s="1"/>
      <c r="G425" s="4"/>
      <c r="H425" s="1"/>
    </row>
    <row r="426" spans="1:8" ht="19.5">
      <c r="A426" s="1"/>
      <c r="B426" s="1"/>
      <c r="C426" s="1"/>
      <c r="D426" s="1"/>
      <c r="E426" s="1"/>
      <c r="G426" s="4"/>
      <c r="H426" s="1"/>
    </row>
    <row r="427" spans="1:8" ht="19.5">
      <c r="A427" s="1"/>
      <c r="B427" s="1"/>
      <c r="C427" s="1"/>
      <c r="D427" s="1"/>
      <c r="E427" s="1"/>
      <c r="G427" s="4"/>
      <c r="H427" s="1"/>
    </row>
    <row r="428" spans="1:8" ht="19.5">
      <c r="A428" s="1"/>
      <c r="B428" s="1"/>
      <c r="C428" s="1"/>
      <c r="D428" s="1"/>
      <c r="E428" s="1"/>
      <c r="G428" s="4"/>
      <c r="H428" s="1"/>
    </row>
    <row r="429" spans="1:8" ht="19.5">
      <c r="A429" s="1"/>
      <c r="B429" s="1"/>
      <c r="C429" s="1"/>
      <c r="D429" s="1"/>
      <c r="E429" s="1"/>
      <c r="G429" s="4"/>
      <c r="H429" s="1"/>
    </row>
    <row r="430" spans="1:8" ht="19.5">
      <c r="A430" s="1"/>
      <c r="B430" s="1"/>
      <c r="C430" s="1"/>
      <c r="D430" s="1"/>
      <c r="E430" s="1"/>
      <c r="G430" s="4"/>
      <c r="H430" s="1"/>
    </row>
    <row r="431" spans="1:8" ht="19.5">
      <c r="A431" s="1"/>
      <c r="B431" s="1"/>
      <c r="C431" s="1"/>
      <c r="D431" s="1"/>
      <c r="E431" s="1"/>
      <c r="G431" s="4"/>
      <c r="H431" s="1"/>
    </row>
    <row r="432" spans="1:8" ht="19.5">
      <c r="A432" s="1"/>
      <c r="B432" s="1"/>
      <c r="C432" s="1"/>
      <c r="D432" s="1"/>
      <c r="E432" s="1"/>
      <c r="G432" s="4"/>
      <c r="H432" s="1"/>
    </row>
    <row r="433" spans="1:8" ht="19.5">
      <c r="A433" s="1"/>
      <c r="B433" s="1"/>
      <c r="C433" s="1"/>
      <c r="D433" s="1"/>
      <c r="E433" s="1"/>
      <c r="G433" s="4"/>
      <c r="H433" s="1"/>
    </row>
    <row r="434" spans="1:8" ht="19.5">
      <c r="A434" s="1"/>
      <c r="B434" s="1"/>
      <c r="C434" s="1"/>
      <c r="D434" s="1"/>
      <c r="E434" s="1"/>
      <c r="G434" s="4"/>
      <c r="H434" s="1"/>
    </row>
    <row r="435" spans="1:8" ht="19.5">
      <c r="A435" s="1"/>
      <c r="B435" s="1"/>
      <c r="C435" s="1"/>
      <c r="D435" s="1"/>
      <c r="E435" s="1"/>
      <c r="G435" s="4"/>
      <c r="H435" s="1"/>
    </row>
    <row r="436" spans="1:8" ht="19.5">
      <c r="A436" s="1"/>
      <c r="B436" s="1"/>
      <c r="C436" s="1"/>
      <c r="D436" s="1"/>
      <c r="E436" s="1"/>
      <c r="G436" s="4"/>
      <c r="H436" s="1"/>
    </row>
    <row r="437" spans="1:8" ht="19.5">
      <c r="A437" s="1"/>
      <c r="B437" s="1"/>
      <c r="C437" s="1"/>
      <c r="D437" s="1"/>
      <c r="E437" s="1"/>
      <c r="G437" s="4"/>
      <c r="H437" s="1"/>
    </row>
    <row r="438" spans="1:8" ht="19.5">
      <c r="A438" s="1"/>
      <c r="B438" s="1"/>
      <c r="C438" s="1"/>
      <c r="D438" s="1"/>
      <c r="E438" s="1"/>
      <c r="G438" s="4"/>
      <c r="H438" s="1"/>
    </row>
    <row r="439" spans="1:8" ht="19.5">
      <c r="A439" s="1"/>
      <c r="B439" s="1"/>
      <c r="C439" s="1"/>
      <c r="D439" s="1"/>
      <c r="E439" s="1"/>
      <c r="G439" s="4"/>
      <c r="H439" s="1"/>
    </row>
    <row r="440" spans="1:8" ht="19.5">
      <c r="A440" s="1"/>
      <c r="B440" s="1"/>
      <c r="C440" s="1"/>
      <c r="D440" s="1"/>
      <c r="E440" s="1"/>
      <c r="G440" s="4"/>
      <c r="H440" s="1"/>
    </row>
    <row r="441" spans="1:8" ht="19.5">
      <c r="A441" s="1"/>
      <c r="B441" s="1"/>
      <c r="C441" s="1"/>
      <c r="D441" s="1"/>
      <c r="E441" s="1"/>
      <c r="G441" s="4"/>
      <c r="H441" s="1"/>
    </row>
    <row r="442" spans="1:8" ht="19.5">
      <c r="A442" s="1"/>
      <c r="B442" s="1"/>
      <c r="C442" s="1"/>
      <c r="D442" s="1"/>
      <c r="E442" s="1"/>
      <c r="G442" s="4"/>
      <c r="H442" s="1"/>
    </row>
    <row r="443" spans="1:8" ht="19.5">
      <c r="A443" s="1"/>
      <c r="B443" s="1"/>
      <c r="C443" s="1"/>
      <c r="D443" s="1"/>
      <c r="E443" s="1"/>
      <c r="G443" s="4"/>
      <c r="H443" s="1"/>
    </row>
    <row r="444" spans="1:8" ht="19.5">
      <c r="A444" s="1"/>
      <c r="B444" s="1"/>
      <c r="C444" s="1"/>
      <c r="D444" s="1"/>
      <c r="E444" s="1"/>
      <c r="G444" s="4"/>
      <c r="H444" s="1"/>
    </row>
    <row r="445" spans="1:8" ht="19.5">
      <c r="A445" s="1"/>
      <c r="B445" s="1"/>
      <c r="C445" s="1"/>
      <c r="D445" s="1"/>
      <c r="E445" s="1"/>
      <c r="G445" s="4"/>
      <c r="H445" s="1"/>
    </row>
    <row r="446" spans="1:8" ht="19.5">
      <c r="A446" s="1"/>
      <c r="B446" s="1"/>
      <c r="C446" s="1"/>
      <c r="D446" s="1"/>
      <c r="E446" s="1"/>
      <c r="G446" s="4"/>
      <c r="H446" s="1"/>
    </row>
    <row r="447" spans="1:8" ht="19.5">
      <c r="A447" s="1"/>
      <c r="B447" s="1"/>
      <c r="C447" s="1"/>
      <c r="D447" s="1"/>
      <c r="E447" s="1"/>
      <c r="G447" s="4"/>
      <c r="H447" s="1"/>
    </row>
    <row r="448" spans="1:8" ht="19.5">
      <c r="A448" s="1"/>
      <c r="B448" s="1"/>
      <c r="C448" s="1"/>
      <c r="D448" s="1"/>
      <c r="E448" s="1"/>
      <c r="G448" s="4"/>
      <c r="H448" s="1"/>
    </row>
    <row r="449" spans="1:8" ht="19.5">
      <c r="A449" s="1"/>
      <c r="B449" s="1"/>
      <c r="C449" s="1"/>
      <c r="D449" s="1"/>
      <c r="E449" s="1"/>
      <c r="G449" s="4"/>
      <c r="H449" s="1"/>
    </row>
    <row r="450" spans="1:8" ht="19.5">
      <c r="A450" s="1"/>
      <c r="B450" s="1"/>
      <c r="C450" s="1"/>
      <c r="D450" s="1"/>
      <c r="E450" s="1"/>
      <c r="G450" s="4"/>
      <c r="H450" s="1"/>
    </row>
    <row r="451" spans="1:8" ht="19.5">
      <c r="A451" s="1"/>
      <c r="B451" s="1"/>
      <c r="C451" s="1"/>
      <c r="D451" s="1"/>
      <c r="E451" s="1"/>
      <c r="G451" s="4"/>
      <c r="H451" s="1"/>
    </row>
    <row r="452" spans="1:8" ht="19.5">
      <c r="A452" s="1"/>
      <c r="B452" s="1"/>
      <c r="C452" s="1"/>
      <c r="D452" s="1"/>
      <c r="E452" s="1"/>
      <c r="G452" s="4"/>
      <c r="H452" s="1"/>
    </row>
    <row r="453" spans="1:8" ht="19.5">
      <c r="A453" s="1"/>
      <c r="B453" s="1"/>
      <c r="C453" s="1"/>
      <c r="D453" s="1"/>
      <c r="E453" s="1"/>
      <c r="G453" s="4"/>
      <c r="H453" s="1"/>
    </row>
    <row r="454" spans="1:8" ht="19.5">
      <c r="A454" s="1"/>
      <c r="B454" s="1"/>
      <c r="C454" s="1"/>
      <c r="D454" s="1"/>
      <c r="E454" s="1"/>
      <c r="G454" s="4"/>
      <c r="H454" s="1"/>
    </row>
    <row r="455" spans="1:8" ht="19.5">
      <c r="A455" s="1"/>
      <c r="B455" s="1"/>
      <c r="C455" s="1"/>
      <c r="D455" s="1"/>
      <c r="E455" s="1"/>
      <c r="G455" s="4"/>
      <c r="H455" s="1"/>
    </row>
    <row r="456" spans="1:8" ht="19.5">
      <c r="A456" s="1"/>
      <c r="B456" s="1"/>
      <c r="C456" s="1"/>
      <c r="D456" s="1"/>
      <c r="E456" s="1"/>
      <c r="G456" s="4"/>
      <c r="H456" s="1"/>
    </row>
    <row r="457" spans="1:8" ht="19.5">
      <c r="A457" s="1"/>
      <c r="B457" s="1"/>
      <c r="C457" s="1"/>
      <c r="D457" s="1"/>
      <c r="E457" s="1"/>
      <c r="G457" s="4"/>
      <c r="H457" s="1"/>
    </row>
    <row r="458" spans="1:8" ht="19.5">
      <c r="A458" s="1"/>
      <c r="B458" s="1"/>
      <c r="C458" s="1"/>
      <c r="D458" s="1"/>
      <c r="E458" s="1"/>
      <c r="G458" s="4"/>
      <c r="H458" s="1"/>
    </row>
    <row r="459" spans="1:8" ht="19.5">
      <c r="A459" s="1"/>
      <c r="B459" s="1"/>
      <c r="C459" s="1"/>
      <c r="D459" s="1"/>
      <c r="E459" s="1"/>
      <c r="G459" s="4"/>
      <c r="H459" s="1"/>
    </row>
    <row r="460" spans="1:8" ht="19.5">
      <c r="A460" s="1"/>
      <c r="B460" s="1"/>
      <c r="C460" s="1"/>
      <c r="D460" s="1"/>
      <c r="E460" s="1"/>
      <c r="G460" s="4"/>
      <c r="H460" s="1"/>
    </row>
    <row r="461" spans="1:8" ht="19.5">
      <c r="A461" s="1"/>
      <c r="B461" s="1"/>
      <c r="C461" s="1"/>
      <c r="D461" s="1"/>
      <c r="E461" s="1"/>
      <c r="G461" s="4"/>
      <c r="H461" s="1"/>
    </row>
    <row r="462" spans="1:8" ht="19.5">
      <c r="A462" s="1"/>
      <c r="B462" s="1"/>
      <c r="C462" s="1"/>
      <c r="D462" s="1"/>
      <c r="E462" s="1"/>
      <c r="G462" s="4"/>
      <c r="H462" s="1"/>
    </row>
    <row r="463" spans="1:8" ht="19.5">
      <c r="A463" s="1"/>
      <c r="B463" s="1"/>
      <c r="C463" s="1"/>
      <c r="D463" s="1"/>
      <c r="E463" s="1"/>
      <c r="G463" s="4"/>
      <c r="H463" s="1"/>
    </row>
    <row r="464" spans="1:8" ht="19.5">
      <c r="A464" s="1"/>
      <c r="B464" s="1"/>
      <c r="C464" s="1"/>
      <c r="D464" s="1"/>
      <c r="E464" s="1"/>
      <c r="G464" s="4"/>
      <c r="H464" s="1"/>
    </row>
    <row r="465" spans="1:8" ht="19.5">
      <c r="A465" s="1"/>
      <c r="B465" s="1"/>
      <c r="C465" s="1"/>
      <c r="D465" s="1"/>
      <c r="E465" s="1"/>
      <c r="G465" s="4"/>
      <c r="H465" s="1"/>
    </row>
    <row r="466" spans="1:8" ht="19.5">
      <c r="A466" s="1"/>
      <c r="B466" s="1"/>
      <c r="C466" s="1"/>
      <c r="D466" s="1"/>
      <c r="E466" s="1"/>
      <c r="G466" s="4"/>
      <c r="H466" s="1"/>
    </row>
    <row r="467" spans="1:8" ht="19.5">
      <c r="A467" s="1"/>
      <c r="B467" s="1"/>
      <c r="C467" s="1"/>
      <c r="D467" s="1"/>
      <c r="E467" s="1"/>
      <c r="G467" s="4"/>
      <c r="H467" s="1"/>
    </row>
    <row r="468" spans="1:8" ht="19.5">
      <c r="A468" s="1"/>
      <c r="B468" s="1"/>
      <c r="C468" s="1"/>
      <c r="D468" s="1"/>
      <c r="E468" s="1"/>
      <c r="G468" s="4"/>
      <c r="H468" s="1"/>
    </row>
    <row r="469" spans="1:8" ht="19.5">
      <c r="A469" s="1"/>
      <c r="B469" s="1"/>
      <c r="C469" s="1"/>
      <c r="D469" s="1"/>
      <c r="E469" s="1"/>
      <c r="G469" s="4"/>
      <c r="H469" s="1"/>
    </row>
    <row r="470" spans="1:8" ht="19.5">
      <c r="A470" s="1"/>
      <c r="B470" s="1"/>
      <c r="C470" s="1"/>
      <c r="D470" s="1"/>
      <c r="E470" s="1"/>
      <c r="G470" s="4"/>
      <c r="H470" s="1"/>
    </row>
    <row r="471" spans="1:8" ht="19.5">
      <c r="A471" s="1"/>
      <c r="B471" s="1"/>
      <c r="C471" s="1"/>
      <c r="D471" s="1"/>
      <c r="E471" s="1"/>
      <c r="G471" s="4"/>
      <c r="H471" s="1"/>
    </row>
    <row r="472" spans="1:8" ht="19.5">
      <c r="A472" s="1"/>
      <c r="B472" s="1"/>
      <c r="C472" s="1"/>
      <c r="D472" s="1"/>
      <c r="E472" s="1"/>
      <c r="G472" s="4"/>
      <c r="H472" s="1"/>
    </row>
    <row r="473" spans="1:8" ht="19.5">
      <c r="A473" s="1"/>
      <c r="B473" s="1"/>
      <c r="C473" s="1"/>
      <c r="D473" s="1"/>
      <c r="E473" s="1"/>
      <c r="G473" s="4"/>
      <c r="H473" s="1"/>
    </row>
    <row r="474" spans="1:8" ht="19.5">
      <c r="A474" s="1"/>
      <c r="B474" s="1"/>
      <c r="C474" s="1"/>
      <c r="D474" s="1"/>
      <c r="E474" s="1"/>
      <c r="G474" s="4"/>
      <c r="H474" s="1"/>
    </row>
    <row r="475" spans="1:8" ht="19.5">
      <c r="A475" s="1"/>
      <c r="B475" s="1"/>
      <c r="C475" s="1"/>
      <c r="D475" s="1"/>
      <c r="E475" s="1"/>
      <c r="G475" s="4"/>
      <c r="H475" s="1"/>
    </row>
    <row r="476" spans="1:8" ht="19.5">
      <c r="A476" s="1"/>
      <c r="B476" s="1"/>
      <c r="C476" s="1"/>
      <c r="D476" s="1"/>
      <c r="E476" s="1"/>
      <c r="G476" s="4"/>
      <c r="H476" s="1"/>
    </row>
    <row r="477" spans="1:8" ht="19.5">
      <c r="A477" s="1"/>
      <c r="B477" s="1"/>
      <c r="C477" s="1"/>
      <c r="D477" s="1"/>
      <c r="E477" s="1"/>
      <c r="G477" s="4"/>
      <c r="H477" s="1"/>
    </row>
    <row r="478" spans="1:8" ht="19.5">
      <c r="A478" s="1"/>
      <c r="B478" s="1"/>
      <c r="C478" s="1"/>
      <c r="D478" s="1"/>
      <c r="E478" s="1"/>
      <c r="G478" s="4"/>
      <c r="H478" s="1"/>
    </row>
    <row r="479" spans="1:8" ht="19.5">
      <c r="A479" s="1"/>
      <c r="B479" s="1"/>
      <c r="C479" s="1"/>
      <c r="D479" s="1"/>
      <c r="E479" s="1"/>
      <c r="G479" s="4"/>
      <c r="H479" s="1"/>
    </row>
    <row r="480" spans="1:8" ht="19.5">
      <c r="A480" s="1"/>
      <c r="B480" s="1"/>
      <c r="C480" s="1"/>
      <c r="D480" s="1"/>
      <c r="E480" s="1"/>
      <c r="G480" s="4"/>
      <c r="H480" s="1"/>
    </row>
    <row r="481" spans="1:8" ht="19.5">
      <c r="A481" s="1"/>
      <c r="B481" s="1"/>
      <c r="C481" s="1"/>
      <c r="D481" s="1"/>
      <c r="E481" s="1"/>
      <c r="G481" s="4"/>
      <c r="H481" s="1"/>
    </row>
    <row r="482" spans="1:8" ht="19.5">
      <c r="A482" s="1"/>
      <c r="B482" s="1"/>
      <c r="C482" s="1"/>
      <c r="D482" s="1"/>
      <c r="E482" s="1"/>
      <c r="G482" s="4"/>
      <c r="H482" s="1"/>
    </row>
    <row r="483" spans="1:8" ht="19.5">
      <c r="A483" s="1"/>
      <c r="B483" s="1"/>
      <c r="C483" s="1"/>
      <c r="D483" s="1"/>
      <c r="E483" s="1"/>
      <c r="G483" s="4"/>
      <c r="H483" s="1"/>
    </row>
    <row r="484" spans="1:8" ht="19.5">
      <c r="A484" s="1"/>
      <c r="B484" s="1"/>
      <c r="C484" s="1"/>
      <c r="D484" s="1"/>
      <c r="E484" s="1"/>
      <c r="G484" s="4"/>
      <c r="H484" s="1"/>
    </row>
    <row r="485" spans="1:8" ht="19.5">
      <c r="A485" s="1"/>
      <c r="B485" s="1"/>
      <c r="C485" s="1"/>
      <c r="D485" s="1"/>
      <c r="E485" s="1"/>
      <c r="G485" s="4"/>
      <c r="H485" s="1"/>
    </row>
    <row r="486" spans="1:8" ht="19.5">
      <c r="A486" s="1"/>
      <c r="B486" s="1"/>
      <c r="C486" s="1"/>
      <c r="D486" s="1"/>
      <c r="E486" s="1"/>
      <c r="G486" s="4"/>
      <c r="H486" s="1"/>
    </row>
    <row r="487" spans="1:8" ht="19.5">
      <c r="A487" s="1"/>
      <c r="B487" s="1"/>
      <c r="C487" s="1"/>
      <c r="D487" s="1"/>
      <c r="E487" s="1"/>
      <c r="G487" s="4"/>
      <c r="H487" s="1"/>
    </row>
    <row r="488" spans="1:8" ht="19.5">
      <c r="A488" s="1"/>
      <c r="B488" s="1"/>
      <c r="C488" s="1"/>
      <c r="D488" s="1"/>
      <c r="E488" s="1"/>
      <c r="G488" s="4"/>
      <c r="H488" s="1"/>
    </row>
    <row r="489" spans="1:8" ht="19.5">
      <c r="A489" s="1"/>
      <c r="B489" s="1"/>
      <c r="C489" s="1"/>
      <c r="D489" s="1"/>
      <c r="E489" s="1"/>
      <c r="G489" s="4"/>
      <c r="H489" s="1"/>
    </row>
    <row r="490" spans="1:8" ht="19.5">
      <c r="A490" s="1"/>
      <c r="B490" s="1"/>
      <c r="C490" s="1"/>
      <c r="D490" s="1"/>
      <c r="E490" s="1"/>
      <c r="G490" s="4"/>
      <c r="H490" s="1"/>
    </row>
    <row r="491" spans="1:8" ht="19.5">
      <c r="A491" s="1"/>
      <c r="B491" s="1"/>
      <c r="C491" s="1"/>
      <c r="D491" s="1"/>
      <c r="E491" s="1"/>
      <c r="G491" s="4"/>
      <c r="H491" s="1"/>
    </row>
    <row r="492" spans="1:8" ht="19.5">
      <c r="A492" s="1"/>
      <c r="B492" s="1"/>
      <c r="C492" s="1"/>
      <c r="D492" s="1"/>
      <c r="E492" s="1"/>
      <c r="G492" s="4"/>
      <c r="H492" s="1"/>
    </row>
    <row r="493" spans="1:8" ht="19.5">
      <c r="A493" s="1"/>
      <c r="B493" s="1"/>
      <c r="C493" s="1"/>
      <c r="D493" s="1"/>
      <c r="E493" s="1"/>
      <c r="G493" s="4"/>
      <c r="H493" s="1"/>
    </row>
    <row r="494" spans="1:8" ht="19.5">
      <c r="A494" s="1"/>
      <c r="B494" s="1"/>
      <c r="C494" s="1"/>
      <c r="D494" s="1"/>
      <c r="E494" s="1"/>
      <c r="G494" s="4"/>
      <c r="H494" s="1"/>
    </row>
    <row r="495" spans="1:8" ht="19.5">
      <c r="A495" s="1"/>
      <c r="B495" s="1"/>
      <c r="C495" s="1"/>
      <c r="D495" s="1"/>
      <c r="E495" s="1"/>
      <c r="G495" s="4"/>
      <c r="H495" s="1"/>
    </row>
    <row r="496" spans="1:8" ht="19.5">
      <c r="A496" s="1"/>
      <c r="B496" s="1"/>
      <c r="C496" s="1"/>
      <c r="D496" s="1"/>
      <c r="E496" s="1"/>
      <c r="G496" s="4"/>
      <c r="H496" s="1"/>
    </row>
    <row r="497" spans="1:8" ht="19.5">
      <c r="A497" s="1"/>
      <c r="B497" s="1"/>
      <c r="C497" s="1"/>
      <c r="D497" s="1"/>
      <c r="E497" s="1"/>
      <c r="G497" s="4"/>
      <c r="H497" s="1"/>
    </row>
    <row r="498" spans="1:8" ht="19.5">
      <c r="A498" s="1"/>
      <c r="B498" s="1"/>
      <c r="C498" s="1"/>
      <c r="D498" s="1"/>
      <c r="E498" s="1"/>
      <c r="G498" s="4"/>
      <c r="H498" s="1"/>
    </row>
    <row r="499" spans="1:8" ht="19.5">
      <c r="A499" s="1"/>
      <c r="B499" s="1"/>
      <c r="C499" s="1"/>
      <c r="D499" s="1"/>
      <c r="E499" s="1"/>
      <c r="G499" s="4"/>
      <c r="H499" s="1"/>
    </row>
    <row r="500" spans="1:8" ht="19.5">
      <c r="A500" s="1"/>
      <c r="B500" s="1"/>
      <c r="C500" s="1"/>
      <c r="D500" s="1"/>
      <c r="E500" s="1"/>
      <c r="G500" s="4"/>
      <c r="H500" s="1"/>
    </row>
    <row r="501" spans="1:8" ht="19.5">
      <c r="A501" s="1"/>
      <c r="B501" s="1"/>
      <c r="C501" s="1"/>
      <c r="D501" s="1"/>
      <c r="E501" s="1"/>
      <c r="G501" s="4"/>
      <c r="H501" s="1"/>
    </row>
    <row r="502" spans="1:8" ht="19.5">
      <c r="A502" s="1"/>
      <c r="B502" s="1"/>
      <c r="C502" s="1"/>
      <c r="D502" s="1"/>
      <c r="E502" s="1"/>
      <c r="G502" s="4"/>
      <c r="H502" s="1"/>
    </row>
    <row r="503" spans="1:8" ht="19.5">
      <c r="A503" s="1"/>
      <c r="B503" s="1"/>
      <c r="C503" s="1"/>
      <c r="D503" s="1"/>
      <c r="E503" s="1"/>
      <c r="G503" s="4"/>
      <c r="H503" s="1"/>
    </row>
    <row r="504" spans="1:8" ht="19.5">
      <c r="A504" s="1"/>
      <c r="B504" s="1"/>
      <c r="C504" s="1"/>
      <c r="D504" s="1"/>
      <c r="E504" s="1"/>
      <c r="G504" s="4"/>
      <c r="H504" s="1"/>
    </row>
    <row r="505" spans="1:8" ht="19.5">
      <c r="A505" s="1"/>
      <c r="B505" s="1"/>
      <c r="C505" s="1"/>
      <c r="D505" s="1"/>
      <c r="E505" s="1"/>
      <c r="G505" s="4"/>
      <c r="H505" s="1"/>
    </row>
    <row r="506" spans="1:8" ht="19.5">
      <c r="A506" s="1"/>
      <c r="B506" s="1"/>
      <c r="C506" s="1"/>
      <c r="D506" s="1"/>
      <c r="E506" s="1"/>
      <c r="G506" s="4"/>
      <c r="H506" s="1"/>
    </row>
    <row r="507" spans="1:8" ht="19.5">
      <c r="A507" s="1"/>
      <c r="B507" s="1"/>
      <c r="C507" s="1"/>
      <c r="D507" s="1"/>
      <c r="E507" s="1"/>
      <c r="G507" s="4"/>
      <c r="H507" s="1"/>
    </row>
    <row r="508" spans="1:8" ht="19.5">
      <c r="A508" s="1"/>
      <c r="B508" s="1"/>
      <c r="C508" s="1"/>
      <c r="D508" s="1"/>
      <c r="E508" s="1"/>
      <c r="G508" s="4"/>
      <c r="H508" s="1"/>
    </row>
    <row r="509" spans="1:8" ht="19.5">
      <c r="A509" s="1"/>
      <c r="B509" s="1"/>
      <c r="C509" s="1"/>
      <c r="D509" s="1"/>
      <c r="E509" s="1"/>
      <c r="G509" s="4"/>
      <c r="H509" s="1"/>
    </row>
    <row r="510" spans="1:8" ht="19.5">
      <c r="A510" s="1"/>
      <c r="B510" s="1"/>
      <c r="C510" s="1"/>
      <c r="D510" s="1"/>
      <c r="E510" s="1"/>
      <c r="G510" s="4"/>
      <c r="H510" s="1"/>
    </row>
    <row r="511" spans="1:8" ht="19.5">
      <c r="A511" s="1"/>
      <c r="B511" s="1"/>
      <c r="C511" s="1"/>
      <c r="D511" s="1"/>
      <c r="E511" s="1"/>
      <c r="G511" s="4"/>
      <c r="H511" s="1"/>
    </row>
    <row r="512" spans="1:8" ht="19.5">
      <c r="A512" s="1"/>
      <c r="B512" s="1"/>
      <c r="C512" s="1"/>
      <c r="D512" s="1"/>
      <c r="E512" s="1"/>
      <c r="G512" s="4"/>
      <c r="H512" s="1"/>
    </row>
    <row r="513" spans="1:8" ht="19.5">
      <c r="A513" s="1"/>
      <c r="B513" s="1"/>
      <c r="C513" s="1"/>
      <c r="D513" s="1"/>
      <c r="E513" s="1"/>
      <c r="G513" s="4"/>
      <c r="H513" s="1"/>
    </row>
    <row r="514" spans="1:8" ht="19.5">
      <c r="A514" s="1"/>
      <c r="B514" s="1"/>
      <c r="C514" s="1"/>
      <c r="D514" s="1"/>
      <c r="E514" s="1"/>
      <c r="G514" s="4"/>
      <c r="H514" s="1"/>
    </row>
    <row r="515" spans="1:8" ht="19.5">
      <c r="A515" s="1"/>
      <c r="B515" s="1"/>
      <c r="C515" s="1"/>
      <c r="D515" s="1"/>
      <c r="E515" s="1"/>
      <c r="G515" s="4"/>
      <c r="H515" s="1"/>
    </row>
    <row r="516" spans="1:8" ht="19.5">
      <c r="A516" s="1"/>
      <c r="B516" s="1"/>
      <c r="C516" s="1"/>
      <c r="D516" s="1"/>
      <c r="E516" s="1"/>
      <c r="G516" s="4"/>
      <c r="H516" s="1"/>
    </row>
    <row r="517" spans="1:8" ht="19.5">
      <c r="A517" s="1"/>
      <c r="B517" s="1"/>
      <c r="C517" s="1"/>
      <c r="D517" s="1"/>
      <c r="E517" s="1"/>
      <c r="G517" s="4"/>
      <c r="H517" s="1"/>
    </row>
    <row r="518" spans="1:8" ht="19.5">
      <c r="A518" s="1"/>
      <c r="B518" s="1"/>
      <c r="C518" s="1"/>
      <c r="D518" s="1"/>
      <c r="E518" s="1"/>
      <c r="G518" s="4"/>
      <c r="H518" s="1"/>
    </row>
    <row r="519" spans="1:8" ht="19.5">
      <c r="A519" s="1"/>
      <c r="B519" s="1"/>
      <c r="C519" s="1"/>
      <c r="D519" s="1"/>
      <c r="E519" s="1"/>
      <c r="G519" s="4"/>
      <c r="H519" s="1"/>
    </row>
    <row r="520" spans="1:8" ht="19.5">
      <c r="A520" s="1"/>
      <c r="B520" s="1"/>
      <c r="C520" s="1"/>
      <c r="D520" s="1"/>
      <c r="E520" s="1"/>
      <c r="G520" s="4"/>
      <c r="H520" s="1"/>
    </row>
    <row r="521" spans="1:8" ht="19.5">
      <c r="A521" s="1"/>
      <c r="B521" s="1"/>
      <c r="C521" s="1"/>
      <c r="D521" s="1"/>
      <c r="E521" s="1"/>
      <c r="G521" s="4"/>
      <c r="H521" s="1"/>
    </row>
    <row r="522" spans="1:8" ht="19.5">
      <c r="A522" s="1"/>
      <c r="B522" s="1"/>
      <c r="C522" s="1"/>
      <c r="D522" s="1"/>
      <c r="E522" s="1"/>
      <c r="G522" s="4"/>
      <c r="H522" s="1"/>
    </row>
    <row r="523" spans="1:8" ht="19.5">
      <c r="A523" s="1"/>
      <c r="B523" s="1"/>
      <c r="C523" s="1"/>
      <c r="D523" s="1"/>
      <c r="E523" s="1"/>
      <c r="G523" s="4"/>
      <c r="H523" s="1"/>
    </row>
    <row r="524" spans="1:8" ht="19.5">
      <c r="A524" s="1"/>
      <c r="B524" s="1"/>
      <c r="C524" s="1"/>
      <c r="D524" s="1"/>
      <c r="E524" s="1"/>
      <c r="G524" s="4"/>
      <c r="H524" s="1"/>
    </row>
    <row r="525" spans="1:8" ht="19.5">
      <c r="A525" s="1"/>
      <c r="B525" s="1"/>
      <c r="C525" s="1"/>
      <c r="D525" s="1"/>
      <c r="E525" s="1"/>
      <c r="G525" s="4"/>
      <c r="H525" s="1"/>
    </row>
    <row r="526" spans="1:8" ht="19.5">
      <c r="A526" s="1"/>
      <c r="B526" s="1"/>
      <c r="C526" s="1"/>
      <c r="D526" s="1"/>
      <c r="E526" s="1"/>
      <c r="G526" s="4"/>
      <c r="H526" s="1"/>
    </row>
    <row r="527" spans="1:8" ht="19.5">
      <c r="A527" s="1"/>
      <c r="B527" s="1"/>
      <c r="C527" s="1"/>
      <c r="D527" s="1"/>
      <c r="E527" s="1"/>
      <c r="G527" s="4"/>
      <c r="H527" s="1"/>
    </row>
    <row r="528" spans="1:8" ht="19.5">
      <c r="A528" s="1"/>
      <c r="B528" s="1"/>
      <c r="C528" s="1"/>
      <c r="D528" s="1"/>
      <c r="E528" s="1"/>
      <c r="G528" s="4"/>
      <c r="H528" s="1"/>
    </row>
    <row r="529" spans="1:8" ht="19.5">
      <c r="A529" s="1"/>
      <c r="B529" s="1"/>
      <c r="C529" s="1"/>
      <c r="D529" s="1"/>
      <c r="E529" s="1"/>
      <c r="G529" s="4"/>
      <c r="H529" s="1"/>
    </row>
    <row r="530" spans="1:8" ht="19.5">
      <c r="A530" s="1"/>
      <c r="B530" s="1"/>
      <c r="C530" s="1"/>
      <c r="D530" s="1"/>
      <c r="E530" s="1"/>
      <c r="G530" s="4"/>
      <c r="H530" s="1"/>
    </row>
    <row r="531" spans="1:8" ht="19.5">
      <c r="A531" s="1"/>
      <c r="B531" s="1"/>
      <c r="C531" s="1"/>
      <c r="D531" s="1"/>
      <c r="E531" s="1"/>
      <c r="G531" s="4"/>
      <c r="H531" s="1"/>
    </row>
    <row r="532" spans="1:8" ht="19.5">
      <c r="A532" s="1"/>
      <c r="B532" s="1"/>
      <c r="C532" s="1"/>
      <c r="D532" s="1"/>
      <c r="E532" s="1"/>
      <c r="G532" s="4"/>
      <c r="H532" s="1"/>
    </row>
    <row r="533" spans="1:8" ht="19.5">
      <c r="A533" s="1"/>
      <c r="B533" s="1"/>
      <c r="C533" s="1"/>
      <c r="D533" s="1"/>
      <c r="E533" s="1"/>
      <c r="G533" s="4"/>
      <c r="H533" s="1"/>
    </row>
    <row r="534" spans="1:8" ht="19.5">
      <c r="A534" s="1"/>
      <c r="B534" s="1"/>
      <c r="C534" s="1"/>
      <c r="D534" s="1"/>
      <c r="E534" s="1"/>
      <c r="G534" s="4"/>
      <c r="H534" s="1"/>
    </row>
    <row r="535" spans="1:8" ht="19.5">
      <c r="A535" s="1"/>
      <c r="B535" s="1"/>
      <c r="C535" s="1"/>
      <c r="D535" s="1"/>
      <c r="E535" s="1"/>
      <c r="G535" s="4"/>
      <c r="H535" s="1"/>
    </row>
    <row r="536" spans="1:8" ht="19.5">
      <c r="A536" s="1"/>
      <c r="B536" s="1"/>
      <c r="C536" s="1"/>
      <c r="D536" s="1"/>
      <c r="E536" s="1"/>
      <c r="G536" s="4"/>
      <c r="H536" s="1"/>
    </row>
    <row r="537" spans="1:8" ht="19.5">
      <c r="A537" s="1"/>
      <c r="B537" s="1"/>
      <c r="C537" s="1"/>
      <c r="D537" s="1"/>
      <c r="E537" s="1"/>
      <c r="G537" s="4"/>
      <c r="H537" s="1"/>
    </row>
    <row r="538" spans="1:8" ht="19.5">
      <c r="A538" s="1"/>
      <c r="B538" s="1"/>
      <c r="C538" s="1"/>
      <c r="D538" s="1"/>
      <c r="E538" s="1"/>
      <c r="G538" s="4"/>
      <c r="H538" s="1"/>
    </row>
    <row r="539" spans="1:8" ht="19.5">
      <c r="A539" s="1"/>
      <c r="B539" s="1"/>
      <c r="C539" s="1"/>
      <c r="D539" s="1"/>
      <c r="E539" s="1"/>
      <c r="G539" s="4"/>
      <c r="H539" s="1"/>
    </row>
    <row r="540" spans="1:8" ht="19.5">
      <c r="A540" s="1"/>
      <c r="B540" s="1"/>
      <c r="C540" s="1"/>
      <c r="D540" s="1"/>
      <c r="E540" s="1"/>
      <c r="G540" s="4"/>
      <c r="H540" s="1"/>
    </row>
    <row r="541" spans="1:8" ht="19.5">
      <c r="A541" s="1"/>
      <c r="B541" s="1"/>
      <c r="C541" s="1"/>
      <c r="D541" s="1"/>
      <c r="E541" s="1"/>
      <c r="G541" s="4"/>
      <c r="H541" s="1"/>
    </row>
    <row r="542" spans="1:8" ht="19.5">
      <c r="A542" s="1"/>
      <c r="B542" s="1"/>
      <c r="C542" s="1"/>
      <c r="D542" s="1"/>
      <c r="E542" s="1"/>
      <c r="G542" s="4"/>
      <c r="H542" s="1"/>
    </row>
    <row r="543" spans="1:8" ht="19.5">
      <c r="A543" s="1"/>
      <c r="B543" s="1"/>
      <c r="C543" s="1"/>
      <c r="D543" s="1"/>
      <c r="E543" s="1"/>
      <c r="G543" s="4"/>
      <c r="H543" s="1"/>
    </row>
    <row r="544" spans="1:8" ht="19.5">
      <c r="A544" s="1"/>
      <c r="B544" s="1"/>
      <c r="C544" s="1"/>
      <c r="D544" s="1"/>
      <c r="E544" s="1"/>
      <c r="G544" s="4"/>
      <c r="H544" s="1"/>
    </row>
    <row r="545" spans="1:8" ht="19.5">
      <c r="A545" s="1"/>
      <c r="B545" s="1"/>
      <c r="C545" s="1"/>
      <c r="D545" s="1"/>
      <c r="E545" s="1"/>
      <c r="G545" s="4"/>
      <c r="H545" s="1"/>
    </row>
    <row r="546" spans="1:8" ht="19.5">
      <c r="A546" s="1"/>
      <c r="B546" s="1"/>
      <c r="C546" s="1"/>
      <c r="D546" s="1"/>
      <c r="E546" s="1"/>
      <c r="G546" s="4"/>
      <c r="H546" s="1"/>
    </row>
    <row r="547" spans="1:8" ht="19.5">
      <c r="A547" s="1"/>
      <c r="B547" s="1"/>
      <c r="C547" s="1"/>
      <c r="D547" s="1"/>
      <c r="E547" s="1"/>
      <c r="G547" s="4"/>
      <c r="H547" s="1"/>
    </row>
    <row r="548" spans="1:8" ht="19.5">
      <c r="A548" s="1"/>
      <c r="B548" s="1"/>
      <c r="C548" s="1"/>
      <c r="D548" s="1"/>
      <c r="E548" s="1"/>
      <c r="G548" s="4"/>
      <c r="H548" s="1"/>
    </row>
    <row r="549" spans="1:8" ht="19.5">
      <c r="A549" s="1"/>
      <c r="B549" s="1"/>
      <c r="C549" s="1"/>
      <c r="D549" s="1"/>
      <c r="E549" s="1"/>
      <c r="G549" s="4"/>
      <c r="H549" s="1"/>
    </row>
    <row r="550" spans="1:8" ht="19.5">
      <c r="A550" s="1"/>
      <c r="B550" s="1"/>
      <c r="C550" s="1"/>
      <c r="D550" s="1"/>
      <c r="E550" s="1"/>
      <c r="G550" s="4"/>
      <c r="H550" s="1"/>
    </row>
    <row r="551" spans="1:8" ht="19.5">
      <c r="A551" s="1"/>
      <c r="B551" s="1"/>
      <c r="C551" s="1"/>
      <c r="D551" s="1"/>
      <c r="E551" s="1"/>
      <c r="G551" s="4"/>
      <c r="H551" s="1"/>
    </row>
    <row r="552" spans="1:8" ht="19.5">
      <c r="A552" s="1"/>
      <c r="B552" s="1"/>
      <c r="C552" s="1"/>
      <c r="D552" s="1"/>
      <c r="E552" s="1"/>
      <c r="G552" s="4"/>
      <c r="H552" s="1"/>
    </row>
    <row r="553" spans="1:8" ht="19.5">
      <c r="A553" s="1"/>
      <c r="B553" s="1"/>
      <c r="C553" s="1"/>
      <c r="D553" s="1"/>
      <c r="E553" s="1"/>
      <c r="G553" s="4"/>
      <c r="H553" s="1"/>
    </row>
    <row r="554" spans="1:8" ht="19.5">
      <c r="A554" s="1"/>
      <c r="B554" s="1"/>
      <c r="C554" s="1"/>
      <c r="D554" s="1"/>
      <c r="E554" s="1"/>
      <c r="G554" s="4"/>
      <c r="H554" s="1"/>
    </row>
    <row r="555" spans="1:8" ht="19.5">
      <c r="A555" s="1"/>
      <c r="B555" s="1"/>
      <c r="C555" s="1"/>
      <c r="D555" s="1"/>
      <c r="E555" s="1"/>
      <c r="G555" s="4"/>
      <c r="H555" s="1"/>
    </row>
    <row r="556" spans="1:8" ht="19.5">
      <c r="A556" s="1"/>
      <c r="B556" s="1"/>
      <c r="C556" s="1"/>
      <c r="D556" s="1"/>
      <c r="E556" s="1"/>
      <c r="G556" s="4"/>
      <c r="H556" s="1"/>
    </row>
    <row r="557" spans="1:8" ht="19.5">
      <c r="A557" s="1"/>
      <c r="B557" s="1"/>
      <c r="C557" s="1"/>
      <c r="D557" s="1"/>
      <c r="E557" s="1"/>
      <c r="G557" s="4"/>
      <c r="H557" s="1"/>
    </row>
    <row r="558" spans="1:8" ht="19.5">
      <c r="A558" s="1"/>
      <c r="B558" s="1"/>
      <c r="C558" s="1"/>
      <c r="D558" s="1"/>
      <c r="E558" s="1"/>
      <c r="G558" s="4"/>
      <c r="H558" s="1"/>
    </row>
    <row r="559" spans="1:8" ht="19.5">
      <c r="A559" s="1"/>
      <c r="B559" s="1"/>
      <c r="C559" s="1"/>
      <c r="D559" s="1"/>
      <c r="E559" s="1"/>
      <c r="G559" s="4"/>
      <c r="H559" s="1"/>
    </row>
    <row r="560" spans="1:8" ht="19.5">
      <c r="A560" s="1"/>
      <c r="B560" s="1"/>
      <c r="C560" s="1"/>
      <c r="D560" s="1"/>
      <c r="E560" s="1"/>
      <c r="G560" s="4"/>
      <c r="H560" s="1"/>
    </row>
    <row r="561" spans="1:8" ht="19.5">
      <c r="A561" s="1"/>
      <c r="B561" s="1"/>
      <c r="C561" s="1"/>
      <c r="D561" s="1"/>
      <c r="E561" s="1"/>
      <c r="G561" s="4"/>
      <c r="H561" s="1"/>
    </row>
    <row r="562" spans="1:8" ht="19.5">
      <c r="A562" s="1"/>
      <c r="B562" s="1"/>
      <c r="C562" s="1"/>
      <c r="D562" s="1"/>
      <c r="E562" s="1"/>
      <c r="G562" s="4"/>
      <c r="H562" s="1"/>
    </row>
    <row r="563" spans="1:8" ht="19.5">
      <c r="A563" s="1"/>
      <c r="B563" s="1"/>
      <c r="C563" s="1"/>
      <c r="D563" s="1"/>
      <c r="E563" s="1"/>
      <c r="G563" s="4"/>
      <c r="H563" s="1"/>
    </row>
    <row r="564" spans="1:8" ht="19.5">
      <c r="A564" s="1"/>
      <c r="B564" s="1"/>
      <c r="C564" s="1"/>
      <c r="D564" s="1"/>
      <c r="E564" s="1"/>
      <c r="G564" s="4"/>
      <c r="H564" s="1"/>
    </row>
    <row r="565" spans="1:8" ht="19.5">
      <c r="A565" s="1"/>
      <c r="B565" s="1"/>
      <c r="C565" s="1"/>
      <c r="D565" s="1"/>
      <c r="E565" s="1"/>
      <c r="G565" s="4"/>
      <c r="H565" s="1"/>
    </row>
    <row r="566" spans="1:8" ht="19.5">
      <c r="A566" s="1"/>
      <c r="B566" s="1"/>
      <c r="C566" s="1"/>
      <c r="D566" s="1"/>
      <c r="E566" s="1"/>
      <c r="G566" s="4"/>
      <c r="H566" s="1"/>
    </row>
    <row r="567" spans="1:8" ht="19.5">
      <c r="A567" s="1"/>
      <c r="B567" s="1"/>
      <c r="C567" s="1"/>
      <c r="D567" s="1"/>
      <c r="E567" s="1"/>
      <c r="G567" s="4"/>
      <c r="H567" s="1"/>
    </row>
    <row r="568" spans="1:8" ht="19.5">
      <c r="A568" s="1"/>
      <c r="B568" s="1"/>
      <c r="C568" s="1"/>
      <c r="D568" s="1"/>
      <c r="E568" s="1"/>
      <c r="G568" s="4"/>
      <c r="H568" s="1"/>
    </row>
    <row r="569" spans="1:8" ht="19.5">
      <c r="A569" s="1"/>
      <c r="B569" s="1"/>
      <c r="C569" s="1"/>
      <c r="D569" s="1"/>
      <c r="E569" s="1"/>
      <c r="G569" s="4"/>
      <c r="H569" s="1"/>
    </row>
    <row r="570" spans="1:8" ht="19.5">
      <c r="A570" s="1"/>
      <c r="B570" s="1"/>
      <c r="C570" s="1"/>
      <c r="D570" s="1"/>
      <c r="E570" s="1"/>
      <c r="G570" s="4"/>
      <c r="H570" s="1"/>
    </row>
    <row r="571" spans="1:8" ht="19.5">
      <c r="A571" s="1"/>
      <c r="B571" s="1"/>
      <c r="C571" s="1"/>
      <c r="D571" s="1"/>
      <c r="E571" s="1"/>
      <c r="G571" s="4"/>
      <c r="H571" s="1"/>
    </row>
    <row r="572" spans="1:8" ht="19.5">
      <c r="A572" s="1"/>
      <c r="B572" s="1"/>
      <c r="C572" s="1"/>
      <c r="D572" s="1"/>
      <c r="E572" s="1"/>
      <c r="G572" s="4"/>
      <c r="H572" s="1"/>
    </row>
    <row r="573" spans="1:8" ht="19.5">
      <c r="A573" s="1"/>
      <c r="B573" s="1"/>
      <c r="C573" s="1"/>
      <c r="D573" s="1"/>
      <c r="E573" s="1"/>
      <c r="G573" s="4"/>
      <c r="H573" s="1"/>
    </row>
    <row r="574" spans="1:8" ht="19.5">
      <c r="A574" s="1"/>
      <c r="B574" s="1"/>
      <c r="C574" s="1"/>
      <c r="D574" s="1"/>
      <c r="E574" s="1"/>
      <c r="G574" s="4"/>
      <c r="H574" s="1"/>
    </row>
    <row r="575" spans="1:8" ht="19.5">
      <c r="A575" s="1"/>
      <c r="B575" s="1"/>
      <c r="C575" s="1"/>
      <c r="D575" s="1"/>
      <c r="E575" s="1"/>
      <c r="G575" s="4"/>
      <c r="H575" s="1"/>
    </row>
    <row r="576" spans="1:8" ht="19.5">
      <c r="A576" s="1"/>
      <c r="B576" s="1"/>
      <c r="C576" s="1"/>
      <c r="D576" s="1"/>
      <c r="E576" s="1"/>
      <c r="G576" s="4"/>
      <c r="H576" s="1"/>
    </row>
    <row r="577" spans="1:8" ht="19.5">
      <c r="A577" s="1"/>
      <c r="B577" s="1"/>
      <c r="C577" s="1"/>
      <c r="D577" s="1"/>
      <c r="E577" s="1"/>
      <c r="G577" s="4"/>
      <c r="H577" s="1"/>
    </row>
    <row r="578" spans="1:8" ht="19.5">
      <c r="A578" s="1"/>
      <c r="B578" s="1"/>
      <c r="C578" s="1"/>
      <c r="D578" s="1"/>
      <c r="E578" s="1"/>
      <c r="G578" s="4"/>
      <c r="H578" s="1"/>
    </row>
    <row r="579" spans="1:8" ht="19.5">
      <c r="A579" s="1"/>
      <c r="B579" s="1"/>
      <c r="C579" s="1"/>
      <c r="D579" s="1"/>
      <c r="E579" s="1"/>
      <c r="G579" s="4"/>
      <c r="H579" s="1"/>
    </row>
    <row r="580" spans="1:8" ht="19.5">
      <c r="A580" s="1"/>
      <c r="B580" s="1"/>
      <c r="C580" s="1"/>
      <c r="D580" s="1"/>
      <c r="E580" s="1"/>
      <c r="G580" s="4"/>
      <c r="H580" s="1"/>
    </row>
    <row r="581" spans="1:8" ht="19.5">
      <c r="A581" s="1"/>
      <c r="B581" s="1"/>
      <c r="C581" s="1"/>
      <c r="D581" s="1"/>
      <c r="E581" s="1"/>
      <c r="G581" s="4"/>
      <c r="H581" s="1"/>
    </row>
    <row r="582" spans="1:8" ht="19.5">
      <c r="A582" s="1"/>
      <c r="B582" s="1"/>
      <c r="C582" s="1"/>
      <c r="D582" s="1"/>
      <c r="E582" s="1"/>
      <c r="G582" s="4"/>
      <c r="H582" s="1"/>
    </row>
    <row r="583" spans="1:8" ht="19.5">
      <c r="A583" s="1"/>
      <c r="B583" s="1"/>
      <c r="C583" s="1"/>
      <c r="D583" s="1"/>
      <c r="E583" s="1"/>
      <c r="G583" s="4"/>
      <c r="H583" s="1"/>
    </row>
    <row r="584" spans="1:8" ht="19.5">
      <c r="A584" s="1"/>
      <c r="B584" s="1"/>
      <c r="C584" s="1"/>
      <c r="D584" s="1"/>
      <c r="E584" s="1"/>
      <c r="G584" s="4"/>
      <c r="H584" s="1"/>
    </row>
    <row r="585" spans="1:8" ht="19.5">
      <c r="A585" s="1"/>
      <c r="B585" s="1"/>
      <c r="C585" s="1"/>
      <c r="D585" s="1"/>
      <c r="E585" s="1"/>
      <c r="G585" s="4"/>
      <c r="H585" s="1"/>
    </row>
    <row r="586" spans="1:8" ht="19.5">
      <c r="A586" s="1"/>
      <c r="B586" s="1"/>
      <c r="C586" s="1"/>
      <c r="D586" s="1"/>
      <c r="E586" s="1"/>
      <c r="G586" s="4"/>
      <c r="H586" s="1"/>
    </row>
    <row r="587" spans="1:8" ht="19.5">
      <c r="A587" s="1"/>
      <c r="B587" s="1"/>
      <c r="C587" s="1"/>
      <c r="D587" s="1"/>
      <c r="E587" s="1"/>
      <c r="G587" s="4"/>
      <c r="H587" s="1"/>
    </row>
    <row r="588" spans="1:8" ht="19.5">
      <c r="A588" s="1"/>
      <c r="B588" s="1"/>
      <c r="C588" s="1"/>
      <c r="D588" s="1"/>
      <c r="E588" s="1"/>
      <c r="G588" s="4"/>
      <c r="H588" s="1"/>
    </row>
    <row r="589" spans="1:8" ht="19.5">
      <c r="A589" s="1"/>
      <c r="B589" s="1"/>
      <c r="C589" s="1"/>
      <c r="D589" s="1"/>
      <c r="E589" s="1"/>
      <c r="G589" s="4"/>
      <c r="H589" s="1"/>
    </row>
    <row r="590" spans="1:8" ht="19.5">
      <c r="A590" s="1"/>
      <c r="B590" s="1"/>
      <c r="C590" s="1"/>
      <c r="D590" s="1"/>
      <c r="E590" s="1"/>
      <c r="G590" s="4"/>
      <c r="H590" s="1"/>
    </row>
    <row r="591" spans="1:8" ht="19.5">
      <c r="A591" s="1"/>
      <c r="B591" s="1"/>
      <c r="C591" s="1"/>
      <c r="D591" s="1"/>
      <c r="E591" s="1"/>
      <c r="G591" s="4"/>
      <c r="H591" s="1"/>
    </row>
    <row r="592" spans="1:8" ht="19.5">
      <c r="A592" s="1"/>
      <c r="B592" s="1"/>
      <c r="C592" s="1"/>
      <c r="D592" s="1"/>
      <c r="E592" s="1"/>
      <c r="G592" s="4"/>
      <c r="H592" s="1"/>
    </row>
    <row r="593" spans="1:8" ht="19.5">
      <c r="A593" s="1"/>
      <c r="B593" s="1"/>
      <c r="C593" s="1"/>
      <c r="D593" s="1"/>
      <c r="E593" s="1"/>
      <c r="G593" s="4"/>
      <c r="H593" s="1"/>
    </row>
    <row r="594" spans="1:8" ht="19.5">
      <c r="A594" s="1"/>
      <c r="B594" s="1"/>
      <c r="C594" s="1"/>
      <c r="D594" s="1"/>
      <c r="E594" s="1"/>
      <c r="G594" s="4"/>
      <c r="H594" s="1"/>
    </row>
    <row r="595" spans="1:8" ht="19.5">
      <c r="A595" s="1"/>
      <c r="B595" s="1"/>
      <c r="C595" s="1"/>
      <c r="D595" s="1"/>
      <c r="E595" s="1"/>
      <c r="G595" s="4"/>
      <c r="H595" s="1"/>
    </row>
    <row r="596" spans="1:8" ht="19.5">
      <c r="A596" s="1"/>
      <c r="B596" s="1"/>
      <c r="C596" s="1"/>
      <c r="D596" s="1"/>
      <c r="E596" s="1"/>
      <c r="G596" s="4"/>
      <c r="H596" s="1"/>
    </row>
    <row r="597" spans="1:8" ht="19.5">
      <c r="A597" s="1"/>
      <c r="B597" s="1"/>
      <c r="C597" s="1"/>
      <c r="D597" s="1"/>
      <c r="E597" s="1"/>
      <c r="G597" s="4"/>
      <c r="H597" s="1"/>
    </row>
    <row r="598" spans="1:8" ht="19.5">
      <c r="A598" s="1"/>
      <c r="B598" s="1"/>
      <c r="C598" s="1"/>
      <c r="D598" s="1"/>
      <c r="E598" s="1"/>
      <c r="G598" s="4"/>
      <c r="H598" s="1"/>
    </row>
    <row r="599" spans="1:8" ht="19.5">
      <c r="A599" s="1"/>
      <c r="B599" s="1"/>
      <c r="C599" s="1"/>
      <c r="D599" s="1"/>
      <c r="E599" s="1"/>
      <c r="G599" s="4"/>
      <c r="H599" s="1"/>
    </row>
    <row r="600" spans="1:8" ht="19.5">
      <c r="A600" s="1"/>
      <c r="B600" s="1"/>
      <c r="C600" s="1"/>
      <c r="D600" s="1"/>
      <c r="E600" s="1"/>
      <c r="G600" s="4"/>
      <c r="H600" s="1"/>
    </row>
    <row r="601" spans="1:8" ht="19.5">
      <c r="A601" s="1"/>
      <c r="B601" s="1"/>
      <c r="C601" s="1"/>
      <c r="D601" s="1"/>
      <c r="E601" s="1"/>
      <c r="G601" s="4"/>
      <c r="H601" s="1"/>
    </row>
    <row r="602" spans="1:8" ht="19.5">
      <c r="A602" s="1"/>
      <c r="B602" s="1"/>
      <c r="C602" s="1"/>
      <c r="D602" s="1"/>
      <c r="E602" s="1"/>
      <c r="G602" s="4"/>
      <c r="H602" s="1"/>
    </row>
    <row r="603" spans="1:8" ht="19.5">
      <c r="A603" s="1"/>
      <c r="B603" s="1"/>
      <c r="C603" s="1"/>
      <c r="D603" s="1"/>
      <c r="E603" s="1"/>
      <c r="G603" s="4"/>
      <c r="H603" s="1"/>
    </row>
    <row r="604" spans="1:8" ht="19.5">
      <c r="A604" s="1"/>
      <c r="B604" s="1"/>
      <c r="C604" s="1"/>
      <c r="D604" s="1"/>
      <c r="E604" s="1"/>
      <c r="G604" s="4"/>
      <c r="H604" s="1"/>
    </row>
    <row r="605" spans="1:8" ht="19.5">
      <c r="A605" s="1"/>
      <c r="B605" s="1"/>
      <c r="C605" s="1"/>
      <c r="D605" s="1"/>
      <c r="E605" s="1"/>
      <c r="G605" s="4"/>
      <c r="H605" s="1"/>
    </row>
    <row r="606" spans="1:8" ht="19.5">
      <c r="A606" s="1"/>
      <c r="B606" s="1"/>
      <c r="C606" s="1"/>
      <c r="D606" s="1"/>
      <c r="E606" s="1"/>
      <c r="G606" s="4"/>
      <c r="H606" s="1"/>
    </row>
    <row r="607" spans="1:8" ht="19.5">
      <c r="A607" s="1"/>
      <c r="B607" s="1"/>
      <c r="C607" s="1"/>
      <c r="D607" s="1"/>
      <c r="E607" s="1"/>
      <c r="G607" s="4"/>
      <c r="H607" s="1"/>
    </row>
    <row r="608" spans="1:8" ht="19.5">
      <c r="A608" s="1"/>
      <c r="B608" s="1"/>
      <c r="C608" s="1"/>
      <c r="D608" s="1"/>
      <c r="E608" s="1"/>
      <c r="G608" s="4"/>
      <c r="H608" s="1"/>
    </row>
    <row r="609" spans="1:8" ht="19.5">
      <c r="A609" s="1"/>
      <c r="B609" s="1"/>
      <c r="C609" s="1"/>
      <c r="D609" s="1"/>
      <c r="E609" s="1"/>
      <c r="G609" s="4"/>
      <c r="H609" s="1"/>
    </row>
    <row r="610" spans="1:8" ht="19.5">
      <c r="A610" s="1"/>
      <c r="B610" s="1"/>
      <c r="C610" s="1"/>
      <c r="D610" s="1"/>
      <c r="E610" s="1"/>
      <c r="G610" s="4"/>
      <c r="H610" s="1"/>
    </row>
    <row r="611" spans="1:8" ht="19.5">
      <c r="A611" s="1"/>
      <c r="B611" s="1"/>
      <c r="C611" s="1"/>
      <c r="D611" s="1"/>
      <c r="E611" s="1"/>
      <c r="G611" s="4"/>
      <c r="H611" s="1"/>
    </row>
    <row r="612" spans="1:8" ht="19.5">
      <c r="A612" s="1"/>
      <c r="B612" s="1"/>
      <c r="C612" s="1"/>
      <c r="D612" s="1"/>
      <c r="E612" s="1"/>
      <c r="G612" s="4"/>
      <c r="H612" s="1"/>
    </row>
    <row r="613" spans="1:8" ht="19.5">
      <c r="A613" s="1"/>
      <c r="B613" s="1"/>
      <c r="C613" s="1"/>
      <c r="D613" s="1"/>
      <c r="E613" s="1"/>
      <c r="G613" s="4"/>
      <c r="H613" s="1"/>
    </row>
    <row r="614" spans="1:8" ht="19.5">
      <c r="A614" s="1"/>
      <c r="B614" s="1"/>
      <c r="C614" s="1"/>
      <c r="D614" s="1"/>
      <c r="E614" s="1"/>
      <c r="G614" s="4"/>
      <c r="H614" s="1"/>
    </row>
    <row r="615" spans="1:8" ht="19.5">
      <c r="A615" s="1"/>
      <c r="B615" s="1"/>
      <c r="C615" s="1"/>
      <c r="D615" s="1"/>
      <c r="E615" s="1"/>
      <c r="G615" s="4"/>
      <c r="H615" s="1"/>
    </row>
    <row r="616" spans="1:8" ht="19.5">
      <c r="A616" s="1"/>
      <c r="B616" s="1"/>
      <c r="C616" s="1"/>
      <c r="D616" s="1"/>
      <c r="E616" s="1"/>
      <c r="G616" s="4"/>
      <c r="H616" s="1"/>
    </row>
    <row r="617" spans="1:8" ht="19.5">
      <c r="A617" s="1"/>
      <c r="B617" s="1"/>
      <c r="C617" s="1"/>
      <c r="D617" s="1"/>
      <c r="E617" s="1"/>
      <c r="G617" s="4"/>
      <c r="H617" s="1"/>
    </row>
    <row r="618" spans="1:8" ht="19.5">
      <c r="A618" s="1"/>
      <c r="B618" s="1"/>
      <c r="C618" s="1"/>
      <c r="D618" s="1"/>
      <c r="E618" s="1"/>
      <c r="G618" s="4"/>
      <c r="H618" s="1"/>
    </row>
    <row r="619" spans="1:8" ht="19.5">
      <c r="A619" s="1"/>
      <c r="B619" s="1"/>
      <c r="C619" s="1"/>
      <c r="D619" s="1"/>
      <c r="E619" s="1"/>
      <c r="G619" s="4"/>
      <c r="H619" s="1"/>
    </row>
    <row r="620" spans="1:8" ht="19.5">
      <c r="A620" s="1"/>
      <c r="B620" s="1"/>
      <c r="C620" s="1"/>
      <c r="D620" s="1"/>
      <c r="E620" s="1"/>
      <c r="G620" s="4"/>
      <c r="H620" s="1"/>
    </row>
    <row r="621" spans="1:8" ht="19.5">
      <c r="A621" s="1"/>
      <c r="B621" s="1"/>
      <c r="C621" s="1"/>
      <c r="D621" s="1"/>
      <c r="E621" s="1"/>
      <c r="G621" s="4"/>
      <c r="H621" s="1"/>
    </row>
    <row r="622" spans="1:8" ht="19.5">
      <c r="A622" s="1"/>
      <c r="B622" s="1"/>
      <c r="C622" s="1"/>
      <c r="D622" s="1"/>
      <c r="E622" s="1"/>
      <c r="G622" s="4"/>
      <c r="H622" s="1"/>
    </row>
    <row r="623" spans="1:8" ht="19.5">
      <c r="A623" s="1"/>
      <c r="B623" s="1"/>
      <c r="C623" s="1"/>
      <c r="D623" s="1"/>
      <c r="E623" s="1"/>
      <c r="G623" s="4"/>
      <c r="H623" s="1"/>
    </row>
    <row r="624" spans="1:8" ht="19.5">
      <c r="A624" s="1"/>
      <c r="B624" s="1"/>
      <c r="C624" s="1"/>
      <c r="D624" s="1"/>
      <c r="E624" s="1"/>
      <c r="G624" s="4"/>
      <c r="H624" s="1"/>
    </row>
    <row r="625" spans="1:8" ht="19.5">
      <c r="A625" s="1"/>
      <c r="B625" s="1"/>
      <c r="C625" s="1"/>
      <c r="D625" s="1"/>
      <c r="E625" s="1"/>
      <c r="G625" s="4"/>
      <c r="H625" s="1"/>
    </row>
    <row r="626" spans="1:8" ht="19.5">
      <c r="A626" s="1"/>
      <c r="B626" s="1"/>
      <c r="C626" s="1"/>
      <c r="D626" s="1"/>
      <c r="E626" s="1"/>
      <c r="G626" s="4"/>
      <c r="H626" s="1"/>
    </row>
    <row r="627" spans="1:8" ht="19.5">
      <c r="A627" s="1"/>
      <c r="B627" s="1"/>
      <c r="C627" s="1"/>
      <c r="D627" s="1"/>
      <c r="E627" s="1"/>
      <c r="G627" s="4"/>
      <c r="H627" s="1"/>
    </row>
    <row r="628" spans="1:8" ht="19.5">
      <c r="A628" s="1"/>
      <c r="B628" s="1"/>
      <c r="C628" s="1"/>
      <c r="D628" s="1"/>
      <c r="E628" s="1"/>
      <c r="G628" s="4"/>
      <c r="H628" s="1"/>
    </row>
    <row r="629" spans="1:8" ht="19.5">
      <c r="A629" s="1"/>
      <c r="B629" s="1"/>
      <c r="C629" s="1"/>
      <c r="D629" s="1"/>
      <c r="E629" s="1"/>
      <c r="G629" s="4"/>
      <c r="H629" s="1"/>
    </row>
    <row r="630" spans="1:8" ht="19.5">
      <c r="A630" s="1"/>
      <c r="B630" s="1"/>
      <c r="C630" s="1"/>
      <c r="D630" s="1"/>
      <c r="E630" s="1"/>
      <c r="G630" s="4"/>
      <c r="H630" s="1"/>
    </row>
    <row r="631" spans="1:8" ht="19.5">
      <c r="A631" s="1"/>
      <c r="B631" s="1"/>
      <c r="C631" s="1"/>
      <c r="D631" s="1"/>
      <c r="E631" s="1"/>
      <c r="G631" s="4"/>
      <c r="H631" s="1"/>
    </row>
    <row r="632" spans="1:8" ht="19.5">
      <c r="A632" s="1"/>
      <c r="B632" s="1"/>
      <c r="C632" s="1"/>
      <c r="D632" s="1"/>
      <c r="E632" s="1"/>
      <c r="G632" s="4"/>
      <c r="H632" s="1"/>
    </row>
    <row r="633" spans="1:8" ht="19.5">
      <c r="A633" s="1"/>
      <c r="B633" s="1"/>
      <c r="C633" s="1"/>
      <c r="D633" s="1"/>
      <c r="E633" s="1"/>
      <c r="G633" s="4"/>
      <c r="H633" s="1"/>
    </row>
    <row r="634" spans="1:8" ht="19.5">
      <c r="A634" s="1"/>
      <c r="B634" s="1"/>
      <c r="C634" s="1"/>
      <c r="D634" s="1"/>
      <c r="E634" s="1"/>
      <c r="G634" s="4"/>
      <c r="H634" s="1"/>
    </row>
    <row r="635" spans="1:8" ht="19.5">
      <c r="A635" s="1"/>
      <c r="B635" s="1"/>
      <c r="C635" s="1"/>
      <c r="D635" s="1"/>
      <c r="E635" s="1"/>
      <c r="G635" s="4"/>
      <c r="H635" s="1"/>
    </row>
    <row r="636" spans="1:8" ht="19.5">
      <c r="A636" s="1"/>
      <c r="B636" s="1"/>
      <c r="C636" s="1"/>
      <c r="D636" s="1"/>
      <c r="E636" s="1"/>
      <c r="G636" s="4"/>
      <c r="H636" s="1"/>
    </row>
    <row r="637" spans="1:8" ht="19.5">
      <c r="A637" s="1"/>
      <c r="B637" s="1"/>
      <c r="C637" s="1"/>
      <c r="D637" s="1"/>
      <c r="E637" s="1"/>
      <c r="G637" s="4"/>
      <c r="H637" s="1"/>
    </row>
    <row r="638" spans="1:8" ht="19.5">
      <c r="A638" s="1"/>
      <c r="B638" s="1"/>
      <c r="C638" s="1"/>
      <c r="D638" s="1"/>
      <c r="E638" s="1"/>
      <c r="G638" s="4"/>
      <c r="H638" s="1"/>
    </row>
    <row r="639" spans="1:8" ht="19.5">
      <c r="A639" s="1"/>
      <c r="B639" s="1"/>
      <c r="C639" s="1"/>
      <c r="D639" s="1"/>
      <c r="E639" s="1"/>
      <c r="G639" s="4"/>
      <c r="H639" s="1"/>
    </row>
    <row r="640" spans="1:8" ht="19.5">
      <c r="A640" s="1"/>
      <c r="B640" s="1"/>
      <c r="C640" s="1"/>
      <c r="D640" s="1"/>
      <c r="E640" s="1"/>
      <c r="G640" s="4"/>
      <c r="H640" s="1"/>
    </row>
    <row r="641" spans="1:8" ht="19.5">
      <c r="A641" s="1"/>
      <c r="B641" s="1"/>
      <c r="C641" s="1"/>
      <c r="D641" s="1"/>
      <c r="E641" s="1"/>
      <c r="G641" s="4"/>
      <c r="H641" s="1"/>
    </row>
    <row r="642" spans="1:8" ht="19.5">
      <c r="A642" s="1"/>
      <c r="B642" s="1"/>
      <c r="C642" s="1"/>
      <c r="D642" s="1"/>
      <c r="E642" s="1"/>
      <c r="G642" s="4"/>
      <c r="H642" s="1"/>
    </row>
    <row r="643" spans="1:8" ht="19.5">
      <c r="A643" s="1"/>
      <c r="B643" s="1"/>
      <c r="C643" s="1"/>
      <c r="D643" s="1"/>
      <c r="E643" s="1"/>
      <c r="G643" s="4"/>
      <c r="H643" s="1"/>
    </row>
    <row r="644" spans="1:8" ht="19.5">
      <c r="A644" s="1"/>
      <c r="B644" s="1"/>
      <c r="C644" s="1"/>
      <c r="D644" s="1"/>
      <c r="E644" s="1"/>
      <c r="G644" s="4"/>
      <c r="H644" s="1"/>
    </row>
    <row r="645" spans="1:8" ht="19.5">
      <c r="A645" s="1"/>
      <c r="B645" s="1"/>
      <c r="C645" s="1"/>
      <c r="D645" s="1"/>
      <c r="E645" s="1"/>
      <c r="G645" s="4"/>
      <c r="H645" s="1"/>
    </row>
    <row r="646" spans="1:8" ht="19.5">
      <c r="A646" s="1"/>
      <c r="B646" s="1"/>
      <c r="C646" s="1"/>
      <c r="D646" s="1"/>
      <c r="E646" s="1"/>
      <c r="G646" s="4"/>
      <c r="H646" s="1"/>
    </row>
    <row r="647" spans="1:8" ht="19.5">
      <c r="A647" s="1"/>
      <c r="B647" s="1"/>
      <c r="C647" s="1"/>
      <c r="D647" s="1"/>
      <c r="E647" s="1"/>
      <c r="G647" s="4"/>
      <c r="H647" s="1"/>
    </row>
    <row r="648" spans="1:8" ht="19.5">
      <c r="A648" s="1"/>
      <c r="B648" s="1"/>
      <c r="C648" s="1"/>
      <c r="D648" s="1"/>
      <c r="E648" s="1"/>
      <c r="G648" s="4"/>
      <c r="H648" s="1"/>
    </row>
    <row r="649" spans="1:8" ht="19.5">
      <c r="A649" s="1"/>
      <c r="B649" s="1"/>
      <c r="C649" s="1"/>
      <c r="D649" s="1"/>
      <c r="E649" s="1"/>
      <c r="G649" s="4"/>
      <c r="H649" s="1"/>
    </row>
    <row r="650" spans="1:8" ht="19.5">
      <c r="A650" s="1"/>
      <c r="B650" s="1"/>
      <c r="C650" s="1"/>
      <c r="D650" s="1"/>
      <c r="E650" s="1"/>
      <c r="G650" s="4"/>
      <c r="H650" s="1"/>
    </row>
    <row r="651" spans="1:8" ht="19.5">
      <c r="A651" s="1"/>
      <c r="B651" s="1"/>
      <c r="C651" s="1"/>
      <c r="D651" s="1"/>
      <c r="E651" s="1"/>
      <c r="G651" s="4"/>
      <c r="H651" s="1"/>
    </row>
    <row r="652" spans="1:8" ht="19.5">
      <c r="A652" s="1"/>
      <c r="B652" s="1"/>
      <c r="C652" s="1"/>
      <c r="D652" s="1"/>
      <c r="E652" s="1"/>
      <c r="G652" s="4"/>
      <c r="H652" s="1"/>
    </row>
    <row r="653" spans="1:8" ht="19.5">
      <c r="A653" s="1"/>
      <c r="B653" s="1"/>
      <c r="C653" s="1"/>
      <c r="D653" s="1"/>
      <c r="E653" s="1"/>
      <c r="G653" s="4"/>
      <c r="H653" s="1"/>
    </row>
    <row r="654" spans="1:8" ht="19.5">
      <c r="A654" s="1"/>
      <c r="B654" s="1"/>
      <c r="C654" s="1"/>
      <c r="D654" s="1"/>
      <c r="E654" s="1"/>
      <c r="G654" s="4"/>
      <c r="H654" s="1"/>
    </row>
    <row r="655" spans="1:8" ht="19.5">
      <c r="A655" s="1"/>
      <c r="B655" s="1"/>
      <c r="C655" s="1"/>
      <c r="D655" s="1"/>
      <c r="E655" s="1"/>
      <c r="G655" s="4"/>
      <c r="H655" s="1"/>
    </row>
    <row r="656" spans="1:8" ht="19.5">
      <c r="A656" s="1"/>
      <c r="B656" s="1"/>
      <c r="C656" s="1"/>
      <c r="D656" s="1"/>
      <c r="E656" s="1"/>
      <c r="G656" s="4"/>
      <c r="H656" s="1"/>
    </row>
    <row r="657" spans="1:8" ht="19.5">
      <c r="A657" s="1"/>
      <c r="B657" s="1"/>
      <c r="C657" s="1"/>
      <c r="D657" s="1"/>
      <c r="E657" s="1"/>
      <c r="G657" s="4"/>
      <c r="H657" s="1"/>
    </row>
    <row r="658" spans="1:8" ht="19.5">
      <c r="A658" s="1"/>
      <c r="B658" s="1"/>
      <c r="C658" s="1"/>
      <c r="D658" s="1"/>
      <c r="E658" s="1"/>
      <c r="G658" s="4"/>
      <c r="H658" s="1"/>
    </row>
    <row r="659" spans="1:8" ht="19.5">
      <c r="A659" s="1"/>
      <c r="B659" s="1"/>
      <c r="C659" s="1"/>
      <c r="D659" s="1"/>
      <c r="E659" s="1"/>
      <c r="G659" s="4"/>
      <c r="H659" s="1"/>
    </row>
    <row r="660" spans="1:8" ht="19.5">
      <c r="A660" s="1"/>
      <c r="B660" s="1"/>
      <c r="C660" s="1"/>
      <c r="D660" s="1"/>
      <c r="E660" s="1"/>
      <c r="G660" s="4"/>
      <c r="H660" s="1"/>
    </row>
    <row r="661" spans="1:8" ht="19.5">
      <c r="A661" s="1"/>
      <c r="B661" s="1"/>
      <c r="C661" s="1"/>
      <c r="D661" s="1"/>
      <c r="E661" s="1"/>
      <c r="G661" s="4"/>
      <c r="H661" s="1"/>
    </row>
    <row r="662" spans="1:8" ht="19.5">
      <c r="A662" s="1"/>
      <c r="B662" s="1"/>
      <c r="C662" s="1"/>
      <c r="D662" s="1"/>
      <c r="E662" s="1"/>
      <c r="G662" s="4"/>
      <c r="H662" s="1"/>
    </row>
    <row r="663" spans="1:8" ht="19.5">
      <c r="A663" s="1"/>
      <c r="B663" s="1"/>
      <c r="C663" s="1"/>
      <c r="D663" s="1"/>
      <c r="E663" s="1"/>
      <c r="G663" s="4"/>
      <c r="H663" s="1"/>
    </row>
    <row r="664" spans="1:8" ht="19.5">
      <c r="A664" s="1"/>
      <c r="B664" s="1"/>
      <c r="C664" s="1"/>
      <c r="D664" s="1"/>
      <c r="E664" s="1"/>
      <c r="G664" s="4"/>
      <c r="H664" s="1"/>
    </row>
    <row r="665" spans="1:8" ht="19.5">
      <c r="A665" s="1"/>
      <c r="B665" s="1"/>
      <c r="C665" s="1"/>
      <c r="D665" s="1"/>
      <c r="E665" s="1"/>
      <c r="G665" s="4"/>
      <c r="H665" s="1"/>
    </row>
    <row r="666" spans="1:8" ht="19.5">
      <c r="A666" s="1"/>
      <c r="B666" s="1"/>
      <c r="C666" s="1"/>
      <c r="D666" s="1"/>
      <c r="E666" s="1"/>
      <c r="G666" s="4"/>
      <c r="H666" s="1"/>
    </row>
    <row r="667" spans="1:8" ht="19.5">
      <c r="A667" s="1"/>
      <c r="B667" s="1"/>
      <c r="C667" s="1"/>
      <c r="D667" s="1"/>
      <c r="E667" s="1"/>
      <c r="G667" s="4"/>
      <c r="H667" s="1"/>
    </row>
    <row r="668" spans="1:8" ht="19.5">
      <c r="A668" s="1"/>
      <c r="B668" s="1"/>
      <c r="C668" s="1"/>
      <c r="D668" s="1"/>
      <c r="E668" s="1"/>
      <c r="G668" s="4"/>
      <c r="H668" s="1"/>
    </row>
    <row r="669" spans="1:8" ht="19.5">
      <c r="A669" s="1"/>
      <c r="B669" s="1"/>
      <c r="C669" s="1"/>
      <c r="D669" s="1"/>
      <c r="E669" s="1"/>
      <c r="G669" s="4"/>
      <c r="H669" s="1"/>
    </row>
    <row r="670" spans="1:8" ht="19.5">
      <c r="A670" s="1"/>
      <c r="B670" s="1"/>
      <c r="C670" s="1"/>
      <c r="D670" s="1"/>
      <c r="E670" s="1"/>
      <c r="G670" s="4"/>
      <c r="H670" s="1"/>
    </row>
    <row r="671" spans="1:8" ht="19.5">
      <c r="A671" s="1"/>
      <c r="B671" s="1"/>
      <c r="C671" s="1"/>
      <c r="D671" s="1"/>
      <c r="E671" s="1"/>
      <c r="G671" s="4"/>
      <c r="H671" s="1"/>
    </row>
    <row r="672" spans="1:8" ht="19.5">
      <c r="A672" s="1"/>
      <c r="B672" s="1"/>
      <c r="C672" s="1"/>
      <c r="D672" s="1"/>
      <c r="E672" s="1"/>
      <c r="G672" s="4"/>
      <c r="H672" s="1"/>
    </row>
    <row r="673" spans="1:8" ht="19.5">
      <c r="A673" s="1"/>
      <c r="B673" s="1"/>
      <c r="C673" s="1"/>
      <c r="D673" s="1"/>
      <c r="E673" s="1"/>
      <c r="G673" s="4"/>
      <c r="H673" s="1"/>
    </row>
    <row r="674" spans="1:8" ht="19.5">
      <c r="A674" s="1"/>
      <c r="B674" s="1"/>
      <c r="C674" s="1"/>
      <c r="D674" s="1"/>
      <c r="E674" s="1"/>
      <c r="G674" s="4"/>
      <c r="H674" s="1"/>
    </row>
    <row r="675" spans="1:8" ht="19.5">
      <c r="A675" s="1"/>
      <c r="B675" s="1"/>
      <c r="C675" s="1"/>
      <c r="D675" s="1"/>
      <c r="E675" s="1"/>
      <c r="G675" s="4"/>
      <c r="H675" s="1"/>
    </row>
    <row r="676" spans="1:8" ht="19.5">
      <c r="A676" s="1"/>
      <c r="B676" s="1"/>
      <c r="C676" s="1"/>
      <c r="D676" s="1"/>
      <c r="E676" s="1"/>
      <c r="G676" s="4"/>
      <c r="H676" s="1"/>
    </row>
    <row r="677" spans="1:8" ht="19.5">
      <c r="A677" s="1"/>
      <c r="B677" s="1"/>
      <c r="C677" s="1"/>
      <c r="D677" s="1"/>
      <c r="E677" s="1"/>
      <c r="G677" s="4"/>
      <c r="H677" s="1"/>
    </row>
    <row r="678" spans="1:8" ht="19.5">
      <c r="A678" s="1"/>
      <c r="B678" s="1"/>
      <c r="C678" s="1"/>
      <c r="D678" s="1"/>
      <c r="E678" s="1"/>
      <c r="G678" s="4"/>
      <c r="H678" s="1"/>
    </row>
    <row r="679" spans="1:8" ht="19.5">
      <c r="A679" s="1"/>
      <c r="B679" s="1"/>
      <c r="C679" s="1"/>
      <c r="D679" s="1"/>
      <c r="E679" s="1"/>
      <c r="G679" s="4"/>
      <c r="H679" s="1"/>
    </row>
    <row r="680" spans="1:8" ht="19.5">
      <c r="A680" s="1"/>
      <c r="B680" s="1"/>
      <c r="C680" s="1"/>
      <c r="D680" s="1"/>
      <c r="E680" s="1"/>
      <c r="G680" s="4"/>
      <c r="H680" s="1"/>
    </row>
    <row r="681" spans="1:8" ht="19.5">
      <c r="A681" s="1"/>
      <c r="B681" s="1"/>
      <c r="C681" s="1"/>
      <c r="D681" s="1"/>
      <c r="E681" s="1"/>
      <c r="G681" s="4"/>
      <c r="H681" s="1"/>
    </row>
    <row r="682" spans="1:8" ht="19.5">
      <c r="A682" s="1"/>
      <c r="B682" s="1"/>
      <c r="C682" s="1"/>
      <c r="D682" s="1"/>
      <c r="E682" s="1"/>
      <c r="G682" s="4"/>
      <c r="H682" s="1"/>
    </row>
    <row r="683" spans="1:8" ht="19.5">
      <c r="A683" s="1"/>
      <c r="B683" s="1"/>
      <c r="C683" s="1"/>
      <c r="D683" s="1"/>
      <c r="E683" s="1"/>
      <c r="G683" s="4"/>
      <c r="H683" s="1"/>
    </row>
    <row r="684" spans="1:8" ht="19.5">
      <c r="A684" s="1"/>
      <c r="B684" s="1"/>
      <c r="C684" s="1"/>
      <c r="D684" s="1"/>
      <c r="E684" s="1"/>
      <c r="G684" s="4"/>
      <c r="H684" s="1"/>
    </row>
    <row r="685" spans="1:8" ht="19.5">
      <c r="A685" s="1"/>
      <c r="B685" s="1"/>
      <c r="C685" s="1"/>
      <c r="D685" s="1"/>
      <c r="E685" s="1"/>
      <c r="G685" s="4"/>
      <c r="H685" s="1"/>
    </row>
    <row r="686" spans="1:8" ht="19.5">
      <c r="A686" s="1"/>
      <c r="B686" s="1"/>
      <c r="C686" s="1"/>
      <c r="D686" s="1"/>
      <c r="E686" s="1"/>
      <c r="G686" s="4"/>
      <c r="H686" s="1"/>
    </row>
    <row r="687" spans="1:8" ht="19.5">
      <c r="A687" s="1"/>
      <c r="B687" s="1"/>
      <c r="C687" s="1"/>
      <c r="D687" s="1"/>
      <c r="E687" s="1"/>
      <c r="G687" s="4"/>
      <c r="H687" s="1"/>
    </row>
    <row r="688" spans="1:8" ht="19.5">
      <c r="A688" s="1"/>
      <c r="B688" s="1"/>
      <c r="C688" s="1"/>
      <c r="D688" s="1"/>
      <c r="E688" s="1"/>
      <c r="G688" s="4"/>
      <c r="H688" s="1"/>
    </row>
    <row r="689" spans="1:8" ht="19.5">
      <c r="A689" s="1"/>
      <c r="B689" s="1"/>
      <c r="C689" s="1"/>
      <c r="D689" s="1"/>
      <c r="E689" s="1"/>
      <c r="G689" s="4"/>
      <c r="H689" s="1"/>
    </row>
    <row r="690" spans="1:8" ht="19.5">
      <c r="A690" s="1"/>
      <c r="B690" s="1"/>
      <c r="C690" s="1"/>
      <c r="D690" s="1"/>
      <c r="E690" s="1"/>
      <c r="G690" s="4"/>
      <c r="H690" s="1"/>
    </row>
    <row r="691" spans="1:8" ht="19.5">
      <c r="A691" s="1"/>
      <c r="B691" s="1"/>
      <c r="C691" s="1"/>
      <c r="D691" s="1"/>
      <c r="E691" s="1"/>
      <c r="G691" s="4"/>
      <c r="H691" s="1"/>
    </row>
    <row r="692" spans="1:8" ht="19.5">
      <c r="A692" s="1"/>
      <c r="B692" s="1"/>
      <c r="C692" s="1"/>
      <c r="D692" s="1"/>
      <c r="E692" s="1"/>
      <c r="G692" s="4"/>
      <c r="H692" s="1"/>
    </row>
    <row r="693" spans="1:8" ht="19.5">
      <c r="A693" s="1"/>
      <c r="B693" s="1"/>
      <c r="C693" s="1"/>
      <c r="D693" s="1"/>
      <c r="E693" s="1"/>
      <c r="G693" s="4"/>
      <c r="H693" s="1"/>
    </row>
    <row r="694" spans="1:8" ht="19.5">
      <c r="A694" s="1"/>
      <c r="B694" s="1"/>
      <c r="C694" s="1"/>
      <c r="D694" s="1"/>
      <c r="E694" s="1"/>
      <c r="G694" s="4"/>
      <c r="H694" s="1"/>
    </row>
    <row r="695" spans="1:8" ht="19.5">
      <c r="A695" s="1"/>
      <c r="B695" s="1"/>
      <c r="C695" s="1"/>
      <c r="D695" s="1"/>
      <c r="E695" s="1"/>
      <c r="G695" s="4"/>
      <c r="H695" s="1"/>
    </row>
    <row r="696" spans="1:8" ht="19.5">
      <c r="A696" s="1"/>
      <c r="B696" s="1"/>
      <c r="C696" s="1"/>
      <c r="D696" s="1"/>
      <c r="E696" s="1"/>
      <c r="G696" s="4"/>
      <c r="H696" s="1"/>
    </row>
    <row r="697" spans="1:8" ht="19.5">
      <c r="A697" s="1"/>
      <c r="B697" s="1"/>
      <c r="C697" s="1"/>
      <c r="D697" s="1"/>
      <c r="E697" s="1"/>
      <c r="G697" s="4"/>
      <c r="H697" s="1"/>
    </row>
    <row r="698" spans="1:8" ht="19.5">
      <c r="A698" s="1"/>
      <c r="B698" s="1"/>
      <c r="C698" s="1"/>
      <c r="D698" s="1"/>
      <c r="E698" s="1"/>
      <c r="G698" s="4"/>
      <c r="H698" s="1"/>
    </row>
    <row r="699" spans="1:8" ht="19.5">
      <c r="A699" s="1"/>
      <c r="B699" s="1"/>
      <c r="C699" s="1"/>
      <c r="D699" s="1"/>
      <c r="E699" s="1"/>
      <c r="G699" s="4"/>
      <c r="H699" s="1"/>
    </row>
    <row r="700" spans="1:8" ht="19.5">
      <c r="A700" s="1"/>
      <c r="B700" s="1"/>
      <c r="C700" s="1"/>
      <c r="D700" s="1"/>
      <c r="E700" s="1"/>
      <c r="G700" s="4"/>
      <c r="H700" s="1"/>
    </row>
    <row r="701" spans="1:8" ht="19.5">
      <c r="A701" s="1"/>
      <c r="B701" s="1"/>
      <c r="C701" s="1"/>
      <c r="D701" s="1"/>
      <c r="E701" s="1"/>
      <c r="G701" s="4"/>
      <c r="H701" s="1"/>
    </row>
    <row r="702" spans="1:8" ht="19.5">
      <c r="A702" s="1"/>
      <c r="B702" s="1"/>
      <c r="C702" s="1"/>
      <c r="D702" s="1"/>
      <c r="E702" s="1"/>
      <c r="G702" s="4"/>
      <c r="H702" s="1"/>
    </row>
    <row r="703" spans="1:8" ht="19.5">
      <c r="A703" s="1"/>
      <c r="B703" s="1"/>
      <c r="C703" s="1"/>
      <c r="D703" s="1"/>
      <c r="E703" s="1"/>
      <c r="G703" s="4"/>
      <c r="H703" s="1"/>
    </row>
    <row r="704" spans="1:8" ht="19.5">
      <c r="A704" s="1"/>
      <c r="B704" s="1"/>
      <c r="C704" s="1"/>
      <c r="D704" s="1"/>
      <c r="E704" s="1"/>
      <c r="G704" s="4"/>
      <c r="H704" s="1"/>
    </row>
    <row r="705" spans="1:8" ht="19.5">
      <c r="A705" s="1"/>
      <c r="B705" s="1"/>
      <c r="C705" s="1"/>
      <c r="D705" s="1"/>
      <c r="E705" s="1"/>
      <c r="G705" s="4"/>
      <c r="H705" s="1"/>
    </row>
    <row r="706" spans="1:8" ht="19.5">
      <c r="A706" s="1"/>
      <c r="B706" s="1"/>
      <c r="C706" s="1"/>
      <c r="D706" s="1"/>
      <c r="E706" s="1"/>
      <c r="G706" s="4"/>
      <c r="H706" s="1"/>
    </row>
    <row r="707" spans="1:8" ht="19.5">
      <c r="A707" s="1"/>
      <c r="B707" s="1"/>
      <c r="C707" s="1"/>
      <c r="D707" s="1"/>
      <c r="E707" s="1"/>
      <c r="G707" s="4"/>
      <c r="H707" s="1"/>
    </row>
    <row r="708" spans="1:8" ht="19.5">
      <c r="A708" s="1"/>
      <c r="B708" s="1"/>
      <c r="C708" s="1"/>
      <c r="D708" s="1"/>
      <c r="E708" s="1"/>
      <c r="G708" s="4"/>
      <c r="H708" s="1"/>
    </row>
    <row r="709" spans="1:8" ht="19.5">
      <c r="A709" s="1"/>
      <c r="B709" s="1"/>
      <c r="C709" s="1"/>
      <c r="D709" s="1"/>
      <c r="E709" s="1"/>
      <c r="G709" s="4"/>
      <c r="H709" s="1"/>
    </row>
    <row r="710" spans="1:8" ht="19.5">
      <c r="A710" s="1"/>
      <c r="B710" s="1"/>
      <c r="C710" s="1"/>
      <c r="D710" s="1"/>
      <c r="E710" s="1"/>
      <c r="G710" s="4"/>
      <c r="H710" s="1"/>
    </row>
    <row r="711" spans="1:8" ht="19.5">
      <c r="A711" s="1"/>
      <c r="B711" s="1"/>
      <c r="C711" s="1"/>
      <c r="D711" s="1"/>
      <c r="E711" s="1"/>
      <c r="G711" s="4"/>
      <c r="H711" s="1"/>
    </row>
    <row r="712" spans="1:8" ht="19.5">
      <c r="A712" s="1"/>
      <c r="B712" s="1"/>
      <c r="C712" s="1"/>
      <c r="D712" s="1"/>
      <c r="E712" s="1"/>
      <c r="G712" s="4"/>
      <c r="H712" s="1"/>
    </row>
    <row r="713" spans="1:8" ht="19.5">
      <c r="A713" s="1"/>
      <c r="B713" s="1"/>
      <c r="C713" s="1"/>
      <c r="D713" s="1"/>
      <c r="E713" s="1"/>
      <c r="G713" s="4"/>
      <c r="H713" s="1"/>
    </row>
    <row r="714" spans="1:8" ht="19.5">
      <c r="A714" s="1"/>
      <c r="B714" s="1"/>
      <c r="C714" s="1"/>
      <c r="D714" s="1"/>
      <c r="E714" s="1"/>
      <c r="G714" s="4"/>
      <c r="H714" s="1"/>
    </row>
    <row r="715" spans="1:8" ht="19.5">
      <c r="A715" s="1"/>
      <c r="B715" s="1"/>
      <c r="C715" s="1"/>
      <c r="D715" s="1"/>
      <c r="E715" s="1"/>
      <c r="G715" s="4"/>
      <c r="H715" s="1"/>
    </row>
    <row r="716" spans="1:8" ht="19.5">
      <c r="A716" s="1"/>
      <c r="B716" s="1"/>
      <c r="C716" s="1"/>
      <c r="D716" s="1"/>
      <c r="E716" s="1"/>
      <c r="G716" s="4"/>
      <c r="H716" s="1"/>
    </row>
    <row r="717" spans="1:8" ht="19.5">
      <c r="A717" s="1"/>
      <c r="B717" s="1"/>
      <c r="C717" s="1"/>
      <c r="D717" s="1"/>
      <c r="E717" s="1"/>
      <c r="G717" s="4"/>
      <c r="H717" s="1"/>
    </row>
    <row r="718" spans="1:8" ht="19.5">
      <c r="A718" s="1"/>
      <c r="B718" s="1"/>
      <c r="C718" s="1"/>
      <c r="D718" s="1"/>
      <c r="E718" s="1"/>
      <c r="G718" s="4"/>
      <c r="H718" s="1"/>
    </row>
    <row r="719" spans="1:8" ht="19.5">
      <c r="A719" s="1"/>
      <c r="B719" s="1"/>
      <c r="C719" s="1"/>
      <c r="D719" s="1"/>
      <c r="E719" s="1"/>
      <c r="G719" s="4"/>
      <c r="H719" s="1"/>
    </row>
    <row r="720" spans="1:8" ht="19.5">
      <c r="A720" s="1"/>
      <c r="B720" s="1"/>
      <c r="C720" s="1"/>
      <c r="D720" s="1"/>
      <c r="E720" s="1"/>
      <c r="G720" s="4"/>
      <c r="H720" s="1"/>
    </row>
    <row r="721" spans="1:8" ht="19.5">
      <c r="A721" s="1"/>
      <c r="B721" s="1"/>
      <c r="C721" s="1"/>
      <c r="D721" s="1"/>
      <c r="E721" s="1"/>
      <c r="G721" s="4"/>
      <c r="H721" s="1"/>
    </row>
    <row r="722" spans="1:8" ht="19.5">
      <c r="A722" s="1"/>
      <c r="B722" s="1"/>
      <c r="C722" s="1"/>
      <c r="D722" s="1"/>
      <c r="E722" s="1"/>
      <c r="G722" s="4"/>
      <c r="H722" s="1"/>
    </row>
    <row r="723" spans="1:8" ht="19.5">
      <c r="A723" s="1"/>
      <c r="B723" s="1"/>
      <c r="C723" s="1"/>
      <c r="D723" s="1"/>
      <c r="E723" s="1"/>
      <c r="G723" s="4"/>
      <c r="H723" s="1"/>
    </row>
    <row r="724" spans="1:8" ht="19.5">
      <c r="A724" s="1"/>
      <c r="B724" s="1"/>
      <c r="C724" s="1"/>
      <c r="D724" s="1"/>
      <c r="E724" s="1"/>
      <c r="G724" s="4"/>
      <c r="H724" s="1"/>
    </row>
    <row r="725" spans="1:8" ht="19.5">
      <c r="A725" s="1"/>
      <c r="B725" s="1"/>
      <c r="C725" s="1"/>
      <c r="D725" s="1"/>
      <c r="E725" s="1"/>
      <c r="G725" s="4"/>
      <c r="H725" s="1"/>
    </row>
    <row r="726" spans="1:8" ht="19.5">
      <c r="A726" s="1"/>
      <c r="B726" s="1"/>
      <c r="C726" s="1"/>
      <c r="D726" s="1"/>
      <c r="E726" s="1"/>
      <c r="G726" s="4"/>
      <c r="H726" s="1"/>
    </row>
    <row r="727" spans="1:8" ht="19.5">
      <c r="A727" s="1"/>
      <c r="B727" s="1"/>
      <c r="C727" s="1"/>
      <c r="D727" s="1"/>
      <c r="E727" s="1"/>
      <c r="G727" s="4"/>
      <c r="H727" s="1"/>
    </row>
    <row r="728" spans="1:8" ht="19.5">
      <c r="A728" s="1"/>
      <c r="B728" s="1"/>
      <c r="C728" s="1"/>
      <c r="D728" s="1"/>
      <c r="E728" s="1"/>
      <c r="G728" s="4"/>
      <c r="H728" s="1"/>
    </row>
    <row r="729" spans="1:8" ht="19.5">
      <c r="A729" s="1"/>
      <c r="B729" s="1"/>
      <c r="C729" s="1"/>
      <c r="D729" s="1"/>
      <c r="E729" s="1"/>
      <c r="G729" s="4"/>
      <c r="H729" s="1"/>
    </row>
    <row r="730" spans="1:8" ht="19.5">
      <c r="A730" s="1"/>
      <c r="B730" s="1"/>
      <c r="C730" s="1"/>
      <c r="D730" s="1"/>
      <c r="E730" s="1"/>
      <c r="G730" s="4"/>
      <c r="H730" s="1"/>
    </row>
    <row r="731" spans="1:8" ht="19.5">
      <c r="A731" s="1"/>
      <c r="B731" s="1"/>
      <c r="C731" s="1"/>
      <c r="D731" s="1"/>
      <c r="E731" s="1"/>
      <c r="G731" s="4"/>
      <c r="H731" s="1"/>
    </row>
    <row r="732" spans="1:8" ht="19.5">
      <c r="A732" s="1"/>
      <c r="B732" s="1"/>
      <c r="C732" s="1"/>
      <c r="D732" s="1"/>
      <c r="E732" s="1"/>
      <c r="G732" s="4"/>
      <c r="H732" s="1"/>
    </row>
    <row r="733" spans="1:8" ht="19.5">
      <c r="A733" s="1"/>
      <c r="B733" s="1"/>
      <c r="C733" s="1"/>
      <c r="D733" s="1"/>
      <c r="E733" s="1"/>
      <c r="G733" s="4"/>
      <c r="H733" s="1"/>
    </row>
    <row r="734" spans="1:8" ht="19.5">
      <c r="A734" s="1"/>
      <c r="B734" s="1"/>
      <c r="C734" s="1"/>
      <c r="D734" s="1"/>
      <c r="E734" s="1"/>
      <c r="G734" s="4"/>
      <c r="H734" s="1"/>
    </row>
    <row r="735" spans="1:8" ht="19.5">
      <c r="A735" s="1"/>
      <c r="B735" s="1"/>
      <c r="C735" s="1"/>
      <c r="D735" s="1"/>
      <c r="E735" s="1"/>
      <c r="G735" s="4"/>
      <c r="H735" s="1"/>
    </row>
    <row r="736" spans="1:8" ht="19.5">
      <c r="A736" s="1"/>
      <c r="B736" s="1"/>
      <c r="C736" s="1"/>
      <c r="D736" s="1"/>
      <c r="E736" s="1"/>
      <c r="G736" s="4"/>
      <c r="H736" s="1"/>
    </row>
    <row r="737" spans="1:8" ht="19.5">
      <c r="A737" s="1"/>
      <c r="B737" s="1"/>
      <c r="C737" s="1"/>
      <c r="D737" s="1"/>
      <c r="E737" s="1"/>
      <c r="G737" s="4"/>
      <c r="H737" s="1"/>
    </row>
    <row r="738" spans="1:8" ht="19.5">
      <c r="A738" s="1"/>
      <c r="B738" s="1"/>
      <c r="C738" s="1"/>
      <c r="D738" s="1"/>
      <c r="E738" s="1"/>
      <c r="G738" s="4"/>
      <c r="H738" s="1"/>
    </row>
    <row r="739" spans="1:8" ht="19.5">
      <c r="A739" s="1"/>
      <c r="B739" s="1"/>
      <c r="C739" s="1"/>
      <c r="D739" s="1"/>
      <c r="E739" s="1"/>
      <c r="G739" s="4"/>
      <c r="H739" s="1"/>
    </row>
    <row r="740" spans="1:8" ht="19.5">
      <c r="A740" s="1"/>
      <c r="B740" s="1"/>
      <c r="C740" s="1"/>
      <c r="D740" s="1"/>
      <c r="E740" s="1"/>
      <c r="G740" s="4"/>
      <c r="H740" s="1"/>
    </row>
    <row r="741" spans="1:8" ht="19.5">
      <c r="A741" s="1"/>
      <c r="B741" s="1"/>
      <c r="C741" s="1"/>
      <c r="D741" s="1"/>
      <c r="E741" s="1"/>
      <c r="G741" s="4"/>
      <c r="H741" s="1"/>
    </row>
    <row r="742" spans="1:8" ht="19.5">
      <c r="A742" s="1"/>
      <c r="B742" s="1"/>
      <c r="C742" s="1"/>
      <c r="D742" s="1"/>
      <c r="E742" s="1"/>
      <c r="G742" s="4"/>
      <c r="H742" s="1"/>
    </row>
    <row r="743" spans="1:8" ht="19.5">
      <c r="A743" s="1"/>
      <c r="B743" s="1"/>
      <c r="C743" s="1"/>
      <c r="D743" s="1"/>
      <c r="E743" s="1"/>
      <c r="G743" s="4"/>
      <c r="H743" s="1"/>
    </row>
    <row r="744" spans="1:8" ht="19.5">
      <c r="A744" s="1"/>
      <c r="B744" s="1"/>
      <c r="C744" s="1"/>
      <c r="D744" s="1"/>
      <c r="E744" s="1"/>
      <c r="G744" s="4"/>
      <c r="H744" s="1"/>
    </row>
    <row r="745" spans="1:8" ht="19.5">
      <c r="A745" s="1"/>
      <c r="B745" s="1"/>
      <c r="C745" s="1"/>
      <c r="D745" s="1"/>
      <c r="E745" s="1"/>
      <c r="G745" s="4"/>
      <c r="H745" s="1"/>
    </row>
    <row r="746" spans="1:8" ht="19.5">
      <c r="A746" s="1"/>
      <c r="B746" s="1"/>
      <c r="C746" s="1"/>
      <c r="D746" s="1"/>
      <c r="E746" s="1"/>
      <c r="G746" s="4"/>
      <c r="H746" s="1"/>
    </row>
    <row r="747" spans="1:8" ht="19.5">
      <c r="A747" s="1"/>
      <c r="B747" s="1"/>
      <c r="C747" s="1"/>
      <c r="D747" s="1"/>
      <c r="E747" s="1"/>
      <c r="G747" s="4"/>
      <c r="H747" s="1"/>
    </row>
    <row r="748" spans="1:8" ht="19.5">
      <c r="A748" s="1"/>
      <c r="B748" s="1"/>
      <c r="C748" s="1"/>
      <c r="D748" s="1"/>
      <c r="E748" s="1"/>
      <c r="G748" s="4"/>
      <c r="H748" s="1"/>
    </row>
    <row r="749" spans="1:8" ht="19.5">
      <c r="A749" s="1"/>
      <c r="B749" s="1"/>
      <c r="C749" s="1"/>
      <c r="D749" s="1"/>
      <c r="E749" s="1"/>
      <c r="G749" s="4"/>
      <c r="H749" s="1"/>
    </row>
    <row r="750" spans="1:8" ht="19.5">
      <c r="A750" s="1"/>
      <c r="B750" s="1"/>
      <c r="C750" s="1"/>
      <c r="D750" s="1"/>
      <c r="E750" s="1"/>
      <c r="G750" s="4"/>
      <c r="H750" s="1"/>
    </row>
    <row r="751" spans="1:8" ht="19.5">
      <c r="A751" s="1"/>
      <c r="B751" s="1"/>
      <c r="C751" s="1"/>
      <c r="D751" s="1"/>
      <c r="E751" s="1"/>
      <c r="G751" s="4"/>
      <c r="H751" s="1"/>
    </row>
    <row r="752" spans="1:8" ht="19.5">
      <c r="A752" s="1"/>
      <c r="B752" s="1"/>
      <c r="C752" s="1"/>
      <c r="D752" s="1"/>
      <c r="E752" s="1"/>
      <c r="G752" s="4"/>
      <c r="H752" s="1"/>
    </row>
    <row r="753" spans="1:8" ht="19.5">
      <c r="A753" s="1"/>
      <c r="B753" s="1"/>
      <c r="C753" s="1"/>
      <c r="D753" s="1"/>
      <c r="E753" s="1"/>
      <c r="G753" s="4"/>
      <c r="H753" s="1"/>
    </row>
    <row r="754" spans="1:8" ht="19.5">
      <c r="A754" s="1"/>
      <c r="B754" s="1"/>
      <c r="C754" s="1"/>
      <c r="D754" s="1"/>
      <c r="E754" s="1"/>
      <c r="G754" s="4"/>
      <c r="H754" s="1"/>
    </row>
    <row r="755" spans="1:8" ht="19.5">
      <c r="A755" s="1"/>
      <c r="B755" s="1"/>
      <c r="C755" s="1"/>
      <c r="D755" s="1"/>
      <c r="E755" s="1"/>
      <c r="G755" s="4"/>
      <c r="H755" s="1"/>
    </row>
    <row r="756" spans="1:8" ht="19.5">
      <c r="A756" s="1"/>
      <c r="B756" s="1"/>
      <c r="C756" s="1"/>
      <c r="D756" s="1"/>
      <c r="E756" s="1"/>
      <c r="G756" s="4"/>
      <c r="H756" s="1"/>
    </row>
    <row r="757" spans="1:8" ht="19.5">
      <c r="A757" s="1"/>
      <c r="B757" s="1"/>
      <c r="C757" s="1"/>
      <c r="D757" s="1"/>
      <c r="E757" s="1"/>
      <c r="G757" s="4"/>
      <c r="H757" s="1"/>
    </row>
    <row r="758" spans="1:8" ht="19.5">
      <c r="A758" s="1"/>
      <c r="B758" s="1"/>
      <c r="C758" s="1"/>
      <c r="D758" s="1"/>
      <c r="E758" s="1"/>
      <c r="G758" s="4"/>
      <c r="H758" s="1"/>
    </row>
    <row r="759" spans="1:8" ht="19.5">
      <c r="A759" s="1"/>
      <c r="B759" s="1"/>
      <c r="C759" s="1"/>
      <c r="D759" s="1"/>
      <c r="E759" s="1"/>
      <c r="G759" s="4"/>
      <c r="H759" s="1"/>
    </row>
    <row r="760" spans="1:8" ht="19.5">
      <c r="A760" s="1"/>
      <c r="B760" s="1"/>
      <c r="C760" s="1"/>
      <c r="D760" s="1"/>
      <c r="E760" s="1"/>
      <c r="G760" s="4"/>
      <c r="H760" s="1"/>
    </row>
    <row r="761" spans="1:8" ht="19.5">
      <c r="A761" s="1"/>
      <c r="B761" s="1"/>
      <c r="C761" s="1"/>
      <c r="D761" s="1"/>
      <c r="E761" s="1"/>
      <c r="G761" s="4"/>
      <c r="H761" s="1"/>
    </row>
    <row r="762" spans="1:8" ht="19.5">
      <c r="A762" s="1"/>
      <c r="B762" s="1"/>
      <c r="C762" s="1"/>
      <c r="D762" s="1"/>
      <c r="E762" s="1"/>
      <c r="G762" s="4"/>
      <c r="H762" s="1"/>
    </row>
    <row r="763" spans="1:8" ht="19.5">
      <c r="A763" s="1"/>
      <c r="B763" s="1"/>
      <c r="C763" s="1"/>
      <c r="D763" s="1"/>
      <c r="E763" s="1"/>
      <c r="G763" s="4"/>
      <c r="H763" s="1"/>
    </row>
    <row r="764" spans="1:8" ht="19.5">
      <c r="A764" s="1"/>
      <c r="B764" s="1"/>
      <c r="C764" s="1"/>
      <c r="D764" s="1"/>
      <c r="E764" s="1"/>
      <c r="G764" s="4"/>
      <c r="H764" s="1"/>
    </row>
    <row r="765" spans="1:8" ht="19.5">
      <c r="A765" s="1"/>
      <c r="B765" s="1"/>
      <c r="C765" s="1"/>
      <c r="D765" s="1"/>
      <c r="E765" s="1"/>
      <c r="G765" s="4"/>
      <c r="H765" s="1"/>
    </row>
    <row r="766" spans="1:8" ht="19.5">
      <c r="A766" s="1"/>
      <c r="B766" s="1"/>
      <c r="C766" s="1"/>
      <c r="D766" s="1"/>
      <c r="E766" s="1"/>
      <c r="G766" s="4"/>
      <c r="H766" s="1"/>
    </row>
    <row r="767" spans="1:8" ht="19.5">
      <c r="A767" s="1"/>
      <c r="B767" s="1"/>
      <c r="C767" s="1"/>
      <c r="D767" s="1"/>
      <c r="E767" s="1"/>
      <c r="G767" s="4"/>
      <c r="H767" s="1"/>
    </row>
    <row r="768" spans="1:8" ht="19.5">
      <c r="A768" s="1"/>
      <c r="B768" s="1"/>
      <c r="C768" s="1"/>
      <c r="D768" s="1"/>
      <c r="E768" s="1"/>
      <c r="G768" s="4"/>
      <c r="H768" s="1"/>
    </row>
    <row r="769" spans="1:8" ht="19.5">
      <c r="A769" s="1"/>
      <c r="B769" s="1"/>
      <c r="C769" s="1"/>
      <c r="D769" s="1"/>
      <c r="E769" s="1"/>
      <c r="G769" s="4"/>
      <c r="H769" s="1"/>
    </row>
    <row r="770" spans="1:8" ht="19.5">
      <c r="A770" s="1"/>
      <c r="B770" s="1"/>
      <c r="C770" s="1"/>
      <c r="D770" s="1"/>
      <c r="E770" s="1"/>
      <c r="G770" s="4"/>
      <c r="H770" s="1"/>
    </row>
    <row r="771" spans="1:8" ht="19.5">
      <c r="A771" s="1"/>
      <c r="B771" s="1"/>
      <c r="C771" s="1"/>
      <c r="D771" s="1"/>
      <c r="E771" s="1"/>
      <c r="G771" s="4"/>
      <c r="H771" s="1"/>
    </row>
    <row r="772" spans="1:8" ht="19.5">
      <c r="A772" s="1"/>
      <c r="B772" s="1"/>
      <c r="C772" s="1"/>
      <c r="D772" s="1"/>
      <c r="E772" s="1"/>
      <c r="G772" s="4"/>
      <c r="H772" s="1"/>
    </row>
    <row r="773" spans="1:8" ht="19.5">
      <c r="A773" s="1"/>
      <c r="B773" s="1"/>
      <c r="C773" s="1"/>
      <c r="D773" s="1"/>
      <c r="E773" s="1"/>
      <c r="G773" s="4"/>
      <c r="H773" s="1"/>
    </row>
    <row r="774" spans="1:8" ht="19.5">
      <c r="A774" s="1"/>
      <c r="B774" s="1"/>
      <c r="C774" s="1"/>
      <c r="D774" s="1"/>
      <c r="E774" s="1"/>
      <c r="G774" s="4"/>
      <c r="H774" s="1"/>
    </row>
    <row r="775" spans="1:8" ht="19.5">
      <c r="A775" s="1"/>
      <c r="B775" s="1"/>
      <c r="C775" s="1"/>
      <c r="D775" s="1"/>
      <c r="E775" s="1"/>
      <c r="G775" s="4"/>
      <c r="H775" s="1"/>
    </row>
    <row r="776" spans="1:8" ht="19.5">
      <c r="A776" s="1"/>
      <c r="B776" s="1"/>
      <c r="C776" s="1"/>
      <c r="D776" s="1"/>
      <c r="E776" s="1"/>
      <c r="G776" s="4"/>
      <c r="H776" s="1"/>
    </row>
    <row r="777" spans="1:8" ht="19.5">
      <c r="A777" s="1"/>
      <c r="B777" s="1"/>
      <c r="C777" s="1"/>
      <c r="D777" s="1"/>
      <c r="E777" s="1"/>
      <c r="G777" s="4"/>
      <c r="H777" s="1"/>
    </row>
    <row r="778" spans="1:8" ht="19.5">
      <c r="A778" s="1"/>
      <c r="B778" s="1"/>
      <c r="C778" s="1"/>
      <c r="D778" s="1"/>
      <c r="E778" s="1"/>
      <c r="G778" s="4"/>
      <c r="H778" s="1"/>
    </row>
    <row r="779" spans="1:8" ht="19.5">
      <c r="A779" s="1"/>
      <c r="B779" s="1"/>
      <c r="C779" s="1"/>
      <c r="D779" s="1"/>
      <c r="E779" s="1"/>
      <c r="G779" s="4"/>
      <c r="H779" s="1"/>
    </row>
    <row r="780" spans="1:8" ht="19.5">
      <c r="A780" s="1"/>
      <c r="B780" s="1"/>
      <c r="C780" s="1"/>
      <c r="D780" s="1"/>
      <c r="E780" s="1"/>
      <c r="G780" s="4"/>
      <c r="H780" s="1"/>
    </row>
    <row r="781" spans="1:8" ht="19.5">
      <c r="A781" s="1"/>
      <c r="B781" s="1"/>
      <c r="C781" s="1"/>
      <c r="D781" s="1"/>
      <c r="E781" s="1"/>
      <c r="G781" s="4"/>
      <c r="H781" s="1"/>
    </row>
    <row r="782" spans="1:8" ht="19.5">
      <c r="A782" s="1"/>
      <c r="B782" s="1"/>
      <c r="C782" s="1"/>
      <c r="D782" s="1"/>
      <c r="E782" s="1"/>
      <c r="G782" s="4"/>
      <c r="H782" s="1"/>
    </row>
    <row r="783" spans="1:8" ht="19.5">
      <c r="A783" s="1"/>
      <c r="B783" s="1"/>
      <c r="C783" s="1"/>
      <c r="D783" s="1"/>
      <c r="E783" s="1"/>
      <c r="G783" s="4"/>
      <c r="H783" s="1"/>
    </row>
    <row r="784" spans="1:8" ht="19.5">
      <c r="A784" s="1"/>
      <c r="B784" s="1"/>
      <c r="C784" s="1"/>
      <c r="D784" s="1"/>
      <c r="E784" s="1"/>
      <c r="G784" s="4"/>
      <c r="H784" s="1"/>
    </row>
    <row r="785" spans="1:8" ht="19.5">
      <c r="A785" s="1"/>
      <c r="B785" s="1"/>
      <c r="C785" s="1"/>
      <c r="D785" s="1"/>
      <c r="E785" s="1"/>
      <c r="G785" s="4"/>
      <c r="H785" s="1"/>
    </row>
    <row r="786" spans="1:8" ht="19.5">
      <c r="A786" s="1"/>
      <c r="B786" s="1"/>
      <c r="C786" s="1"/>
      <c r="D786" s="1"/>
      <c r="E786" s="1"/>
      <c r="G786" s="4"/>
      <c r="H786" s="1"/>
    </row>
    <row r="787" spans="1:8" ht="19.5">
      <c r="A787" s="1"/>
      <c r="B787" s="1"/>
      <c r="C787" s="1"/>
      <c r="D787" s="1"/>
      <c r="E787" s="1"/>
      <c r="G787" s="4"/>
      <c r="H787" s="1"/>
    </row>
    <row r="788" spans="1:8" ht="19.5">
      <c r="A788" s="1"/>
      <c r="B788" s="1"/>
      <c r="C788" s="1"/>
      <c r="D788" s="1"/>
      <c r="E788" s="1"/>
      <c r="G788" s="4"/>
      <c r="H788" s="1"/>
    </row>
    <row r="789" spans="1:8" ht="19.5">
      <c r="A789" s="1"/>
      <c r="B789" s="1"/>
      <c r="C789" s="1"/>
      <c r="D789" s="1"/>
      <c r="E789" s="1"/>
      <c r="G789" s="4"/>
      <c r="H789" s="1"/>
    </row>
    <row r="790" spans="1:8" ht="19.5">
      <c r="A790" s="1"/>
      <c r="B790" s="1"/>
      <c r="C790" s="1"/>
      <c r="D790" s="1"/>
      <c r="E790" s="1"/>
      <c r="G790" s="4"/>
      <c r="H790" s="1"/>
    </row>
    <row r="791" spans="1:8" ht="19.5">
      <c r="A791" s="1"/>
      <c r="B791" s="1"/>
      <c r="C791" s="1"/>
      <c r="D791" s="1"/>
      <c r="E791" s="1"/>
      <c r="G791" s="4"/>
      <c r="H791" s="1"/>
    </row>
    <row r="792" spans="1:8" ht="19.5">
      <c r="A792" s="1"/>
      <c r="B792" s="1"/>
      <c r="C792" s="1"/>
      <c r="D792" s="1"/>
      <c r="E792" s="1"/>
      <c r="G792" s="4"/>
      <c r="H792" s="1"/>
    </row>
    <row r="793" spans="1:8" ht="19.5">
      <c r="A793" s="1"/>
      <c r="B793" s="1"/>
      <c r="C793" s="1"/>
      <c r="D793" s="1"/>
      <c r="E793" s="1"/>
      <c r="G793" s="4"/>
      <c r="H793" s="1"/>
    </row>
    <row r="794" spans="1:8" ht="19.5">
      <c r="A794" s="1"/>
      <c r="B794" s="1"/>
      <c r="C794" s="1"/>
      <c r="D794" s="1"/>
      <c r="E794" s="1"/>
      <c r="G794" s="4"/>
      <c r="H794" s="1"/>
    </row>
    <row r="795" spans="1:8" ht="19.5">
      <c r="A795" s="1"/>
      <c r="B795" s="1"/>
      <c r="C795" s="1"/>
      <c r="D795" s="1"/>
      <c r="E795" s="1"/>
      <c r="G795" s="4"/>
      <c r="H795" s="1"/>
    </row>
    <row r="796" spans="1:8" ht="19.5">
      <c r="A796" s="1"/>
      <c r="B796" s="1"/>
      <c r="C796" s="1"/>
      <c r="D796" s="1"/>
      <c r="E796" s="1"/>
      <c r="G796" s="4"/>
      <c r="H796" s="1"/>
    </row>
    <row r="797" spans="1:8" ht="19.5">
      <c r="A797" s="1"/>
      <c r="B797" s="1"/>
      <c r="C797" s="1"/>
      <c r="D797" s="1"/>
      <c r="E797" s="1"/>
      <c r="G797" s="4"/>
      <c r="H797" s="1"/>
    </row>
    <row r="798" spans="1:8" ht="19.5">
      <c r="A798" s="1"/>
      <c r="B798" s="1"/>
      <c r="C798" s="1"/>
      <c r="D798" s="1"/>
      <c r="E798" s="1"/>
      <c r="G798" s="4"/>
      <c r="H798" s="1"/>
    </row>
    <row r="799" spans="1:8" ht="19.5">
      <c r="A799" s="1"/>
      <c r="B799" s="1"/>
      <c r="C799" s="1"/>
      <c r="D799" s="1"/>
      <c r="E799" s="1"/>
      <c r="G799" s="4"/>
      <c r="H799" s="1"/>
    </row>
    <row r="800" spans="1:8" ht="19.5">
      <c r="A800" s="1"/>
      <c r="B800" s="1"/>
      <c r="C800" s="1"/>
      <c r="D800" s="1"/>
      <c r="E800" s="1"/>
      <c r="G800" s="4"/>
      <c r="H800" s="1"/>
    </row>
    <row r="801" spans="1:8" ht="19.5">
      <c r="A801" s="1"/>
      <c r="B801" s="1"/>
      <c r="C801" s="1"/>
      <c r="D801" s="1"/>
      <c r="E801" s="1"/>
      <c r="G801" s="4"/>
      <c r="H801" s="1"/>
    </row>
    <row r="802" spans="1:8" ht="19.5">
      <c r="A802" s="1"/>
      <c r="B802" s="1"/>
      <c r="C802" s="1"/>
      <c r="D802" s="1"/>
      <c r="E802" s="1"/>
      <c r="G802" s="4"/>
      <c r="H802" s="1"/>
    </row>
    <row r="803" spans="1:8" ht="19.5">
      <c r="A803" s="1"/>
      <c r="B803" s="1"/>
      <c r="C803" s="1"/>
      <c r="D803" s="1"/>
      <c r="E803" s="1"/>
      <c r="G803" s="4"/>
      <c r="H803" s="1"/>
    </row>
    <row r="804" spans="1:8" ht="19.5">
      <c r="A804" s="1"/>
      <c r="B804" s="1"/>
      <c r="C804" s="1"/>
      <c r="D804" s="1"/>
      <c r="E804" s="1"/>
      <c r="G804" s="4"/>
      <c r="H804" s="1"/>
    </row>
    <row r="805" spans="1:8" ht="19.5">
      <c r="A805" s="1"/>
      <c r="B805" s="1"/>
      <c r="C805" s="1"/>
      <c r="D805" s="1"/>
      <c r="E805" s="1"/>
      <c r="G805" s="4"/>
      <c r="H805" s="1"/>
    </row>
    <row r="806" spans="1:8" ht="19.5">
      <c r="A806" s="1"/>
      <c r="B806" s="1"/>
      <c r="C806" s="1"/>
      <c r="D806" s="1"/>
      <c r="E806" s="1"/>
      <c r="G806" s="4"/>
      <c r="H806" s="1"/>
    </row>
    <row r="807" spans="1:8" ht="19.5">
      <c r="A807" s="1"/>
      <c r="B807" s="1"/>
      <c r="C807" s="1"/>
      <c r="D807" s="1"/>
      <c r="E807" s="1"/>
      <c r="G807" s="4"/>
      <c r="H807" s="1"/>
    </row>
    <row r="808" spans="1:8" ht="19.5">
      <c r="A808" s="1"/>
      <c r="B808" s="1"/>
      <c r="C808" s="1"/>
      <c r="D808" s="1"/>
      <c r="E808" s="1"/>
      <c r="G808" s="4"/>
      <c r="H808" s="1"/>
    </row>
    <row r="809" spans="1:8" ht="19.5">
      <c r="A809" s="1"/>
      <c r="B809" s="1"/>
      <c r="C809" s="1"/>
      <c r="D809" s="1"/>
      <c r="E809" s="1"/>
      <c r="G809" s="4"/>
      <c r="H809" s="1"/>
    </row>
    <row r="810" spans="1:8" ht="19.5">
      <c r="A810" s="1"/>
      <c r="B810" s="1"/>
      <c r="C810" s="1"/>
      <c r="D810" s="1"/>
      <c r="E810" s="1"/>
      <c r="G810" s="4"/>
      <c r="H810" s="1"/>
    </row>
    <row r="811" spans="1:8" ht="19.5">
      <c r="A811" s="1"/>
      <c r="B811" s="1"/>
      <c r="C811" s="1"/>
      <c r="D811" s="1"/>
      <c r="E811" s="1"/>
      <c r="G811" s="4"/>
      <c r="H811" s="1"/>
    </row>
    <row r="812" spans="1:8" ht="19.5">
      <c r="A812" s="1"/>
      <c r="B812" s="1"/>
      <c r="C812" s="1"/>
      <c r="D812" s="1"/>
      <c r="E812" s="1"/>
      <c r="G812" s="4"/>
      <c r="H812" s="1"/>
    </row>
    <row r="813" spans="1:8" ht="19.5">
      <c r="A813" s="1"/>
      <c r="B813" s="1"/>
      <c r="C813" s="1"/>
      <c r="D813" s="1"/>
      <c r="E813" s="1"/>
      <c r="G813" s="4"/>
      <c r="H813" s="1"/>
    </row>
    <row r="814" spans="1:8" ht="19.5">
      <c r="A814" s="1"/>
      <c r="B814" s="1"/>
      <c r="C814" s="1"/>
      <c r="D814" s="1"/>
      <c r="E814" s="1"/>
      <c r="G814" s="4"/>
      <c r="H814" s="1"/>
    </row>
    <row r="815" spans="1:8" ht="19.5">
      <c r="A815" s="1"/>
      <c r="B815" s="1"/>
      <c r="C815" s="1"/>
      <c r="D815" s="1"/>
      <c r="E815" s="1"/>
      <c r="G815" s="4"/>
      <c r="H815" s="1"/>
    </row>
    <row r="816" spans="1:8" ht="19.5">
      <c r="A816" s="1"/>
      <c r="B816" s="1"/>
      <c r="C816" s="1"/>
      <c r="D816" s="1"/>
      <c r="E816" s="1"/>
      <c r="G816" s="4"/>
      <c r="H816" s="1"/>
    </row>
    <row r="817" spans="1:8" ht="19.5">
      <c r="A817" s="1"/>
      <c r="B817" s="1"/>
      <c r="C817" s="1"/>
      <c r="D817" s="1"/>
      <c r="E817" s="1"/>
      <c r="G817" s="4"/>
      <c r="H817" s="1"/>
    </row>
    <row r="818" spans="1:8" ht="19.5">
      <c r="A818" s="1"/>
      <c r="B818" s="1"/>
      <c r="C818" s="1"/>
      <c r="D818" s="1"/>
      <c r="E818" s="1"/>
      <c r="G818" s="4"/>
      <c r="H818" s="1"/>
    </row>
    <row r="819" spans="1:8" ht="19.5">
      <c r="A819" s="1"/>
      <c r="B819" s="1"/>
      <c r="C819" s="1"/>
      <c r="D819" s="1"/>
      <c r="E819" s="1"/>
      <c r="G819" s="4"/>
      <c r="H819" s="1"/>
    </row>
    <row r="820" spans="1:8" ht="19.5">
      <c r="A820" s="1"/>
      <c r="B820" s="1"/>
      <c r="C820" s="1"/>
      <c r="D820" s="1"/>
      <c r="E820" s="1"/>
      <c r="G820" s="4"/>
      <c r="H820" s="1"/>
    </row>
    <row r="821" spans="1:8" ht="19.5">
      <c r="A821" s="1"/>
      <c r="B821" s="1"/>
      <c r="C821" s="1"/>
      <c r="D821" s="1"/>
      <c r="E821" s="1"/>
      <c r="G821" s="4"/>
      <c r="H821" s="1"/>
    </row>
    <row r="822" spans="1:8" ht="19.5">
      <c r="A822" s="1"/>
      <c r="B822" s="1"/>
      <c r="C822" s="1"/>
      <c r="D822" s="1"/>
      <c r="E822" s="1"/>
      <c r="G822" s="4"/>
      <c r="H822" s="1"/>
    </row>
    <row r="823" spans="1:8" ht="19.5">
      <c r="A823" s="1"/>
      <c r="B823" s="1"/>
      <c r="C823" s="1"/>
      <c r="D823" s="1"/>
      <c r="E823" s="1"/>
      <c r="G823" s="4"/>
      <c r="H823" s="1"/>
    </row>
    <row r="824" spans="1:8" ht="19.5">
      <c r="A824" s="1"/>
      <c r="B824" s="1"/>
      <c r="C824" s="1"/>
      <c r="D824" s="1"/>
      <c r="E824" s="1"/>
      <c r="G824" s="4"/>
      <c r="H824" s="1"/>
    </row>
    <row r="825" spans="1:8" ht="19.5">
      <c r="A825" s="1"/>
      <c r="B825" s="1"/>
      <c r="C825" s="1"/>
      <c r="D825" s="1"/>
      <c r="E825" s="1"/>
      <c r="G825" s="4"/>
      <c r="H825" s="1"/>
    </row>
    <row r="826" spans="1:8" ht="19.5">
      <c r="A826" s="1"/>
      <c r="B826" s="1"/>
      <c r="C826" s="1"/>
      <c r="D826" s="1"/>
      <c r="E826" s="1"/>
      <c r="G826" s="4"/>
      <c r="H826" s="1"/>
    </row>
    <row r="827" spans="1:8" ht="19.5">
      <c r="A827" s="1"/>
      <c r="B827" s="1"/>
      <c r="C827" s="1"/>
      <c r="D827" s="1"/>
      <c r="E827" s="1"/>
      <c r="G827" s="4"/>
      <c r="H827" s="1"/>
    </row>
    <row r="828" spans="1:8" ht="19.5">
      <c r="A828" s="1"/>
      <c r="B828" s="1"/>
      <c r="C828" s="1"/>
      <c r="D828" s="1"/>
      <c r="E828" s="1"/>
      <c r="G828" s="4"/>
      <c r="H828" s="1"/>
    </row>
    <row r="829" spans="1:8" ht="19.5">
      <c r="A829" s="1"/>
      <c r="B829" s="1"/>
      <c r="C829" s="1"/>
      <c r="D829" s="1"/>
      <c r="E829" s="1"/>
      <c r="G829" s="4"/>
      <c r="H829" s="1"/>
    </row>
    <row r="830" spans="1:8" ht="19.5">
      <c r="A830" s="1"/>
      <c r="B830" s="1"/>
      <c r="C830" s="1"/>
      <c r="D830" s="1"/>
      <c r="E830" s="1"/>
      <c r="G830" s="4"/>
      <c r="H830" s="1"/>
    </row>
    <row r="831" spans="1:8" ht="19.5">
      <c r="A831" s="1"/>
      <c r="B831" s="1"/>
      <c r="C831" s="1"/>
      <c r="D831" s="1"/>
      <c r="E831" s="1"/>
      <c r="G831" s="4"/>
      <c r="H831" s="1"/>
    </row>
    <row r="832" spans="1:8" ht="19.5">
      <c r="A832" s="1"/>
      <c r="B832" s="1"/>
      <c r="C832" s="1"/>
      <c r="D832" s="1"/>
      <c r="E832" s="1"/>
      <c r="G832" s="4"/>
      <c r="H832" s="1"/>
    </row>
    <row r="833" spans="1:8" ht="19.5">
      <c r="A833" s="1"/>
      <c r="B833" s="1"/>
      <c r="C833" s="1"/>
      <c r="D833" s="1"/>
      <c r="E833" s="1"/>
      <c r="G833" s="4"/>
      <c r="H833" s="1"/>
    </row>
    <row r="834" spans="1:8" ht="19.5">
      <c r="A834" s="1"/>
      <c r="B834" s="1"/>
      <c r="C834" s="1"/>
      <c r="D834" s="1"/>
      <c r="E834" s="1"/>
      <c r="G834" s="4"/>
      <c r="H834" s="1"/>
    </row>
    <row r="835" spans="1:8" ht="19.5">
      <c r="A835" s="1"/>
      <c r="B835" s="1"/>
      <c r="C835" s="1"/>
      <c r="D835" s="1"/>
      <c r="E835" s="1"/>
      <c r="G835" s="4"/>
      <c r="H835" s="1"/>
    </row>
    <row r="836" spans="1:8" ht="19.5">
      <c r="A836" s="1"/>
      <c r="B836" s="1"/>
      <c r="C836" s="1"/>
      <c r="D836" s="1"/>
      <c r="E836" s="1"/>
      <c r="G836" s="4"/>
      <c r="H836" s="1"/>
    </row>
    <row r="837" spans="1:8" ht="19.5">
      <c r="A837" s="1"/>
      <c r="B837" s="1"/>
      <c r="C837" s="1"/>
      <c r="D837" s="1"/>
      <c r="E837" s="1"/>
      <c r="G837" s="4"/>
      <c r="H837" s="1"/>
    </row>
    <row r="838" spans="1:8" ht="19.5">
      <c r="A838" s="1"/>
      <c r="B838" s="1"/>
      <c r="C838" s="1"/>
      <c r="D838" s="1"/>
      <c r="E838" s="1"/>
      <c r="G838" s="4"/>
      <c r="H838" s="1"/>
    </row>
    <row r="839" spans="1:8" ht="19.5">
      <c r="A839" s="1"/>
      <c r="B839" s="1"/>
      <c r="C839" s="1"/>
      <c r="D839" s="1"/>
      <c r="E839" s="1"/>
      <c r="G839" s="4"/>
      <c r="H839" s="1"/>
    </row>
    <row r="840" spans="1:8" ht="19.5">
      <c r="A840" s="1"/>
      <c r="B840" s="1"/>
      <c r="C840" s="1"/>
      <c r="D840" s="1"/>
      <c r="E840" s="1"/>
      <c r="G840" s="4"/>
      <c r="H840" s="1"/>
    </row>
    <row r="841" spans="1:8" ht="19.5">
      <c r="A841" s="1"/>
      <c r="B841" s="1"/>
      <c r="C841" s="1"/>
      <c r="D841" s="1"/>
      <c r="E841" s="1"/>
      <c r="G841" s="4"/>
      <c r="H841" s="1"/>
    </row>
    <row r="842" spans="1:8" ht="19.5">
      <c r="A842" s="1"/>
      <c r="B842" s="1"/>
      <c r="C842" s="1"/>
      <c r="D842" s="1"/>
      <c r="E842" s="1"/>
      <c r="G842" s="4"/>
      <c r="H842" s="1"/>
    </row>
    <row r="843" spans="1:8" ht="19.5">
      <c r="A843" s="1"/>
      <c r="B843" s="1"/>
      <c r="C843" s="1"/>
      <c r="D843" s="1"/>
      <c r="E843" s="1"/>
      <c r="G843" s="4"/>
      <c r="H843" s="1"/>
    </row>
    <row r="844" spans="1:8" ht="19.5">
      <c r="A844" s="1"/>
      <c r="B844" s="1"/>
      <c r="C844" s="1"/>
      <c r="D844" s="1"/>
      <c r="E844" s="1"/>
      <c r="G844" s="4"/>
      <c r="H844" s="1"/>
    </row>
    <row r="845" spans="1:8" ht="19.5">
      <c r="A845" s="1"/>
      <c r="B845" s="1"/>
      <c r="C845" s="1"/>
      <c r="D845" s="1"/>
      <c r="E845" s="1"/>
      <c r="G845" s="4"/>
      <c r="H845" s="1"/>
    </row>
    <row r="846" spans="1:8" ht="19.5">
      <c r="A846" s="1"/>
      <c r="B846" s="1"/>
      <c r="C846" s="1"/>
      <c r="D846" s="1"/>
      <c r="E846" s="1"/>
      <c r="G846" s="4"/>
      <c r="H846" s="1"/>
    </row>
    <row r="847" spans="1:8" ht="19.5">
      <c r="A847" s="1"/>
      <c r="B847" s="1"/>
      <c r="C847" s="1"/>
      <c r="D847" s="1"/>
      <c r="E847" s="1"/>
      <c r="G847" s="4"/>
      <c r="H847" s="1"/>
    </row>
    <row r="848" spans="1:8" ht="19.5">
      <c r="A848" s="1"/>
      <c r="B848" s="1"/>
      <c r="C848" s="1"/>
      <c r="D848" s="1"/>
      <c r="E848" s="1"/>
      <c r="G848" s="4"/>
      <c r="H848" s="1"/>
    </row>
    <row r="849" spans="1:8" ht="19.5">
      <c r="A849" s="1"/>
      <c r="B849" s="1"/>
      <c r="C849" s="1"/>
      <c r="D849" s="1"/>
      <c r="E849" s="1"/>
      <c r="G849" s="4"/>
      <c r="H849" s="1"/>
    </row>
    <row r="850" spans="1:8" ht="19.5">
      <c r="A850" s="1"/>
      <c r="B850" s="1"/>
      <c r="C850" s="1"/>
      <c r="D850" s="1"/>
      <c r="E850" s="1"/>
      <c r="G850" s="4"/>
      <c r="H850" s="1"/>
    </row>
    <row r="851" spans="1:8" ht="19.5">
      <c r="A851" s="1"/>
      <c r="B851" s="1"/>
      <c r="C851" s="1"/>
      <c r="D851" s="1"/>
      <c r="E851" s="1"/>
      <c r="G851" s="4"/>
      <c r="H851" s="1"/>
    </row>
    <row r="852" spans="1:8" ht="19.5">
      <c r="A852" s="1"/>
      <c r="B852" s="1"/>
      <c r="C852" s="1"/>
      <c r="D852" s="1"/>
      <c r="E852" s="1"/>
      <c r="G852" s="4"/>
      <c r="H852" s="1"/>
    </row>
    <row r="853" spans="1:8" ht="19.5">
      <c r="A853" s="1"/>
      <c r="B853" s="1"/>
      <c r="C853" s="1"/>
      <c r="D853" s="1"/>
      <c r="E853" s="1"/>
      <c r="G853" s="4"/>
      <c r="H853" s="1"/>
    </row>
    <row r="854" spans="1:8" ht="19.5">
      <c r="A854" s="1"/>
      <c r="B854" s="1"/>
      <c r="C854" s="1"/>
      <c r="D854" s="1"/>
      <c r="E854" s="1"/>
      <c r="G854" s="4"/>
      <c r="H854" s="1"/>
    </row>
    <row r="855" spans="1:8" ht="19.5">
      <c r="A855" s="1"/>
      <c r="B855" s="1"/>
      <c r="C855" s="1"/>
      <c r="D855" s="1"/>
      <c r="E855" s="1"/>
      <c r="G855" s="4"/>
      <c r="H855" s="1"/>
    </row>
    <row r="856" spans="1:8" ht="19.5">
      <c r="A856" s="1"/>
      <c r="B856" s="1"/>
      <c r="C856" s="1"/>
      <c r="D856" s="1"/>
      <c r="E856" s="1"/>
      <c r="G856" s="4"/>
      <c r="H856" s="1"/>
    </row>
    <row r="857" spans="1:8" ht="19.5">
      <c r="A857" s="1"/>
      <c r="B857" s="1"/>
      <c r="C857" s="1"/>
      <c r="D857" s="1"/>
      <c r="E857" s="1"/>
      <c r="G857" s="4"/>
      <c r="H857" s="1"/>
    </row>
    <row r="858" spans="1:8" ht="19.5">
      <c r="A858" s="1"/>
      <c r="B858" s="1"/>
      <c r="C858" s="1"/>
      <c r="D858" s="1"/>
      <c r="E858" s="1"/>
      <c r="G858" s="4"/>
      <c r="H858" s="1"/>
    </row>
    <row r="859" spans="1:8" ht="19.5">
      <c r="A859" s="1"/>
      <c r="B859" s="1"/>
      <c r="C859" s="1"/>
      <c r="D859" s="1"/>
      <c r="E859" s="1"/>
      <c r="G859" s="4"/>
      <c r="H859" s="1"/>
    </row>
    <row r="860" spans="1:8" ht="19.5">
      <c r="A860" s="1"/>
      <c r="B860" s="1"/>
      <c r="C860" s="1"/>
      <c r="D860" s="1"/>
      <c r="E860" s="1"/>
      <c r="G860" s="4"/>
      <c r="H860" s="1"/>
    </row>
    <row r="861" spans="1:8" ht="19.5">
      <c r="A861" s="1"/>
      <c r="B861" s="1"/>
      <c r="C861" s="1"/>
      <c r="D861" s="1"/>
      <c r="E861" s="1"/>
      <c r="G861" s="4"/>
      <c r="H861" s="1"/>
    </row>
    <row r="862" spans="1:8" ht="19.5">
      <c r="A862" s="1"/>
      <c r="B862" s="1"/>
      <c r="C862" s="1"/>
      <c r="D862" s="1"/>
      <c r="E862" s="1"/>
      <c r="G862" s="4"/>
      <c r="H862" s="1"/>
    </row>
    <row r="863" spans="1:8" ht="19.5">
      <c r="A863" s="1"/>
      <c r="B863" s="1"/>
      <c r="C863" s="1"/>
      <c r="D863" s="1"/>
      <c r="E863" s="1"/>
      <c r="G863" s="4"/>
      <c r="H863" s="1"/>
    </row>
    <row r="864" spans="1:8" ht="19.5">
      <c r="A864" s="1"/>
      <c r="B864" s="1"/>
      <c r="C864" s="1"/>
      <c r="D864" s="1"/>
      <c r="E864" s="1"/>
      <c r="G864" s="4"/>
      <c r="H864" s="1"/>
    </row>
    <row r="865" spans="1:8" ht="19.5">
      <c r="A865" s="1"/>
      <c r="B865" s="1"/>
      <c r="C865" s="1"/>
      <c r="D865" s="1"/>
      <c r="E865" s="1"/>
      <c r="G865" s="4"/>
      <c r="H865" s="1"/>
    </row>
    <row r="866" spans="1:8" ht="19.5">
      <c r="A866" s="1"/>
      <c r="B866" s="1"/>
      <c r="C866" s="1"/>
      <c r="D866" s="1"/>
      <c r="E866" s="1"/>
      <c r="G866" s="4"/>
      <c r="H866" s="1"/>
    </row>
    <row r="867" spans="1:8" ht="19.5">
      <c r="A867" s="1"/>
      <c r="B867" s="1"/>
      <c r="C867" s="1"/>
      <c r="D867" s="1"/>
      <c r="E867" s="1"/>
      <c r="G867" s="4"/>
      <c r="H867" s="1"/>
    </row>
    <row r="868" spans="1:8" ht="19.5">
      <c r="A868" s="1"/>
      <c r="B868" s="1"/>
      <c r="C868" s="1"/>
      <c r="D868" s="1"/>
      <c r="E868" s="1"/>
      <c r="G868" s="4"/>
      <c r="H868" s="1"/>
    </row>
    <row r="869" spans="1:8" ht="19.5">
      <c r="A869" s="1"/>
      <c r="B869" s="1"/>
      <c r="C869" s="1"/>
      <c r="D869" s="1"/>
      <c r="E869" s="1"/>
      <c r="G869" s="4"/>
      <c r="H869" s="1"/>
    </row>
    <row r="870" spans="1:8" ht="19.5">
      <c r="A870" s="1"/>
      <c r="B870" s="1"/>
      <c r="C870" s="1"/>
      <c r="D870" s="1"/>
      <c r="E870" s="1"/>
      <c r="G870" s="4"/>
      <c r="H870" s="1"/>
    </row>
    <row r="871" spans="1:8" ht="19.5">
      <c r="A871" s="1"/>
      <c r="B871" s="1"/>
      <c r="C871" s="1"/>
      <c r="D871" s="1"/>
      <c r="E871" s="1"/>
      <c r="G871" s="4"/>
      <c r="H871" s="1"/>
    </row>
    <row r="872" spans="1:8" ht="19.5">
      <c r="A872" s="1"/>
      <c r="B872" s="1"/>
      <c r="C872" s="1"/>
      <c r="D872" s="1"/>
      <c r="E872" s="1"/>
      <c r="G872" s="4"/>
      <c r="H872" s="1"/>
    </row>
    <row r="873" spans="1:8" ht="19.5">
      <c r="A873" s="1"/>
      <c r="B873" s="1"/>
      <c r="C873" s="1"/>
      <c r="D873" s="1"/>
      <c r="E873" s="1"/>
      <c r="G873" s="4"/>
      <c r="H873" s="1"/>
    </row>
    <row r="874" spans="1:8" ht="19.5">
      <c r="A874" s="1"/>
      <c r="B874" s="1"/>
      <c r="C874" s="1"/>
      <c r="D874" s="1"/>
      <c r="E874" s="1"/>
      <c r="G874" s="4"/>
      <c r="H874" s="1"/>
    </row>
    <row r="875" spans="1:8" ht="19.5">
      <c r="A875" s="1"/>
      <c r="B875" s="1"/>
      <c r="C875" s="1"/>
      <c r="D875" s="1"/>
      <c r="E875" s="1"/>
      <c r="G875" s="4"/>
      <c r="H875" s="1"/>
    </row>
    <row r="876" spans="1:8" ht="19.5">
      <c r="A876" s="1"/>
      <c r="B876" s="1"/>
      <c r="C876" s="1"/>
      <c r="D876" s="1"/>
      <c r="E876" s="1"/>
      <c r="G876" s="4"/>
      <c r="H876" s="1"/>
    </row>
    <row r="877" spans="1:8" ht="19.5">
      <c r="A877" s="1"/>
      <c r="B877" s="1"/>
      <c r="C877" s="1"/>
      <c r="D877" s="1"/>
      <c r="E877" s="1"/>
      <c r="G877" s="4"/>
      <c r="H877" s="1"/>
    </row>
    <row r="878" spans="1:8" ht="19.5">
      <c r="A878" s="1"/>
      <c r="B878" s="1"/>
      <c r="C878" s="1"/>
      <c r="D878" s="1"/>
      <c r="E878" s="1"/>
      <c r="G878" s="4"/>
      <c r="H878" s="1"/>
    </row>
    <row r="879" spans="1:8" ht="19.5">
      <c r="A879" s="1"/>
      <c r="B879" s="1"/>
      <c r="C879" s="1"/>
      <c r="D879" s="1"/>
      <c r="E879" s="1"/>
      <c r="G879" s="4"/>
      <c r="H879" s="1"/>
    </row>
    <row r="880" spans="1:8" ht="19.5">
      <c r="A880" s="1"/>
      <c r="B880" s="1"/>
      <c r="C880" s="1"/>
      <c r="D880" s="1"/>
      <c r="E880" s="1"/>
      <c r="G880" s="4"/>
      <c r="H880" s="1"/>
    </row>
    <row r="881" spans="1:8" ht="19.5">
      <c r="A881" s="1"/>
      <c r="B881" s="1"/>
      <c r="C881" s="1"/>
      <c r="D881" s="1"/>
      <c r="E881" s="1"/>
      <c r="G881" s="4"/>
      <c r="H881" s="1"/>
    </row>
    <row r="882" spans="1:8" ht="19.5">
      <c r="A882" s="1"/>
      <c r="B882" s="1"/>
      <c r="C882" s="1"/>
      <c r="D882" s="1"/>
      <c r="E882" s="1"/>
      <c r="G882" s="4"/>
      <c r="H882" s="1"/>
    </row>
    <row r="883" spans="1:8" ht="19.5">
      <c r="A883" s="1"/>
      <c r="B883" s="1"/>
      <c r="C883" s="1"/>
      <c r="D883" s="1"/>
      <c r="E883" s="1"/>
      <c r="G883" s="4"/>
      <c r="H883" s="1"/>
    </row>
    <row r="884" spans="1:8" ht="19.5">
      <c r="A884" s="1"/>
      <c r="B884" s="1"/>
      <c r="C884" s="1"/>
      <c r="D884" s="1"/>
      <c r="E884" s="1"/>
      <c r="G884" s="4"/>
      <c r="H884" s="1"/>
    </row>
    <row r="885" spans="1:8" ht="19.5">
      <c r="A885" s="1"/>
      <c r="B885" s="1"/>
      <c r="C885" s="1"/>
      <c r="D885" s="1"/>
      <c r="E885" s="1"/>
      <c r="G885" s="4"/>
      <c r="H885" s="1"/>
    </row>
    <row r="886" spans="1:8" ht="19.5">
      <c r="A886" s="1"/>
      <c r="B886" s="1"/>
      <c r="C886" s="1"/>
      <c r="D886" s="1"/>
      <c r="E886" s="1"/>
      <c r="G886" s="4"/>
      <c r="H886" s="1"/>
    </row>
    <row r="887" spans="1:8" ht="19.5">
      <c r="A887" s="1"/>
      <c r="B887" s="1"/>
      <c r="C887" s="1"/>
      <c r="D887" s="1"/>
      <c r="E887" s="1"/>
      <c r="G887" s="4"/>
      <c r="H887" s="1"/>
    </row>
    <row r="888" spans="1:8" ht="19.5">
      <c r="A888" s="1"/>
      <c r="B888" s="1"/>
      <c r="C888" s="1"/>
      <c r="D888" s="1"/>
      <c r="E888" s="1"/>
      <c r="G888" s="4"/>
      <c r="H888" s="1"/>
    </row>
    <row r="889" spans="1:8" ht="19.5">
      <c r="A889" s="1"/>
      <c r="B889" s="1"/>
      <c r="C889" s="1"/>
      <c r="D889" s="1"/>
      <c r="E889" s="1"/>
      <c r="G889" s="4"/>
      <c r="H889" s="1"/>
    </row>
    <row r="890" spans="1:8" ht="19.5">
      <c r="A890" s="1"/>
      <c r="B890" s="1"/>
      <c r="C890" s="1"/>
      <c r="D890" s="1"/>
      <c r="E890" s="1"/>
      <c r="G890" s="4"/>
      <c r="H890" s="1"/>
    </row>
    <row r="891" spans="1:8" ht="19.5">
      <c r="A891" s="1"/>
      <c r="B891" s="1"/>
      <c r="C891" s="1"/>
      <c r="D891" s="1"/>
      <c r="E891" s="1"/>
      <c r="G891" s="4"/>
      <c r="H891" s="1"/>
    </row>
    <row r="892" spans="1:8" ht="19.5">
      <c r="A892" s="1"/>
      <c r="B892" s="1"/>
      <c r="C892" s="1"/>
      <c r="D892" s="1"/>
      <c r="E892" s="1"/>
      <c r="G892" s="4"/>
      <c r="H892" s="1"/>
    </row>
    <row r="893" spans="1:8" ht="19.5">
      <c r="A893" s="1"/>
      <c r="B893" s="1"/>
      <c r="C893" s="1"/>
      <c r="D893" s="1"/>
      <c r="E893" s="1"/>
      <c r="G893" s="4"/>
      <c r="H893" s="1"/>
    </row>
    <row r="894" spans="1:8" ht="19.5">
      <c r="A894" s="1"/>
      <c r="B894" s="1"/>
      <c r="C894" s="1"/>
      <c r="D894" s="1"/>
      <c r="E894" s="1"/>
      <c r="G894" s="4"/>
      <c r="H894" s="1"/>
    </row>
    <row r="895" spans="1:8" ht="19.5">
      <c r="A895" s="1"/>
      <c r="B895" s="1"/>
      <c r="C895" s="1"/>
      <c r="D895" s="1"/>
      <c r="E895" s="1"/>
      <c r="G895" s="4"/>
      <c r="H895" s="1"/>
    </row>
    <row r="896" spans="1:8" ht="19.5">
      <c r="A896" s="1"/>
      <c r="B896" s="1"/>
      <c r="C896" s="1"/>
      <c r="D896" s="1"/>
      <c r="E896" s="1"/>
      <c r="G896" s="4"/>
      <c r="H896" s="1"/>
    </row>
    <row r="897" spans="1:8" ht="19.5">
      <c r="A897" s="1"/>
      <c r="B897" s="1"/>
      <c r="C897" s="1"/>
      <c r="D897" s="1"/>
      <c r="E897" s="1"/>
      <c r="G897" s="4"/>
      <c r="H897" s="1"/>
    </row>
    <row r="898" spans="1:8" ht="19.5">
      <c r="A898" s="1"/>
      <c r="B898" s="1"/>
      <c r="C898" s="1"/>
      <c r="D898" s="1"/>
      <c r="E898" s="1"/>
      <c r="G898" s="4"/>
      <c r="H898" s="1"/>
    </row>
    <row r="899" spans="1:8" ht="19.5">
      <c r="A899" s="1"/>
      <c r="B899" s="1"/>
      <c r="C899" s="1"/>
      <c r="D899" s="1"/>
      <c r="E899" s="1"/>
      <c r="G899" s="4"/>
      <c r="H899" s="1"/>
    </row>
    <row r="900" spans="1:8" ht="19.5">
      <c r="A900" s="1"/>
      <c r="B900" s="1"/>
      <c r="C900" s="1"/>
      <c r="D900" s="1"/>
      <c r="E900" s="1"/>
      <c r="G900" s="4"/>
      <c r="H900" s="1"/>
    </row>
    <row r="901" spans="1:8" ht="19.5">
      <c r="A901" s="1"/>
      <c r="B901" s="1"/>
      <c r="C901" s="1"/>
      <c r="D901" s="1"/>
      <c r="E901" s="1"/>
      <c r="G901" s="4"/>
      <c r="H901" s="1"/>
    </row>
    <row r="902" spans="1:8" ht="19.5">
      <c r="A902" s="1"/>
      <c r="B902" s="1"/>
      <c r="C902" s="1"/>
      <c r="D902" s="1"/>
      <c r="E902" s="1"/>
      <c r="G902" s="4"/>
      <c r="H902" s="1"/>
    </row>
    <row r="903" spans="1:8" ht="19.5">
      <c r="A903" s="1"/>
      <c r="B903" s="1"/>
      <c r="C903" s="1"/>
      <c r="D903" s="1"/>
      <c r="E903" s="1"/>
      <c r="G903" s="4"/>
      <c r="H903" s="1"/>
    </row>
    <row r="904" spans="1:8" ht="19.5">
      <c r="A904" s="1"/>
      <c r="B904" s="1"/>
      <c r="C904" s="1"/>
      <c r="D904" s="1"/>
      <c r="E904" s="1"/>
      <c r="G904" s="4"/>
      <c r="H904" s="1"/>
    </row>
    <row r="905" spans="1:8" ht="19.5">
      <c r="A905" s="1"/>
      <c r="B905" s="1"/>
      <c r="C905" s="1"/>
      <c r="D905" s="1"/>
      <c r="E905" s="1"/>
      <c r="G905" s="4"/>
      <c r="H905" s="1"/>
    </row>
    <row r="906" spans="1:8" ht="19.5">
      <c r="A906" s="1"/>
      <c r="B906" s="1"/>
      <c r="C906" s="1"/>
      <c r="D906" s="1"/>
      <c r="E906" s="1"/>
      <c r="G906" s="4"/>
      <c r="H906" s="1"/>
    </row>
    <row r="907" spans="1:8" ht="19.5">
      <c r="A907" s="1"/>
      <c r="B907" s="1"/>
      <c r="C907" s="1"/>
      <c r="D907" s="1"/>
      <c r="E907" s="1"/>
      <c r="G907" s="4"/>
      <c r="H907" s="1"/>
    </row>
    <row r="908" spans="1:8" ht="19.5">
      <c r="A908" s="1"/>
      <c r="B908" s="1"/>
      <c r="C908" s="1"/>
      <c r="D908" s="1"/>
      <c r="E908" s="1"/>
      <c r="G908" s="4"/>
      <c r="H908" s="1"/>
    </row>
    <row r="909" spans="1:8" ht="19.5">
      <c r="A909" s="1"/>
      <c r="B909" s="1"/>
      <c r="C909" s="1"/>
      <c r="D909" s="1"/>
      <c r="E909" s="1"/>
      <c r="G909" s="4"/>
      <c r="H909" s="1"/>
    </row>
    <row r="910" spans="1:8" ht="19.5">
      <c r="A910" s="1"/>
      <c r="B910" s="1"/>
      <c r="C910" s="1"/>
      <c r="D910" s="1"/>
      <c r="E910" s="1"/>
      <c r="G910" s="4"/>
      <c r="H910" s="1"/>
    </row>
    <row r="911" spans="1:8" ht="19.5">
      <c r="A911" s="1"/>
      <c r="B911" s="1"/>
      <c r="C911" s="1"/>
      <c r="D911" s="1"/>
      <c r="E911" s="1"/>
      <c r="G911" s="4"/>
      <c r="H911" s="1"/>
    </row>
    <row r="912" spans="1:8" ht="19.5">
      <c r="A912" s="1"/>
      <c r="B912" s="1"/>
      <c r="C912" s="1"/>
      <c r="D912" s="1"/>
      <c r="E912" s="1"/>
      <c r="G912" s="4"/>
      <c r="H912" s="1"/>
    </row>
    <row r="913" spans="1:8" ht="19.5">
      <c r="A913" s="1"/>
      <c r="B913" s="1"/>
      <c r="C913" s="1"/>
      <c r="D913" s="1"/>
      <c r="E913" s="1"/>
      <c r="G913" s="4"/>
      <c r="H913" s="1"/>
    </row>
    <row r="914" spans="1:8" ht="19.5">
      <c r="A914" s="1"/>
      <c r="B914" s="1"/>
      <c r="C914" s="1"/>
      <c r="D914" s="1"/>
      <c r="E914" s="1"/>
      <c r="G914" s="4"/>
      <c r="H914" s="1"/>
    </row>
    <row r="915" spans="1:8" ht="19.5">
      <c r="A915" s="1"/>
      <c r="B915" s="1"/>
      <c r="C915" s="1"/>
      <c r="D915" s="1"/>
      <c r="E915" s="1"/>
      <c r="G915" s="4"/>
      <c r="H915" s="1"/>
    </row>
    <row r="916" spans="1:8" ht="19.5">
      <c r="A916" s="1"/>
      <c r="B916" s="1"/>
      <c r="C916" s="1"/>
      <c r="D916" s="1"/>
      <c r="E916" s="1"/>
      <c r="G916" s="4"/>
      <c r="H916" s="1"/>
    </row>
    <row r="917" spans="1:8" ht="19.5">
      <c r="A917" s="1"/>
      <c r="B917" s="1"/>
      <c r="C917" s="1"/>
      <c r="D917" s="1"/>
      <c r="E917" s="1"/>
      <c r="G917" s="4"/>
      <c r="H917" s="1"/>
    </row>
    <row r="918" spans="1:8" ht="19.5">
      <c r="A918" s="1"/>
      <c r="B918" s="1"/>
      <c r="C918" s="1"/>
      <c r="D918" s="1"/>
      <c r="E918" s="1"/>
      <c r="G918" s="4"/>
      <c r="H918" s="1"/>
    </row>
    <row r="919" spans="1:8" ht="19.5">
      <c r="A919" s="1"/>
      <c r="B919" s="1"/>
      <c r="C919" s="1"/>
      <c r="D919" s="1"/>
      <c r="E919" s="1"/>
      <c r="G919" s="4"/>
      <c r="H919" s="1"/>
    </row>
    <row r="920" spans="1:8" ht="19.5">
      <c r="A920" s="1"/>
      <c r="B920" s="1"/>
      <c r="C920" s="1"/>
      <c r="D920" s="1"/>
      <c r="E920" s="1"/>
      <c r="G920" s="4"/>
      <c r="H920" s="1"/>
    </row>
    <row r="921" spans="1:8" ht="19.5">
      <c r="A921" s="1"/>
      <c r="B921" s="1"/>
      <c r="C921" s="1"/>
      <c r="D921" s="1"/>
      <c r="E921" s="1"/>
      <c r="G921" s="4"/>
      <c r="H921" s="1"/>
    </row>
    <row r="922" spans="1:8" ht="19.5">
      <c r="A922" s="1"/>
      <c r="B922" s="1"/>
      <c r="C922" s="1"/>
      <c r="D922" s="1"/>
      <c r="E922" s="1"/>
      <c r="G922" s="4"/>
      <c r="H922" s="1"/>
    </row>
    <row r="923" spans="1:8" ht="19.5">
      <c r="A923" s="1"/>
      <c r="B923" s="1"/>
      <c r="C923" s="1"/>
      <c r="D923" s="1"/>
      <c r="E923" s="1"/>
      <c r="G923" s="4"/>
      <c r="H923" s="1"/>
    </row>
    <row r="924" spans="1:8" ht="19.5">
      <c r="A924" s="1"/>
      <c r="B924" s="1"/>
      <c r="C924" s="1"/>
      <c r="D924" s="1"/>
      <c r="E924" s="1"/>
      <c r="G924" s="4"/>
      <c r="H924" s="1"/>
    </row>
    <row r="925" spans="1:8" ht="19.5">
      <c r="A925" s="1"/>
      <c r="B925" s="1"/>
      <c r="C925" s="1"/>
      <c r="D925" s="1"/>
      <c r="E925" s="1"/>
      <c r="G925" s="4"/>
      <c r="H925" s="1"/>
    </row>
    <row r="926" spans="1:8" ht="19.5">
      <c r="A926" s="1"/>
      <c r="B926" s="1"/>
      <c r="C926" s="1"/>
      <c r="D926" s="1"/>
      <c r="E926" s="1"/>
      <c r="G926" s="4"/>
      <c r="H926" s="1"/>
    </row>
    <row r="927" spans="1:8" ht="19.5">
      <c r="A927" s="1"/>
      <c r="B927" s="1"/>
      <c r="C927" s="1"/>
      <c r="D927" s="1"/>
      <c r="E927" s="1"/>
      <c r="G927" s="4"/>
      <c r="H927" s="1"/>
    </row>
    <row r="928" spans="1:8" ht="19.5">
      <c r="A928" s="1"/>
      <c r="B928" s="1"/>
      <c r="C928" s="1"/>
      <c r="D928" s="1"/>
      <c r="E928" s="1"/>
      <c r="G928" s="4"/>
      <c r="H928" s="1"/>
    </row>
    <row r="929" spans="1:8" ht="19.5">
      <c r="A929" s="1"/>
      <c r="B929" s="1"/>
      <c r="C929" s="1"/>
      <c r="D929" s="1"/>
      <c r="E929" s="1"/>
      <c r="G929" s="4"/>
      <c r="H929" s="1"/>
    </row>
    <row r="930" spans="1:8" ht="19.5">
      <c r="A930" s="1"/>
      <c r="B930" s="1"/>
      <c r="C930" s="1"/>
      <c r="D930" s="1"/>
      <c r="E930" s="1"/>
      <c r="G930" s="4"/>
      <c r="H930" s="1"/>
    </row>
    <row r="931" spans="1:8" ht="19.5">
      <c r="A931" s="1"/>
      <c r="B931" s="1"/>
      <c r="C931" s="1"/>
      <c r="D931" s="1"/>
      <c r="E931" s="1"/>
      <c r="G931" s="4"/>
      <c r="H931" s="1"/>
    </row>
    <row r="932" spans="1:8" ht="19.5">
      <c r="A932" s="1"/>
      <c r="B932" s="1"/>
      <c r="C932" s="1"/>
      <c r="D932" s="1"/>
      <c r="E932" s="1"/>
      <c r="G932" s="4"/>
      <c r="H932" s="1"/>
    </row>
    <row r="933" spans="1:8" ht="19.5">
      <c r="A933" s="1"/>
      <c r="B933" s="1"/>
      <c r="C933" s="1"/>
      <c r="D933" s="1"/>
      <c r="E933" s="1"/>
      <c r="G933" s="4"/>
      <c r="H933" s="1"/>
    </row>
    <row r="934" spans="1:8" ht="19.5">
      <c r="A934" s="1"/>
      <c r="B934" s="1"/>
      <c r="C934" s="1"/>
      <c r="D934" s="1"/>
      <c r="E934" s="1"/>
      <c r="G934" s="4"/>
      <c r="H934" s="1"/>
    </row>
    <row r="935" spans="1:8" ht="19.5">
      <c r="A935" s="1"/>
      <c r="B935" s="1"/>
      <c r="C935" s="1"/>
      <c r="D935" s="1"/>
      <c r="E935" s="1"/>
      <c r="G935" s="4"/>
      <c r="H935" s="1"/>
    </row>
    <row r="936" spans="1:8" ht="19.5">
      <c r="A936" s="1"/>
      <c r="B936" s="1"/>
      <c r="C936" s="1"/>
      <c r="D936" s="1"/>
      <c r="E936" s="1"/>
      <c r="G936" s="4"/>
      <c r="H936" s="1"/>
    </row>
    <row r="937" spans="1:8" ht="19.5">
      <c r="A937" s="1"/>
      <c r="B937" s="1"/>
      <c r="C937" s="1"/>
      <c r="D937" s="1"/>
      <c r="E937" s="1"/>
      <c r="G937" s="4"/>
      <c r="H937" s="1"/>
    </row>
    <row r="938" spans="1:8" ht="19.5">
      <c r="A938" s="1"/>
      <c r="B938" s="1"/>
      <c r="C938" s="1"/>
      <c r="D938" s="1"/>
      <c r="E938" s="1"/>
      <c r="G938" s="4"/>
      <c r="H938" s="1"/>
    </row>
    <row r="939" spans="1:8" ht="19.5">
      <c r="A939" s="1"/>
      <c r="B939" s="1"/>
      <c r="C939" s="1"/>
      <c r="D939" s="1"/>
      <c r="E939" s="1"/>
      <c r="G939" s="4"/>
      <c r="H939" s="1"/>
    </row>
    <row r="940" spans="1:8" ht="19.5">
      <c r="A940" s="1"/>
      <c r="B940" s="1"/>
      <c r="C940" s="1"/>
      <c r="D940" s="1"/>
      <c r="E940" s="1"/>
      <c r="G940" s="4"/>
      <c r="H940" s="1"/>
    </row>
    <row r="941" spans="1:8" ht="19.5">
      <c r="A941" s="1"/>
      <c r="B941" s="1"/>
      <c r="C941" s="1"/>
      <c r="D941" s="1"/>
      <c r="E941" s="1"/>
      <c r="G941" s="4"/>
      <c r="H941" s="1"/>
    </row>
    <row r="942" spans="1:8" ht="19.5">
      <c r="A942" s="1"/>
      <c r="B942" s="1"/>
      <c r="C942" s="1"/>
      <c r="D942" s="1"/>
      <c r="E942" s="1"/>
      <c r="G942" s="4"/>
      <c r="H942" s="1"/>
    </row>
    <row r="943" spans="1:8" ht="19.5">
      <c r="A943" s="1"/>
      <c r="B943" s="1"/>
      <c r="C943" s="1"/>
      <c r="D943" s="1"/>
      <c r="E943" s="1"/>
      <c r="G943" s="4"/>
      <c r="H943" s="1"/>
    </row>
    <row r="944" spans="1:8" ht="19.5">
      <c r="A944" s="1"/>
      <c r="B944" s="1"/>
      <c r="C944" s="1"/>
      <c r="D944" s="1"/>
      <c r="E944" s="1"/>
      <c r="G944" s="4"/>
      <c r="H944" s="1"/>
    </row>
    <row r="945" spans="1:8" ht="19.5">
      <c r="A945" s="1"/>
      <c r="B945" s="1"/>
      <c r="C945" s="1"/>
      <c r="D945" s="1"/>
      <c r="E945" s="1"/>
      <c r="G945" s="4"/>
      <c r="H945" s="1"/>
    </row>
    <row r="946" spans="1:8" ht="19.5">
      <c r="A946" s="1"/>
      <c r="B946" s="1"/>
      <c r="C946" s="1"/>
      <c r="D946" s="1"/>
      <c r="E946" s="1"/>
      <c r="G946" s="4"/>
      <c r="H946" s="1"/>
    </row>
    <row r="947" spans="1:8" ht="19.5">
      <c r="A947" s="1"/>
      <c r="B947" s="1"/>
      <c r="C947" s="1"/>
      <c r="D947" s="1"/>
      <c r="E947" s="1"/>
      <c r="G947" s="4"/>
      <c r="H947" s="1"/>
    </row>
    <row r="948" spans="1:8" ht="19.5">
      <c r="A948" s="1"/>
      <c r="B948" s="1"/>
      <c r="C948" s="1"/>
      <c r="D948" s="1"/>
      <c r="E948" s="1"/>
      <c r="G948" s="4"/>
      <c r="H948" s="1"/>
    </row>
    <row r="949" spans="1:8" ht="19.5">
      <c r="A949" s="1"/>
      <c r="B949" s="1"/>
      <c r="C949" s="1"/>
      <c r="D949" s="1"/>
      <c r="E949" s="1"/>
      <c r="G949" s="4"/>
      <c r="H949" s="1"/>
    </row>
    <row r="950" spans="1:8" ht="19.5">
      <c r="A950" s="1"/>
      <c r="B950" s="1"/>
      <c r="C950" s="1"/>
      <c r="D950" s="1"/>
      <c r="E950" s="1"/>
      <c r="G950" s="4"/>
      <c r="H950" s="1"/>
    </row>
    <row r="951" spans="1:8" ht="19.5">
      <c r="A951" s="1"/>
      <c r="B951" s="1"/>
      <c r="C951" s="1"/>
      <c r="D951" s="1"/>
      <c r="E951" s="1"/>
      <c r="G951" s="4"/>
      <c r="H951" s="1"/>
    </row>
    <row r="952" spans="1:8" ht="19.5">
      <c r="A952" s="1"/>
      <c r="B952" s="1"/>
      <c r="C952" s="1"/>
      <c r="D952" s="1"/>
      <c r="E952" s="1"/>
      <c r="G952" s="4"/>
      <c r="H952" s="1"/>
    </row>
    <row r="953" spans="1:8" ht="19.5">
      <c r="A953" s="1"/>
      <c r="B953" s="1"/>
      <c r="C953" s="1"/>
      <c r="D953" s="1"/>
      <c r="E953" s="1"/>
      <c r="G953" s="4"/>
      <c r="H953" s="1"/>
    </row>
    <row r="954" spans="1:8" ht="19.5">
      <c r="A954" s="1"/>
      <c r="B954" s="1"/>
      <c r="C954" s="1"/>
      <c r="D954" s="1"/>
      <c r="E954" s="1"/>
      <c r="G954" s="4"/>
      <c r="H954" s="1"/>
    </row>
    <row r="955" spans="1:8" ht="19.5">
      <c r="A955" s="1"/>
      <c r="B955" s="1"/>
      <c r="C955" s="1"/>
      <c r="D955" s="1"/>
      <c r="E955" s="1"/>
      <c r="G955" s="4"/>
      <c r="H955" s="1"/>
    </row>
    <row r="956" spans="1:8" ht="19.5">
      <c r="A956" s="1"/>
      <c r="B956" s="1"/>
      <c r="C956" s="1"/>
      <c r="D956" s="1"/>
      <c r="E956" s="1"/>
      <c r="G956" s="4"/>
      <c r="H956" s="1"/>
    </row>
    <row r="957" spans="1:8" ht="19.5">
      <c r="A957" s="1"/>
      <c r="B957" s="1"/>
      <c r="C957" s="1"/>
      <c r="D957" s="1"/>
      <c r="E957" s="1"/>
      <c r="G957" s="4"/>
      <c r="H957" s="1"/>
    </row>
    <row r="958" spans="1:8" ht="19.5">
      <c r="A958" s="1"/>
      <c r="B958" s="1"/>
      <c r="C958" s="1"/>
      <c r="D958" s="1"/>
      <c r="E958" s="1"/>
      <c r="G958" s="4"/>
      <c r="H958" s="1"/>
    </row>
    <row r="959" spans="1:8" ht="19.5">
      <c r="A959" s="1"/>
      <c r="B959" s="1"/>
      <c r="C959" s="1"/>
      <c r="D959" s="1"/>
      <c r="E959" s="1"/>
      <c r="G959" s="4"/>
      <c r="H959" s="1"/>
    </row>
    <row r="960" spans="1:8" ht="19.5">
      <c r="A960" s="1"/>
      <c r="B960" s="1"/>
      <c r="C960" s="1"/>
      <c r="D960" s="1"/>
      <c r="E960" s="1"/>
      <c r="G960" s="4"/>
      <c r="H960" s="1"/>
    </row>
    <row r="961" spans="1:8" ht="19.5">
      <c r="A961" s="1"/>
      <c r="B961" s="1"/>
      <c r="C961" s="1"/>
      <c r="D961" s="1"/>
      <c r="E961" s="1"/>
      <c r="G961" s="4"/>
      <c r="H961" s="1"/>
    </row>
    <row r="962" spans="1:8" ht="19.5">
      <c r="A962" s="1"/>
      <c r="B962" s="1"/>
      <c r="C962" s="1"/>
      <c r="D962" s="1"/>
      <c r="E962" s="1"/>
      <c r="G962" s="4"/>
      <c r="H962" s="1"/>
    </row>
    <row r="963" spans="1:8" ht="19.5">
      <c r="A963" s="1"/>
      <c r="B963" s="1"/>
      <c r="C963" s="1"/>
      <c r="D963" s="1"/>
      <c r="E963" s="1"/>
      <c r="G963" s="4"/>
      <c r="H963" s="1"/>
    </row>
    <row r="964" spans="1:8" ht="19.5">
      <c r="A964" s="1"/>
      <c r="B964" s="1"/>
      <c r="C964" s="1"/>
      <c r="D964" s="1"/>
      <c r="E964" s="1"/>
      <c r="G964" s="4"/>
      <c r="H964" s="1"/>
    </row>
    <row r="965" spans="1:8" ht="19.5">
      <c r="A965" s="1"/>
      <c r="B965" s="1"/>
      <c r="C965" s="1"/>
      <c r="D965" s="1"/>
      <c r="E965" s="1"/>
      <c r="G965" s="4"/>
      <c r="H965" s="1"/>
    </row>
    <row r="966" spans="1:8" ht="19.5">
      <c r="A966" s="1"/>
      <c r="B966" s="1"/>
      <c r="C966" s="1"/>
      <c r="D966" s="1"/>
      <c r="E966" s="1"/>
      <c r="G966" s="4"/>
      <c r="H966" s="1"/>
    </row>
    <row r="967" spans="1:8" ht="19.5">
      <c r="A967" s="1"/>
      <c r="B967" s="1"/>
      <c r="C967" s="1"/>
      <c r="D967" s="1"/>
      <c r="E967" s="1"/>
      <c r="G967" s="4"/>
      <c r="H967" s="1"/>
    </row>
    <row r="968" spans="1:8" ht="19.5">
      <c r="A968" s="1"/>
      <c r="B968" s="1"/>
      <c r="C968" s="1"/>
      <c r="D968" s="1"/>
      <c r="E968" s="1"/>
      <c r="G968" s="4"/>
      <c r="H968" s="1"/>
    </row>
    <row r="969" spans="1:8" ht="19.5">
      <c r="A969" s="1"/>
      <c r="B969" s="1"/>
      <c r="C969" s="1"/>
      <c r="D969" s="1"/>
      <c r="E969" s="1"/>
      <c r="G969" s="4"/>
      <c r="H969" s="1"/>
    </row>
    <row r="970" spans="1:8" ht="19.5">
      <c r="A970" s="1"/>
      <c r="B970" s="1"/>
      <c r="C970" s="1"/>
      <c r="D970" s="1"/>
      <c r="E970" s="1"/>
      <c r="G970" s="4"/>
      <c r="H970" s="1"/>
    </row>
    <row r="971" spans="1:8" ht="19.5">
      <c r="A971" s="1"/>
      <c r="B971" s="1"/>
      <c r="C971" s="1"/>
      <c r="D971" s="1"/>
      <c r="E971" s="1"/>
      <c r="G971" s="4"/>
      <c r="H971" s="1"/>
    </row>
    <row r="972" spans="1:8" ht="19.5">
      <c r="A972" s="1"/>
      <c r="B972" s="1"/>
      <c r="C972" s="1"/>
      <c r="D972" s="1"/>
      <c r="E972" s="1"/>
      <c r="G972" s="4"/>
      <c r="H972" s="1"/>
    </row>
    <row r="973" spans="1:8" ht="19.5">
      <c r="A973" s="1"/>
      <c r="B973" s="1"/>
      <c r="C973" s="1"/>
      <c r="D973" s="1"/>
      <c r="E973" s="1"/>
      <c r="G973" s="4"/>
      <c r="H973" s="1"/>
    </row>
    <row r="974" spans="1:8" ht="19.5">
      <c r="A974" s="1"/>
      <c r="B974" s="1"/>
      <c r="C974" s="1"/>
      <c r="D974" s="1"/>
      <c r="E974" s="1"/>
      <c r="G974" s="4"/>
      <c r="H974" s="1"/>
    </row>
    <row r="975" spans="1:8" ht="19.5">
      <c r="A975" s="1"/>
      <c r="B975" s="1"/>
      <c r="C975" s="1"/>
      <c r="D975" s="1"/>
      <c r="E975" s="1"/>
      <c r="G975" s="4"/>
      <c r="H975" s="1"/>
    </row>
    <row r="976" spans="1:8" ht="19.5">
      <c r="A976" s="1"/>
      <c r="B976" s="1"/>
      <c r="C976" s="1"/>
      <c r="D976" s="1"/>
      <c r="E976" s="1"/>
      <c r="G976" s="4"/>
      <c r="H976" s="1"/>
    </row>
    <row r="977" spans="1:8" ht="19.5">
      <c r="A977" s="1"/>
      <c r="B977" s="1"/>
      <c r="C977" s="1"/>
      <c r="D977" s="1"/>
      <c r="E977" s="1"/>
      <c r="G977" s="4"/>
      <c r="H977" s="1"/>
    </row>
    <row r="978" spans="1:8" ht="19.5">
      <c r="A978" s="1"/>
      <c r="B978" s="1"/>
      <c r="C978" s="1"/>
      <c r="D978" s="1"/>
      <c r="E978" s="1"/>
      <c r="G978" s="4"/>
      <c r="H978" s="1"/>
    </row>
    <row r="979" spans="1:8" ht="19.5">
      <c r="A979" s="1"/>
      <c r="B979" s="1"/>
      <c r="C979" s="1"/>
      <c r="D979" s="1"/>
      <c r="E979" s="1"/>
      <c r="G979" s="4"/>
      <c r="H979" s="1"/>
    </row>
    <row r="980" spans="1:8" ht="19.5">
      <c r="A980" s="1"/>
      <c r="B980" s="1"/>
      <c r="C980" s="1"/>
      <c r="D980" s="1"/>
      <c r="E980" s="1"/>
      <c r="G980" s="4"/>
      <c r="H980" s="1"/>
    </row>
    <row r="981" spans="1:8" ht="19.5">
      <c r="A981" s="1"/>
      <c r="B981" s="1"/>
      <c r="C981" s="1"/>
      <c r="D981" s="1"/>
      <c r="E981" s="1"/>
      <c r="G981" s="4"/>
      <c r="H981" s="1"/>
    </row>
    <row r="982" spans="1:8" ht="19.5">
      <c r="A982" s="1"/>
      <c r="B982" s="1"/>
      <c r="C982" s="1"/>
      <c r="D982" s="1"/>
      <c r="E982" s="1"/>
      <c r="G982" s="4"/>
      <c r="H982" s="1"/>
    </row>
    <row r="983" spans="1:8" ht="19.5">
      <c r="A983" s="1"/>
      <c r="B983" s="1"/>
      <c r="C983" s="1"/>
      <c r="D983" s="1"/>
      <c r="E983" s="1"/>
      <c r="G983" s="4"/>
      <c r="H983" s="1"/>
    </row>
    <row r="984" spans="1:8" ht="19.5">
      <c r="A984" s="1"/>
      <c r="B984" s="1"/>
      <c r="C984" s="1"/>
      <c r="D984" s="1"/>
      <c r="E984" s="1"/>
      <c r="G984" s="4"/>
      <c r="H984" s="1"/>
    </row>
    <row r="985" spans="1:8" ht="19.5">
      <c r="A985" s="1"/>
      <c r="B985" s="1"/>
      <c r="C985" s="1"/>
      <c r="D985" s="1"/>
      <c r="E985" s="1"/>
      <c r="G985" s="4"/>
      <c r="H985" s="1"/>
    </row>
    <row r="986" spans="1:8" ht="19.5">
      <c r="A986" s="1"/>
      <c r="B986" s="1"/>
      <c r="C986" s="1"/>
      <c r="D986" s="1"/>
      <c r="E986" s="1"/>
      <c r="G986" s="4"/>
      <c r="H986" s="1"/>
    </row>
    <row r="987" spans="1:8" ht="19.5">
      <c r="A987" s="1"/>
      <c r="B987" s="1"/>
      <c r="C987" s="1"/>
      <c r="D987" s="1"/>
      <c r="E987" s="1"/>
      <c r="G987" s="4"/>
      <c r="H987" s="1"/>
    </row>
    <row r="988" spans="1:8" ht="19.5">
      <c r="A988" s="1"/>
      <c r="B988" s="1"/>
      <c r="C988" s="1"/>
      <c r="D988" s="1"/>
      <c r="E988" s="1"/>
      <c r="G988" s="4"/>
      <c r="H988" s="1"/>
    </row>
    <row r="989" spans="1:8" ht="19.5">
      <c r="A989" s="1"/>
      <c r="B989" s="1"/>
      <c r="C989" s="1"/>
      <c r="D989" s="1"/>
      <c r="E989" s="1"/>
      <c r="G989" s="4"/>
      <c r="H989" s="1"/>
    </row>
    <row r="990" spans="1:8" ht="19.5">
      <c r="A990" s="1"/>
      <c r="B990" s="1"/>
      <c r="C990" s="1"/>
      <c r="D990" s="1"/>
      <c r="E990" s="1"/>
      <c r="G990" s="4"/>
      <c r="H990" s="1"/>
    </row>
    <row r="991" spans="1:8" ht="19.5">
      <c r="A991" s="1"/>
      <c r="B991" s="1"/>
      <c r="C991" s="1"/>
      <c r="D991" s="1"/>
      <c r="E991" s="1"/>
      <c r="G991" s="4"/>
      <c r="H991" s="1"/>
    </row>
    <row r="992" spans="1:8" ht="19.5">
      <c r="A992" s="1"/>
      <c r="B992" s="1"/>
      <c r="C992" s="1"/>
      <c r="D992" s="1"/>
      <c r="E992" s="1"/>
      <c r="G992" s="4"/>
      <c r="H992" s="1"/>
    </row>
    <row r="993" spans="1:8" ht="19.5">
      <c r="A993" s="1"/>
      <c r="B993" s="1"/>
      <c r="C993" s="1"/>
      <c r="D993" s="1"/>
      <c r="E993" s="1"/>
      <c r="G993" s="4"/>
      <c r="H993" s="1"/>
    </row>
    <row r="994" spans="1:8" ht="19.5">
      <c r="A994" s="1"/>
      <c r="B994" s="1"/>
      <c r="C994" s="1"/>
      <c r="D994" s="1"/>
      <c r="E994" s="1"/>
      <c r="G994" s="4"/>
      <c r="H994" s="1"/>
    </row>
    <row r="995" spans="1:8" ht="19.5">
      <c r="A995" s="1"/>
      <c r="B995" s="1"/>
      <c r="C995" s="1"/>
      <c r="D995" s="1"/>
      <c r="E995" s="1"/>
      <c r="G995" s="4"/>
      <c r="H995" s="1"/>
    </row>
    <row r="996" spans="1:8" ht="19.5">
      <c r="A996" s="1"/>
      <c r="B996" s="1"/>
      <c r="C996" s="1"/>
      <c r="D996" s="1"/>
      <c r="E996" s="1"/>
      <c r="G996" s="4"/>
      <c r="H996" s="1"/>
    </row>
    <row r="997" spans="1:8" ht="19.5">
      <c r="A997" s="1"/>
      <c r="B997" s="1"/>
      <c r="C997" s="1"/>
      <c r="D997" s="1"/>
      <c r="E997" s="1"/>
      <c r="G997" s="4"/>
      <c r="H997" s="1"/>
    </row>
    <row r="998" spans="1:8" ht="19.5">
      <c r="A998" s="1"/>
      <c r="B998" s="1"/>
      <c r="C998" s="1"/>
      <c r="D998" s="1"/>
      <c r="E998" s="1"/>
      <c r="G998" s="4"/>
      <c r="H998" s="1"/>
    </row>
    <row r="999" spans="1:8" ht="19.5">
      <c r="A999" s="1"/>
      <c r="B999" s="1"/>
      <c r="C999" s="1"/>
      <c r="D999" s="1"/>
      <c r="E999" s="1"/>
      <c r="G999" s="4"/>
      <c r="H999" s="1"/>
    </row>
    <row r="1000" spans="1:8" ht="19.5">
      <c r="A1000" s="1"/>
      <c r="B1000" s="1"/>
      <c r="C1000" s="1"/>
      <c r="D1000" s="1"/>
      <c r="E1000" s="1"/>
      <c r="G1000" s="4"/>
      <c r="H1000" s="1"/>
    </row>
    <row r="1001" spans="1:8" ht="19.5">
      <c r="A1001" s="1"/>
      <c r="B1001" s="1"/>
      <c r="C1001" s="1"/>
      <c r="D1001" s="1"/>
      <c r="E1001" s="1"/>
      <c r="G1001" s="4"/>
      <c r="H1001" s="1"/>
    </row>
    <row r="1002" spans="1:8" ht="19.5">
      <c r="A1002" s="1"/>
      <c r="B1002" s="1"/>
      <c r="C1002" s="1"/>
      <c r="D1002" s="1"/>
      <c r="E1002" s="1"/>
      <c r="G1002" s="4"/>
      <c r="H1002" s="1"/>
    </row>
    <row r="1003" spans="1:8" ht="19.5">
      <c r="A1003" s="1"/>
      <c r="B1003" s="1"/>
      <c r="C1003" s="1"/>
      <c r="D1003" s="1"/>
      <c r="E1003" s="1"/>
      <c r="G1003" s="4"/>
      <c r="H1003" s="1"/>
    </row>
    <row r="1004" spans="1:8" ht="19.5">
      <c r="A1004" s="1"/>
      <c r="B1004" s="1"/>
      <c r="C1004" s="1"/>
      <c r="D1004" s="1"/>
      <c r="E1004" s="1"/>
      <c r="G1004" s="4"/>
      <c r="H1004" s="1"/>
    </row>
    <row r="1005" spans="1:8" ht="19.5">
      <c r="A1005" s="1"/>
      <c r="B1005" s="1"/>
      <c r="C1005" s="1"/>
      <c r="D1005" s="1"/>
      <c r="E1005" s="1"/>
      <c r="G1005" s="4"/>
      <c r="H1005" s="1"/>
    </row>
    <row r="1006" spans="1:8" ht="19.5">
      <c r="A1006" s="1"/>
      <c r="B1006" s="1"/>
      <c r="C1006" s="1"/>
      <c r="D1006" s="1"/>
      <c r="E1006" s="1"/>
      <c r="G1006" s="4"/>
      <c r="H1006" s="1"/>
    </row>
    <row r="1007" spans="1:8" ht="19.5">
      <c r="A1007" s="1"/>
      <c r="B1007" s="1"/>
      <c r="C1007" s="1"/>
      <c r="D1007" s="1"/>
      <c r="E1007" s="1"/>
      <c r="G1007" s="4"/>
      <c r="H1007" s="1"/>
    </row>
    <row r="1008" spans="1:8" ht="19.5">
      <c r="A1008" s="1"/>
      <c r="B1008" s="1"/>
      <c r="C1008" s="1"/>
      <c r="D1008" s="1"/>
      <c r="E1008" s="1"/>
      <c r="G1008" s="4"/>
      <c r="H1008" s="1"/>
    </row>
  </sheetData>
  <mergeCells count="2">
    <mergeCell ref="D1:E1"/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1006"/>
  <sheetViews>
    <sheetView tabSelected="1" workbookViewId="0"/>
  </sheetViews>
  <sheetFormatPr baseColWidth="10" defaultColWidth="14.42578125" defaultRowHeight="15" customHeight="1"/>
  <cols>
    <col min="1" max="1" width="7" customWidth="1"/>
    <col min="2" max="2" width="13.85546875" customWidth="1"/>
    <col min="3" max="3" width="89.140625" customWidth="1"/>
    <col min="4" max="4" width="11.7109375" customWidth="1"/>
    <col min="5" max="5" width="11.42578125" customWidth="1"/>
    <col min="6" max="6" width="13.42578125" customWidth="1"/>
    <col min="7" max="7" width="30.28515625" customWidth="1"/>
    <col min="8" max="8" width="14.28515625" customWidth="1"/>
    <col min="9" max="9" width="13.85546875" customWidth="1"/>
    <col min="11" max="11" width="21" customWidth="1"/>
  </cols>
  <sheetData>
    <row r="1" spans="1:39" ht="23.25" customHeight="1">
      <c r="A1" s="1"/>
      <c r="B1" s="1"/>
      <c r="C1" s="336"/>
      <c r="D1" s="515"/>
      <c r="E1" s="516"/>
      <c r="F1" s="337" t="s">
        <v>0</v>
      </c>
      <c r="G1" s="4"/>
      <c r="H1" s="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20.25" customHeight="1">
      <c r="A2" s="1"/>
      <c r="B2" s="514" t="s">
        <v>219</v>
      </c>
      <c r="C2" s="510"/>
      <c r="D2" s="382">
        <f t="shared" ref="D2:E2" si="0">SUM(D4:D72)</f>
        <v>1125300</v>
      </c>
      <c r="E2" s="382">
        <f t="shared" si="0"/>
        <v>1249860</v>
      </c>
      <c r="F2" s="383">
        <f>SUM(D2-E2)</f>
        <v>-124560</v>
      </c>
      <c r="G2" s="384" t="s">
        <v>220</v>
      </c>
      <c r="H2" s="1"/>
      <c r="I2" s="5"/>
    </row>
    <row r="3" spans="1:39" ht="23.25" customHeight="1">
      <c r="A3" s="1"/>
      <c r="B3" s="12" t="s">
        <v>2</v>
      </c>
      <c r="C3" s="12" t="s">
        <v>3</v>
      </c>
      <c r="D3" s="13" t="s">
        <v>4</v>
      </c>
      <c r="E3" s="13" t="s">
        <v>5</v>
      </c>
      <c r="F3" s="13" t="s">
        <v>0</v>
      </c>
      <c r="G3" s="21"/>
      <c r="H3" s="1"/>
      <c r="I3" s="5"/>
    </row>
    <row r="4" spans="1:39" ht="15" customHeight="1">
      <c r="A4" s="15"/>
      <c r="B4" s="16"/>
      <c r="C4" s="196" t="s">
        <v>221</v>
      </c>
      <c r="D4" s="18">
        <v>5300</v>
      </c>
      <c r="E4" s="230"/>
      <c r="F4" s="20">
        <v>0</v>
      </c>
      <c r="G4" s="21"/>
      <c r="H4" s="15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</row>
    <row r="5" spans="1:39" ht="15" customHeight="1">
      <c r="A5" s="15"/>
      <c r="B5" s="16"/>
      <c r="C5" s="23"/>
      <c r="D5" s="24"/>
      <c r="E5" s="231"/>
      <c r="F5" s="26"/>
      <c r="G5" s="21"/>
      <c r="H5" s="15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</row>
    <row r="6" spans="1:39" ht="15" customHeight="1">
      <c r="A6" s="15"/>
      <c r="B6" s="27"/>
      <c r="C6" s="277" t="s">
        <v>7</v>
      </c>
      <c r="D6" s="233"/>
      <c r="E6" s="234"/>
      <c r="F6" s="235"/>
      <c r="G6" s="267">
        <f>SUM(D7:D9)</f>
        <v>0</v>
      </c>
      <c r="H6" s="15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pans="1:39" ht="15" customHeight="1">
      <c r="A7" s="15"/>
      <c r="B7" s="237"/>
      <c r="C7" s="385"/>
      <c r="D7" s="134"/>
      <c r="E7" s="386"/>
      <c r="F7" s="119"/>
      <c r="G7" s="77"/>
      <c r="H7" s="15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</row>
    <row r="8" spans="1:39" ht="15" customHeight="1">
      <c r="A8" s="15"/>
      <c r="B8" s="282"/>
      <c r="C8" s="88"/>
      <c r="D8" s="260"/>
      <c r="E8" s="230"/>
      <c r="F8" s="20"/>
      <c r="G8" s="77"/>
      <c r="H8" s="15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</row>
    <row r="9" spans="1:39" ht="17.25" customHeight="1">
      <c r="A9" s="15"/>
      <c r="B9" s="387"/>
      <c r="C9" s="388"/>
      <c r="D9" s="260"/>
      <c r="E9" s="230"/>
      <c r="F9" s="20"/>
      <c r="G9" s="77"/>
      <c r="H9" s="15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pans="1:39" ht="15" customHeight="1">
      <c r="A10" s="15"/>
      <c r="B10" s="83"/>
      <c r="C10" s="88"/>
      <c r="D10" s="260"/>
      <c r="E10" s="230"/>
      <c r="F10" s="20"/>
      <c r="G10" s="77"/>
      <c r="H10" s="15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</row>
    <row r="11" spans="1:39" ht="15" customHeight="1">
      <c r="A11" s="15"/>
      <c r="B11" s="389"/>
      <c r="C11" s="277" t="s">
        <v>64</v>
      </c>
      <c r="D11" s="233"/>
      <c r="E11" s="234"/>
      <c r="F11" s="235"/>
      <c r="G11" s="267">
        <f>SUM(E13)</f>
        <v>0</v>
      </c>
      <c r="H11" s="15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39" ht="15" customHeight="1">
      <c r="A12" s="73"/>
      <c r="B12" s="254"/>
      <c r="C12" s="256"/>
      <c r="D12" s="390"/>
      <c r="E12" s="391"/>
      <c r="F12" s="392"/>
      <c r="G12" s="393"/>
      <c r="H12" s="73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</row>
    <row r="13" spans="1:39" ht="15" customHeight="1">
      <c r="A13" s="15"/>
      <c r="B13" s="258"/>
      <c r="C13" s="323"/>
      <c r="D13" s="46"/>
      <c r="E13" s="260"/>
      <c r="F13" s="82"/>
      <c r="G13" s="77"/>
      <c r="H13" s="15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39" ht="15" customHeight="1">
      <c r="A14" s="15"/>
      <c r="B14" s="258"/>
      <c r="C14" s="323"/>
      <c r="D14" s="311"/>
      <c r="E14" s="260"/>
      <c r="F14" s="82"/>
      <c r="G14" s="77"/>
      <c r="H14" s="15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39" ht="15" customHeight="1">
      <c r="A15" s="15"/>
      <c r="B15" s="258"/>
      <c r="C15" s="323"/>
      <c r="D15" s="46"/>
      <c r="E15" s="260"/>
      <c r="F15" s="82"/>
      <c r="G15" s="77"/>
      <c r="H15" s="15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15" customHeight="1">
      <c r="A16" s="15"/>
      <c r="B16" s="83"/>
      <c r="C16" s="88"/>
      <c r="D16" s="260"/>
      <c r="E16" s="230"/>
      <c r="F16" s="20"/>
      <c r="G16" s="85" t="s">
        <v>102</v>
      </c>
      <c r="H16" s="262" t="s">
        <v>16</v>
      </c>
      <c r="I16" s="87" t="s">
        <v>18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1:39" ht="15" customHeight="1">
      <c r="A17" s="15"/>
      <c r="B17" s="90"/>
      <c r="C17" s="277" t="s">
        <v>186</v>
      </c>
      <c r="D17" s="233"/>
      <c r="E17" s="234"/>
      <c r="F17" s="235"/>
      <c r="G17" s="267">
        <f>SUM(D18:D26)</f>
        <v>1120000</v>
      </c>
      <c r="H17" s="351">
        <v>1236500</v>
      </c>
      <c r="I17" s="352">
        <f>SUM(G17-H17)</f>
        <v>-116500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 ht="18" customHeight="1">
      <c r="A18" s="15"/>
      <c r="B18" s="237">
        <v>46058</v>
      </c>
      <c r="C18" s="394" t="s">
        <v>188</v>
      </c>
      <c r="D18" s="395">
        <v>63000</v>
      </c>
      <c r="E18" s="394"/>
      <c r="F18" s="396"/>
      <c r="G18" s="77"/>
      <c r="H18" s="15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39" ht="16.5" customHeight="1">
      <c r="A19" s="15"/>
      <c r="B19" s="237">
        <v>46056</v>
      </c>
      <c r="C19" s="260" t="s">
        <v>189</v>
      </c>
      <c r="D19" s="269">
        <v>100000</v>
      </c>
      <c r="E19" s="260"/>
      <c r="F19" s="82"/>
      <c r="G19" s="77"/>
      <c r="H19" s="15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39" ht="17.25" customHeight="1">
      <c r="A20" s="15"/>
      <c r="B20" s="237">
        <v>46059</v>
      </c>
      <c r="C20" s="260" t="s">
        <v>190</v>
      </c>
      <c r="D20" s="269">
        <v>126000</v>
      </c>
      <c r="E20" s="260"/>
      <c r="F20" s="82"/>
      <c r="G20" s="77"/>
      <c r="H20" s="15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39" ht="17.25" customHeight="1">
      <c r="A21" s="15"/>
      <c r="B21" s="237">
        <v>46059</v>
      </c>
      <c r="C21" s="260" t="s">
        <v>191</v>
      </c>
      <c r="D21" s="269">
        <v>53000</v>
      </c>
      <c r="E21" s="260"/>
      <c r="F21" s="82"/>
      <c r="G21" s="77"/>
      <c r="H21" s="15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39" ht="17.25" customHeight="1">
      <c r="A22" s="15"/>
      <c r="B22" s="237">
        <v>46063</v>
      </c>
      <c r="C22" s="260" t="s">
        <v>192</v>
      </c>
      <c r="D22" s="105">
        <v>85000</v>
      </c>
      <c r="E22" s="260"/>
      <c r="F22" s="82"/>
      <c r="G22" s="77"/>
      <c r="H22" s="15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 ht="17.25" customHeight="1">
      <c r="A23" s="15"/>
      <c r="B23" s="237">
        <v>46065</v>
      </c>
      <c r="C23" s="260" t="s">
        <v>193</v>
      </c>
      <c r="D23" s="279">
        <v>85000</v>
      </c>
      <c r="E23" s="260"/>
      <c r="F23" s="82"/>
      <c r="G23" s="77"/>
      <c r="H23" s="15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 ht="17.25" customHeight="1">
      <c r="A24" s="15"/>
      <c r="B24" s="237">
        <v>46074</v>
      </c>
      <c r="C24" s="353" t="s">
        <v>194</v>
      </c>
      <c r="D24" s="108">
        <v>74000</v>
      </c>
      <c r="E24" s="260"/>
      <c r="F24" s="82"/>
      <c r="G24" s="77"/>
      <c r="H24" s="15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</row>
    <row r="25" spans="1:39" ht="17.25" customHeight="1">
      <c r="A25" s="15"/>
      <c r="B25" s="237">
        <v>46078</v>
      </c>
      <c r="C25" s="109" t="s">
        <v>222</v>
      </c>
      <c r="D25" s="108">
        <v>534000</v>
      </c>
      <c r="E25" s="260"/>
      <c r="F25" s="82"/>
      <c r="G25" s="77"/>
      <c r="H25" s="15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39" ht="17.25" customHeight="1">
      <c r="A26" s="15"/>
      <c r="B26" s="83"/>
      <c r="C26" s="111"/>
      <c r="D26" s="20"/>
      <c r="E26" s="260"/>
      <c r="F26" s="20"/>
      <c r="G26" s="77"/>
      <c r="H26" s="15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39" ht="17.25" customHeight="1">
      <c r="A27" s="15"/>
      <c r="B27" s="113"/>
      <c r="C27" s="274" t="s">
        <v>29</v>
      </c>
      <c r="D27" s="233"/>
      <c r="E27" s="234"/>
      <c r="F27" s="235"/>
      <c r="G27" s="267">
        <f>SUM(E28)</f>
        <v>700000</v>
      </c>
      <c r="H27" s="115">
        <v>700000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39" ht="16.5" customHeight="1">
      <c r="A28" s="15"/>
      <c r="B28" s="254"/>
      <c r="C28" s="116" t="s">
        <v>223</v>
      </c>
      <c r="D28" s="117"/>
      <c r="E28" s="134">
        <v>700000</v>
      </c>
      <c r="F28" s="119"/>
      <c r="G28" s="77"/>
      <c r="H28" s="15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39" ht="17.25" customHeight="1">
      <c r="A29" s="15"/>
      <c r="B29" s="83"/>
      <c r="C29" s="120"/>
      <c r="D29" s="26"/>
      <c r="E29" s="276"/>
      <c r="F29" s="26"/>
      <c r="G29" s="77"/>
      <c r="H29" s="15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 ht="17.25" customHeight="1">
      <c r="A30" s="15"/>
      <c r="B30" s="123"/>
      <c r="C30" s="277" t="s">
        <v>31</v>
      </c>
      <c r="D30" s="233"/>
      <c r="E30" s="234"/>
      <c r="F30" s="235"/>
      <c r="G30" s="267">
        <f>SUM(E31+E32+E33)</f>
        <v>174920</v>
      </c>
      <c r="H30" s="125">
        <v>177070</v>
      </c>
      <c r="I30" s="22" t="s">
        <v>107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</row>
    <row r="31" spans="1:39" ht="15" customHeight="1">
      <c r="A31" s="15"/>
      <c r="B31" s="237"/>
      <c r="C31" s="126" t="s">
        <v>224</v>
      </c>
      <c r="D31" s="127"/>
      <c r="E31" s="278">
        <v>15690</v>
      </c>
      <c r="F31" s="119"/>
      <c r="G31" s="77"/>
      <c r="H31" s="1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 ht="15" customHeight="1">
      <c r="A32" s="15"/>
      <c r="B32" s="237"/>
      <c r="C32" s="219" t="s">
        <v>225</v>
      </c>
      <c r="D32" s="354"/>
      <c r="E32" s="355">
        <v>72600</v>
      </c>
      <c r="F32" s="20"/>
      <c r="G32" s="77"/>
      <c r="H32" s="15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</row>
    <row r="33" spans="1:39" ht="15" customHeight="1">
      <c r="A33" s="15"/>
      <c r="B33" s="237"/>
      <c r="C33" s="130" t="s">
        <v>226</v>
      </c>
      <c r="D33" s="46"/>
      <c r="E33" s="279">
        <v>86630</v>
      </c>
      <c r="F33" s="82"/>
      <c r="G33" s="77"/>
      <c r="H33" s="15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39" ht="15" customHeight="1">
      <c r="A34" s="15"/>
      <c r="B34" s="132"/>
      <c r="C34" s="133"/>
      <c r="D34" s="46"/>
      <c r="E34" s="260"/>
      <c r="F34" s="82"/>
      <c r="G34" s="77"/>
      <c r="H34" s="15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 ht="15" customHeight="1">
      <c r="A35" s="15"/>
      <c r="B35" s="27"/>
      <c r="C35" s="232" t="s">
        <v>200</v>
      </c>
      <c r="D35" s="233"/>
      <c r="E35" s="234"/>
      <c r="F35" s="235"/>
      <c r="G35" s="267">
        <f>SUM(E36:E46)</f>
        <v>90000</v>
      </c>
      <c r="H35" s="125">
        <v>90000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39" ht="15" customHeight="1">
      <c r="A36" s="15"/>
      <c r="B36" s="237">
        <v>46058</v>
      </c>
      <c r="C36" s="134" t="s">
        <v>227</v>
      </c>
      <c r="D36" s="80"/>
      <c r="E36" s="42">
        <v>10000</v>
      </c>
      <c r="F36" s="20"/>
      <c r="G36" s="77"/>
      <c r="H36" s="15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</row>
    <row r="37" spans="1:39" ht="15" customHeight="1">
      <c r="A37" s="15"/>
      <c r="B37" s="237">
        <v>46060</v>
      </c>
      <c r="C37" s="134" t="s">
        <v>228</v>
      </c>
      <c r="D37" s="80"/>
      <c r="E37" s="280">
        <v>10000</v>
      </c>
      <c r="F37" s="20"/>
      <c r="G37" s="77"/>
      <c r="H37" s="15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39" ht="15" customHeight="1">
      <c r="A38" s="15"/>
      <c r="B38" s="237">
        <v>46062</v>
      </c>
      <c r="C38" s="134" t="s">
        <v>229</v>
      </c>
      <c r="D38" s="136"/>
      <c r="E38" s="280">
        <v>10000</v>
      </c>
      <c r="F38" s="82"/>
      <c r="G38" s="77"/>
      <c r="H38" s="15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39" ht="15" customHeight="1">
      <c r="A39" s="15"/>
      <c r="B39" s="237">
        <v>46065</v>
      </c>
      <c r="C39" s="134" t="s">
        <v>230</v>
      </c>
      <c r="D39" s="136"/>
      <c r="E39" s="146">
        <v>10000</v>
      </c>
      <c r="F39" s="20"/>
      <c r="G39" s="22"/>
      <c r="H39" s="15"/>
      <c r="I39" s="22"/>
      <c r="J39" s="15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</row>
    <row r="40" spans="1:39" ht="15" customHeight="1">
      <c r="A40" s="15"/>
      <c r="B40" s="237">
        <v>46070</v>
      </c>
      <c r="C40" s="134" t="s">
        <v>231</v>
      </c>
      <c r="D40" s="80"/>
      <c r="E40" s="146">
        <v>10000</v>
      </c>
      <c r="F40" s="20"/>
      <c r="G40" s="22"/>
      <c r="H40" s="15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</row>
    <row r="41" spans="1:39" ht="15" customHeight="1">
      <c r="A41" s="15"/>
      <c r="B41" s="237">
        <v>46073</v>
      </c>
      <c r="C41" s="134" t="s">
        <v>232</v>
      </c>
      <c r="D41" s="137"/>
      <c r="E41" s="146">
        <v>10000</v>
      </c>
      <c r="F41" s="139"/>
      <c r="G41" s="77"/>
      <c r="H41" s="15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</row>
    <row r="42" spans="1:39" ht="15" customHeight="1">
      <c r="A42" s="15"/>
      <c r="B42" s="237">
        <v>46076</v>
      </c>
      <c r="C42" s="134" t="s">
        <v>233</v>
      </c>
      <c r="D42" s="46"/>
      <c r="E42" s="146">
        <v>10000</v>
      </c>
      <c r="F42" s="139"/>
      <c r="G42" s="77"/>
      <c r="H42" s="15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</row>
    <row r="43" spans="1:39" ht="15" customHeight="1">
      <c r="A43" s="15"/>
      <c r="B43" s="237">
        <v>46077</v>
      </c>
      <c r="C43" s="134" t="s">
        <v>234</v>
      </c>
      <c r="D43" s="46"/>
      <c r="E43" s="146">
        <v>10000</v>
      </c>
      <c r="F43" s="139"/>
      <c r="G43" s="77"/>
      <c r="H43" s="15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39" ht="15" customHeight="1">
      <c r="A44" s="15"/>
      <c r="B44" s="237">
        <v>46080</v>
      </c>
      <c r="C44" s="134" t="s">
        <v>235</v>
      </c>
      <c r="D44" s="46"/>
      <c r="E44" s="146">
        <v>10000</v>
      </c>
      <c r="F44" s="139"/>
      <c r="G44" s="77"/>
      <c r="H44" s="15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39" ht="15" customHeight="1">
      <c r="A45" s="15"/>
      <c r="B45" s="357"/>
      <c r="C45" s="260"/>
      <c r="D45" s="46"/>
      <c r="E45" s="230"/>
      <c r="F45" s="139"/>
      <c r="G45" s="77"/>
      <c r="H45" s="15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</row>
    <row r="46" spans="1:39" ht="15" customHeight="1">
      <c r="A46" s="15"/>
      <c r="B46" s="357"/>
      <c r="C46" s="276"/>
      <c r="D46" s="24"/>
      <c r="E46" s="231"/>
      <c r="F46" s="26"/>
      <c r="G46" s="77"/>
      <c r="H46" s="15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</row>
    <row r="47" spans="1:39" ht="15" customHeight="1">
      <c r="A47" s="15"/>
      <c r="B47" s="27"/>
      <c r="C47" s="277" t="s">
        <v>163</v>
      </c>
      <c r="D47" s="233"/>
      <c r="E47" s="234"/>
      <c r="F47" s="235"/>
      <c r="G47" s="359">
        <v>32006</v>
      </c>
      <c r="H47" s="153">
        <v>85000</v>
      </c>
      <c r="I47" s="15" t="s">
        <v>44</v>
      </c>
      <c r="J47" s="154">
        <v>284940</v>
      </c>
      <c r="K47" s="145" t="s">
        <v>45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</row>
    <row r="48" spans="1:39" ht="15" customHeight="1">
      <c r="A48" s="15"/>
      <c r="B48" s="237"/>
      <c r="C48" s="397" t="s">
        <v>236</v>
      </c>
      <c r="D48" s="46"/>
      <c r="E48" s="355">
        <v>26496</v>
      </c>
      <c r="F48" s="20"/>
      <c r="G48" s="77"/>
      <c r="H48" s="143"/>
      <c r="I48" s="22"/>
      <c r="J48" s="15"/>
      <c r="K48" s="15"/>
      <c r="L48" s="145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</row>
    <row r="49" spans="1:39" ht="15" customHeight="1">
      <c r="A49" s="15"/>
      <c r="B49" s="237"/>
      <c r="C49" s="165" t="s">
        <v>237</v>
      </c>
      <c r="D49" s="46"/>
      <c r="E49" s="261">
        <f>SUM(G47-E48)</f>
        <v>5510</v>
      </c>
      <c r="F49" s="20"/>
      <c r="G49" s="77"/>
      <c r="H49" s="15"/>
      <c r="I49" s="22"/>
      <c r="J49" s="15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</row>
    <row r="50" spans="1:39" ht="15" customHeight="1">
      <c r="A50" s="15"/>
      <c r="B50" s="282"/>
      <c r="C50" s="362"/>
      <c r="D50" s="46"/>
      <c r="E50" s="230"/>
      <c r="F50" s="20"/>
      <c r="G50" s="77"/>
      <c r="H50" s="15"/>
      <c r="I50" s="22"/>
      <c r="J50" s="15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39" ht="15" customHeight="1">
      <c r="A51" s="15"/>
      <c r="B51" s="27"/>
      <c r="C51" s="277" t="s">
        <v>164</v>
      </c>
      <c r="D51" s="233"/>
      <c r="E51" s="234"/>
      <c r="F51" s="235"/>
      <c r="G51" s="359">
        <f>SUM(E52:E54)</f>
        <v>152254</v>
      </c>
      <c r="H51" s="153">
        <v>114940</v>
      </c>
      <c r="I51" s="15" t="s">
        <v>44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</row>
    <row r="52" spans="1:39" ht="15" customHeight="1">
      <c r="A52" s="15"/>
      <c r="B52" s="237">
        <v>45679</v>
      </c>
      <c r="C52" s="363" t="s">
        <v>238</v>
      </c>
      <c r="D52" s="331"/>
      <c r="E52" s="239">
        <v>152254</v>
      </c>
      <c r="F52" s="119"/>
      <c r="G52" s="77"/>
      <c r="H52" s="15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</row>
    <row r="53" spans="1:39" ht="15" customHeight="1">
      <c r="A53" s="15"/>
      <c r="B53" s="282"/>
      <c r="C53" s="364"/>
      <c r="D53" s="365"/>
      <c r="E53" s="366"/>
      <c r="F53" s="367"/>
      <c r="G53" s="77"/>
      <c r="H53" s="15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</row>
    <row r="54" spans="1:39" ht="15" customHeight="1">
      <c r="A54" s="15"/>
      <c r="B54" s="282"/>
      <c r="C54" s="368"/>
      <c r="D54" s="369"/>
      <c r="E54" s="231"/>
      <c r="F54" s="26"/>
      <c r="G54" s="77"/>
      <c r="H54" s="1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</row>
    <row r="55" spans="1:39" ht="15" customHeight="1">
      <c r="A55" s="15"/>
      <c r="B55" s="398"/>
      <c r="C55" s="277" t="s">
        <v>48</v>
      </c>
      <c r="D55" s="233"/>
      <c r="E55" s="234"/>
      <c r="F55" s="235"/>
      <c r="G55" s="267">
        <f>SUM(E56:E57)</f>
        <v>100680</v>
      </c>
      <c r="H55" s="284">
        <v>85000</v>
      </c>
      <c r="I55" s="15" t="s">
        <v>44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</row>
    <row r="56" spans="1:39" ht="15" customHeight="1">
      <c r="A56" s="15"/>
      <c r="B56" s="237">
        <v>45679</v>
      </c>
      <c r="C56" s="363" t="s">
        <v>239</v>
      </c>
      <c r="D56" s="331"/>
      <c r="E56" s="239">
        <v>100680</v>
      </c>
      <c r="F56" s="119"/>
      <c r="G56" s="77"/>
      <c r="H56" s="15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</row>
    <row r="57" spans="1:39" ht="15" customHeight="1">
      <c r="A57" s="15"/>
      <c r="B57" s="282"/>
      <c r="C57" s="368"/>
      <c r="D57" s="46"/>
      <c r="E57" s="230"/>
      <c r="F57" s="26"/>
      <c r="G57" s="77"/>
      <c r="H57" s="15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39" ht="15" customHeight="1">
      <c r="A58" s="15"/>
      <c r="B58" s="27"/>
      <c r="C58" s="277" t="s">
        <v>50</v>
      </c>
      <c r="D58" s="399"/>
      <c r="E58" s="400"/>
      <c r="F58" s="235"/>
      <c r="G58" s="267">
        <f>SUM(E59:E60)</f>
        <v>0</v>
      </c>
      <c r="H58" s="15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39" ht="15" customHeight="1">
      <c r="A59" s="15"/>
      <c r="B59" s="282"/>
      <c r="C59" s="330" t="s">
        <v>214</v>
      </c>
      <c r="D59" s="386"/>
      <c r="E59" s="303">
        <v>0</v>
      </c>
      <c r="F59" s="119"/>
      <c r="G59" s="77"/>
      <c r="H59" s="15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</row>
    <row r="60" spans="1:39" ht="15" customHeight="1">
      <c r="A60" s="15"/>
      <c r="B60" s="237"/>
      <c r="C60" s="330"/>
      <c r="D60" s="331"/>
      <c r="E60" s="240"/>
      <c r="F60" s="20"/>
      <c r="G60" s="77"/>
      <c r="H60" s="15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</row>
    <row r="61" spans="1:39" ht="15" customHeight="1">
      <c r="A61" s="15"/>
      <c r="B61" s="282"/>
      <c r="C61" s="299"/>
      <c r="D61" s="300"/>
      <c r="E61" s="301"/>
      <c r="F61" s="297"/>
      <c r="G61" s="334"/>
      <c r="H61" s="15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</row>
    <row r="62" spans="1:39" ht="15" customHeight="1">
      <c r="A62" s="15"/>
      <c r="B62" s="282"/>
      <c r="C62" s="277" t="s">
        <v>128</v>
      </c>
      <c r="D62" s="233"/>
      <c r="E62" s="234"/>
      <c r="F62" s="235"/>
      <c r="G62" s="267">
        <f>SUM(E63:E64)</f>
        <v>0</v>
      </c>
      <c r="H62" s="15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</row>
    <row r="63" spans="1:39" ht="15" customHeight="1">
      <c r="A63" s="188"/>
      <c r="B63" s="401"/>
      <c r="C63" s="402" t="s">
        <v>217</v>
      </c>
      <c r="D63" s="192"/>
      <c r="E63" s="303">
        <v>0</v>
      </c>
      <c r="F63" s="192"/>
      <c r="G63" s="193"/>
      <c r="H63" s="188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</row>
    <row r="64" spans="1:39" ht="18.75" customHeight="1">
      <c r="A64" s="15"/>
      <c r="B64" s="83"/>
      <c r="C64" s="20"/>
      <c r="D64" s="20"/>
      <c r="E64" s="20"/>
      <c r="F64" s="20"/>
      <c r="G64" s="22"/>
      <c r="H64" s="15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</row>
    <row r="65" spans="1:39" ht="15" customHeight="1">
      <c r="A65" s="15"/>
      <c r="B65" s="123"/>
      <c r="C65" s="277" t="s">
        <v>174</v>
      </c>
      <c r="D65" s="233"/>
      <c r="E65" s="234"/>
      <c r="F65" s="235"/>
      <c r="G65" s="267">
        <f>SUM(E66:E67)</f>
        <v>0</v>
      </c>
      <c r="H65" s="15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</row>
    <row r="66" spans="1:39" ht="15" customHeight="1">
      <c r="A66" s="15"/>
      <c r="B66" s="83"/>
      <c r="C66" s="335"/>
      <c r="D66" s="335"/>
      <c r="E66" s="303">
        <v>0</v>
      </c>
      <c r="F66" s="119"/>
      <c r="G66" s="77"/>
      <c r="H66" s="15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</row>
    <row r="67" spans="1:39" ht="15" customHeight="1">
      <c r="A67" s="15"/>
      <c r="B67" s="16"/>
      <c r="C67" s="26"/>
      <c r="D67" s="26"/>
      <c r="E67" s="26"/>
      <c r="F67" s="26"/>
      <c r="G67" s="22"/>
      <c r="H67" s="15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</row>
    <row r="68" spans="1:39" ht="15" customHeight="1">
      <c r="A68" s="15"/>
      <c r="B68" s="113"/>
      <c r="C68" s="277" t="s">
        <v>240</v>
      </c>
      <c r="D68" s="233"/>
      <c r="E68" s="303">
        <v>0</v>
      </c>
      <c r="F68" s="235"/>
      <c r="G68" s="267">
        <f>SUM(E69)</f>
        <v>0</v>
      </c>
      <c r="H68" s="15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</row>
    <row r="69" spans="1:39" ht="15" customHeight="1">
      <c r="A69" s="15"/>
      <c r="B69" s="282"/>
      <c r="C69" s="386"/>
      <c r="D69" s="403"/>
      <c r="E69" s="303"/>
      <c r="F69" s="119"/>
      <c r="G69" s="77"/>
      <c r="H69" s="15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</row>
    <row r="70" spans="1:39" ht="15" customHeight="1">
      <c r="A70" s="15"/>
      <c r="B70" s="27"/>
      <c r="C70" s="277" t="s">
        <v>241</v>
      </c>
      <c r="D70" s="233"/>
      <c r="E70" s="303">
        <v>0</v>
      </c>
      <c r="F70" s="235"/>
      <c r="G70" s="267">
        <f>SUM(E71:E72)</f>
        <v>0</v>
      </c>
      <c r="H70" s="15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</row>
    <row r="71" spans="1:39" ht="15" customHeight="1">
      <c r="A71" s="15"/>
      <c r="B71" s="83"/>
      <c r="C71" s="330"/>
      <c r="D71" s="331"/>
      <c r="E71" s="240"/>
      <c r="F71" s="119"/>
      <c r="G71" s="77"/>
      <c r="H71" s="15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</row>
    <row r="72" spans="1:39" ht="15" customHeight="1">
      <c r="A72" s="15"/>
      <c r="B72" s="83"/>
      <c r="C72" s="404"/>
      <c r="D72" s="46"/>
      <c r="E72" s="230"/>
      <c r="F72" s="20"/>
      <c r="G72" s="77"/>
      <c r="H72" s="15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</row>
    <row r="73" spans="1:39" ht="19.5">
      <c r="A73" s="1"/>
      <c r="B73" s="1"/>
      <c r="C73" s="1"/>
      <c r="D73" s="1"/>
      <c r="E73" s="1"/>
      <c r="G73" s="4"/>
      <c r="H73" s="1"/>
    </row>
    <row r="74" spans="1:39" ht="25.5" customHeight="1">
      <c r="A74" s="1"/>
      <c r="B74" s="1"/>
      <c r="C74" s="405" t="s">
        <v>242</v>
      </c>
      <c r="D74" s="381">
        <f>SUM(D75:D76)</f>
        <v>0</v>
      </c>
      <c r="E74" s="1"/>
      <c r="G74" s="4"/>
      <c r="H74" s="1"/>
    </row>
    <row r="75" spans="1:39" ht="15.75" customHeight="1">
      <c r="A75" s="1"/>
      <c r="B75" s="1"/>
      <c r="C75" s="310"/>
      <c r="D75" s="311"/>
      <c r="E75" s="1"/>
      <c r="G75" s="4"/>
      <c r="H75" s="1"/>
    </row>
    <row r="76" spans="1:39" ht="15" customHeight="1">
      <c r="A76" s="1"/>
      <c r="B76" s="1"/>
      <c r="C76" s="312"/>
      <c r="D76" s="1"/>
      <c r="E76" s="1"/>
      <c r="G76" s="4"/>
      <c r="H76" s="1"/>
    </row>
    <row r="77" spans="1:39" ht="27.75" customHeight="1">
      <c r="A77" s="1"/>
      <c r="B77" s="1"/>
      <c r="C77" s="313" t="s">
        <v>134</v>
      </c>
      <c r="D77" s="314">
        <f>SUM(E59:E60)</f>
        <v>0</v>
      </c>
      <c r="E77" s="1"/>
      <c r="G77" s="4"/>
      <c r="H77" s="1"/>
    </row>
    <row r="78" spans="1:39" ht="15" customHeight="1">
      <c r="A78" s="1"/>
      <c r="B78" s="1"/>
      <c r="C78" s="119"/>
      <c r="D78" s="119"/>
      <c r="E78" s="316"/>
      <c r="G78" s="4"/>
      <c r="H78" s="1"/>
    </row>
    <row r="79" spans="1:39" ht="15" customHeight="1">
      <c r="A79" s="1"/>
      <c r="B79" s="1"/>
      <c r="C79" s="1"/>
      <c r="D79" s="1"/>
      <c r="E79" s="1"/>
      <c r="G79" s="4"/>
      <c r="H79" s="1"/>
    </row>
    <row r="80" spans="1:39" ht="19.5">
      <c r="A80" s="1"/>
      <c r="B80" s="1"/>
      <c r="C80" s="1"/>
      <c r="D80" s="1"/>
      <c r="E80" s="1"/>
      <c r="G80" s="4"/>
      <c r="H80" s="1"/>
    </row>
    <row r="81" spans="1:8" ht="19.5">
      <c r="A81" s="1"/>
      <c r="B81" s="1"/>
      <c r="C81" s="1"/>
      <c r="D81" s="1"/>
      <c r="E81" s="1"/>
      <c r="G81" s="4"/>
      <c r="H81" s="1"/>
    </row>
    <row r="82" spans="1:8" ht="19.5">
      <c r="A82" s="1"/>
      <c r="B82" s="1"/>
      <c r="C82" s="1"/>
      <c r="D82" s="1"/>
      <c r="E82" s="1"/>
      <c r="G82" s="4"/>
      <c r="H82" s="1"/>
    </row>
    <row r="83" spans="1:8" ht="19.5">
      <c r="A83" s="1"/>
      <c r="B83" s="1"/>
      <c r="C83" s="1"/>
      <c r="D83" s="1"/>
      <c r="E83" s="1"/>
      <c r="G83" s="4"/>
      <c r="H83" s="1"/>
    </row>
    <row r="84" spans="1:8" ht="19.5">
      <c r="A84" s="1"/>
      <c r="B84" s="1"/>
      <c r="C84" s="1"/>
      <c r="D84" s="1"/>
      <c r="E84" s="1"/>
      <c r="G84" s="4"/>
      <c r="H84" s="1"/>
    </row>
    <row r="85" spans="1:8" ht="19.5">
      <c r="A85" s="1"/>
      <c r="B85" s="1"/>
      <c r="C85" s="1"/>
      <c r="D85" s="1"/>
      <c r="E85" s="1"/>
      <c r="G85" s="4"/>
      <c r="H85" s="1"/>
    </row>
    <row r="86" spans="1:8" ht="19.5">
      <c r="A86" s="1"/>
      <c r="B86" s="1"/>
      <c r="C86" s="1"/>
      <c r="D86" s="1"/>
      <c r="E86" s="1"/>
      <c r="G86" s="4"/>
      <c r="H86" s="1"/>
    </row>
    <row r="87" spans="1:8" ht="19.5">
      <c r="A87" s="1"/>
      <c r="B87" s="1"/>
      <c r="C87" s="1"/>
      <c r="D87" s="1"/>
      <c r="E87" s="1"/>
      <c r="G87" s="4"/>
      <c r="H87" s="1"/>
    </row>
    <row r="88" spans="1:8" ht="19.5">
      <c r="A88" s="1"/>
      <c r="B88" s="1"/>
      <c r="C88" s="1"/>
      <c r="D88" s="1"/>
      <c r="E88" s="1"/>
      <c r="G88" s="4"/>
      <c r="H88" s="1"/>
    </row>
    <row r="89" spans="1:8" ht="19.5">
      <c r="A89" s="1"/>
      <c r="B89" s="1"/>
      <c r="C89" s="1"/>
      <c r="D89" s="1"/>
      <c r="E89" s="1"/>
      <c r="G89" s="4"/>
      <c r="H89" s="1"/>
    </row>
    <row r="90" spans="1:8" ht="19.5">
      <c r="A90" s="1"/>
      <c r="B90" s="1"/>
      <c r="C90" s="1"/>
      <c r="D90" s="1"/>
      <c r="E90" s="1"/>
      <c r="G90" s="4"/>
      <c r="H90" s="1"/>
    </row>
    <row r="91" spans="1:8" ht="19.5">
      <c r="A91" s="1"/>
      <c r="B91" s="1"/>
      <c r="C91" s="1"/>
      <c r="D91" s="1"/>
      <c r="E91" s="1"/>
      <c r="G91" s="4"/>
      <c r="H91" s="1"/>
    </row>
    <row r="92" spans="1:8" ht="19.5">
      <c r="A92" s="1"/>
      <c r="B92" s="1"/>
      <c r="C92" s="1"/>
      <c r="D92" s="1"/>
      <c r="E92" s="1"/>
      <c r="G92" s="4"/>
      <c r="H92" s="1"/>
    </row>
    <row r="93" spans="1:8" ht="19.5">
      <c r="A93" s="1"/>
      <c r="B93" s="1"/>
      <c r="C93" s="1"/>
      <c r="D93" s="1"/>
      <c r="E93" s="1"/>
      <c r="G93" s="4"/>
      <c r="H93" s="1"/>
    </row>
    <row r="94" spans="1:8" ht="19.5">
      <c r="A94" s="1"/>
      <c r="B94" s="1"/>
      <c r="C94" s="1"/>
      <c r="D94" s="1"/>
      <c r="E94" s="1"/>
      <c r="G94" s="4"/>
      <c r="H94" s="1"/>
    </row>
    <row r="95" spans="1:8" ht="19.5">
      <c r="A95" s="1"/>
      <c r="B95" s="1"/>
      <c r="C95" s="1"/>
      <c r="D95" s="1"/>
      <c r="E95" s="1"/>
      <c r="G95" s="4"/>
      <c r="H95" s="1"/>
    </row>
    <row r="96" spans="1:8" ht="19.5">
      <c r="A96" s="1"/>
      <c r="B96" s="1"/>
      <c r="C96" s="1"/>
      <c r="D96" s="1"/>
      <c r="E96" s="1"/>
      <c r="G96" s="4"/>
      <c r="H96" s="1"/>
    </row>
    <row r="97" spans="1:8" ht="19.5">
      <c r="A97" s="1"/>
      <c r="B97" s="1"/>
      <c r="C97" s="1"/>
      <c r="D97" s="1"/>
      <c r="E97" s="1"/>
      <c r="G97" s="4"/>
      <c r="H97" s="1"/>
    </row>
    <row r="98" spans="1:8" ht="19.5">
      <c r="A98" s="1"/>
      <c r="B98" s="1"/>
      <c r="C98" s="1"/>
      <c r="D98" s="1"/>
      <c r="E98" s="1"/>
      <c r="G98" s="4"/>
      <c r="H98" s="1"/>
    </row>
    <row r="99" spans="1:8" ht="19.5">
      <c r="A99" s="1"/>
      <c r="B99" s="1"/>
      <c r="C99" s="1"/>
      <c r="D99" s="1"/>
      <c r="E99" s="1"/>
      <c r="G99" s="4"/>
      <c r="H99" s="1"/>
    </row>
    <row r="100" spans="1:8" ht="19.5">
      <c r="A100" s="1"/>
      <c r="B100" s="1"/>
      <c r="C100" s="1"/>
      <c r="D100" s="1"/>
      <c r="E100" s="1"/>
      <c r="G100" s="4"/>
      <c r="H100" s="1"/>
    </row>
    <row r="101" spans="1:8" ht="19.5">
      <c r="A101" s="1"/>
      <c r="B101" s="1"/>
      <c r="C101" s="1"/>
      <c r="D101" s="1"/>
      <c r="E101" s="1"/>
      <c r="G101" s="4"/>
      <c r="H101" s="1"/>
    </row>
    <row r="102" spans="1:8" ht="19.5">
      <c r="A102" s="1"/>
      <c r="B102" s="1"/>
      <c r="C102" s="1"/>
      <c r="D102" s="1"/>
      <c r="E102" s="1"/>
      <c r="G102" s="4"/>
      <c r="H102" s="1"/>
    </row>
    <row r="103" spans="1:8" ht="19.5">
      <c r="A103" s="1"/>
      <c r="B103" s="1"/>
      <c r="C103" s="1"/>
      <c r="D103" s="1"/>
      <c r="E103" s="1"/>
      <c r="G103" s="4"/>
      <c r="H103" s="1"/>
    </row>
    <row r="104" spans="1:8" ht="19.5">
      <c r="A104" s="1"/>
      <c r="B104" s="1"/>
      <c r="C104" s="1"/>
      <c r="D104" s="1"/>
      <c r="E104" s="1"/>
      <c r="G104" s="4"/>
      <c r="H104" s="1"/>
    </row>
    <row r="105" spans="1:8" ht="19.5">
      <c r="A105" s="1"/>
      <c r="B105" s="1"/>
      <c r="C105" s="1"/>
      <c r="D105" s="1"/>
      <c r="E105" s="1"/>
      <c r="G105" s="4"/>
      <c r="H105" s="1"/>
    </row>
    <row r="106" spans="1:8" ht="19.5">
      <c r="A106" s="1"/>
      <c r="B106" s="1"/>
      <c r="C106" s="1"/>
      <c r="D106" s="1"/>
      <c r="E106" s="1"/>
      <c r="G106" s="4"/>
      <c r="H106" s="1"/>
    </row>
    <row r="107" spans="1:8" ht="19.5">
      <c r="A107" s="1"/>
      <c r="B107" s="1"/>
      <c r="C107" s="1"/>
      <c r="D107" s="1"/>
      <c r="E107" s="1"/>
      <c r="G107" s="4"/>
      <c r="H107" s="1"/>
    </row>
    <row r="108" spans="1:8" ht="19.5">
      <c r="A108" s="1"/>
      <c r="B108" s="1"/>
      <c r="C108" s="1"/>
      <c r="D108" s="1"/>
      <c r="E108" s="1"/>
      <c r="G108" s="4"/>
      <c r="H108" s="1"/>
    </row>
    <row r="109" spans="1:8" ht="19.5">
      <c r="A109" s="1"/>
      <c r="B109" s="1"/>
      <c r="C109" s="1"/>
      <c r="D109" s="1"/>
      <c r="E109" s="1"/>
      <c r="G109" s="4"/>
      <c r="H109" s="1"/>
    </row>
    <row r="110" spans="1:8" ht="19.5">
      <c r="A110" s="1"/>
      <c r="B110" s="1"/>
      <c r="C110" s="1"/>
      <c r="D110" s="1"/>
      <c r="E110" s="1"/>
      <c r="G110" s="4"/>
      <c r="H110" s="1"/>
    </row>
    <row r="111" spans="1:8" ht="19.5">
      <c r="A111" s="1"/>
      <c r="B111" s="1"/>
      <c r="C111" s="1"/>
      <c r="D111" s="1"/>
      <c r="E111" s="1"/>
      <c r="G111" s="4"/>
      <c r="H111" s="1"/>
    </row>
    <row r="112" spans="1:8" ht="19.5">
      <c r="A112" s="1"/>
      <c r="B112" s="1"/>
      <c r="C112" s="1"/>
      <c r="D112" s="1"/>
      <c r="E112" s="1"/>
      <c r="G112" s="4"/>
      <c r="H112" s="1"/>
    </row>
    <row r="113" spans="1:8" ht="19.5">
      <c r="A113" s="1"/>
      <c r="B113" s="1"/>
      <c r="C113" s="1"/>
      <c r="D113" s="1"/>
      <c r="E113" s="1"/>
      <c r="G113" s="4"/>
      <c r="H113" s="1"/>
    </row>
    <row r="114" spans="1:8" ht="19.5">
      <c r="A114" s="1"/>
      <c r="B114" s="1"/>
      <c r="C114" s="1"/>
      <c r="D114" s="1"/>
      <c r="E114" s="1"/>
      <c r="G114" s="4"/>
      <c r="H114" s="1"/>
    </row>
    <row r="115" spans="1:8" ht="19.5">
      <c r="A115" s="1"/>
      <c r="B115" s="1"/>
      <c r="C115" s="1"/>
      <c r="D115" s="1"/>
      <c r="E115" s="1"/>
      <c r="G115" s="4"/>
      <c r="H115" s="1"/>
    </row>
    <row r="116" spans="1:8" ht="19.5">
      <c r="A116" s="1"/>
      <c r="B116" s="1"/>
      <c r="C116" s="1"/>
      <c r="D116" s="1"/>
      <c r="E116" s="1"/>
      <c r="G116" s="4"/>
      <c r="H116" s="1"/>
    </row>
    <row r="117" spans="1:8" ht="19.5">
      <c r="A117" s="1"/>
      <c r="B117" s="1"/>
      <c r="C117" s="1"/>
      <c r="D117" s="1"/>
      <c r="E117" s="1"/>
      <c r="G117" s="4"/>
      <c r="H117" s="1"/>
    </row>
    <row r="118" spans="1:8" ht="19.5">
      <c r="A118" s="1"/>
      <c r="B118" s="1"/>
      <c r="C118" s="1"/>
      <c r="D118" s="1"/>
      <c r="E118" s="1"/>
      <c r="G118" s="4"/>
      <c r="H118" s="1"/>
    </row>
    <row r="119" spans="1:8" ht="19.5">
      <c r="A119" s="1"/>
      <c r="B119" s="1"/>
      <c r="C119" s="1"/>
      <c r="D119" s="1"/>
      <c r="E119" s="1"/>
      <c r="G119" s="4"/>
      <c r="H119" s="1"/>
    </row>
    <row r="120" spans="1:8" ht="19.5">
      <c r="A120" s="1"/>
      <c r="B120" s="1"/>
      <c r="C120" s="1"/>
      <c r="D120" s="1"/>
      <c r="E120" s="1"/>
      <c r="G120" s="4"/>
      <c r="H120" s="1"/>
    </row>
    <row r="121" spans="1:8" ht="19.5">
      <c r="A121" s="1"/>
      <c r="B121" s="1"/>
      <c r="C121" s="1"/>
      <c r="D121" s="1"/>
      <c r="E121" s="1"/>
      <c r="G121" s="4"/>
      <c r="H121" s="1"/>
    </row>
    <row r="122" spans="1:8" ht="19.5">
      <c r="A122" s="1"/>
      <c r="B122" s="1"/>
      <c r="C122" s="1"/>
      <c r="D122" s="1"/>
      <c r="E122" s="1"/>
      <c r="G122" s="4"/>
      <c r="H122" s="1"/>
    </row>
    <row r="123" spans="1:8" ht="19.5">
      <c r="A123" s="1"/>
      <c r="B123" s="1"/>
      <c r="C123" s="1"/>
      <c r="D123" s="1"/>
      <c r="E123" s="1"/>
      <c r="G123" s="4"/>
      <c r="H123" s="1"/>
    </row>
    <row r="124" spans="1:8" ht="19.5">
      <c r="A124" s="1"/>
      <c r="B124" s="1"/>
      <c r="C124" s="1"/>
      <c r="D124" s="1"/>
      <c r="E124" s="1"/>
      <c r="G124" s="4"/>
      <c r="H124" s="1"/>
    </row>
    <row r="125" spans="1:8" ht="19.5">
      <c r="A125" s="1"/>
      <c r="B125" s="1"/>
      <c r="C125" s="1"/>
      <c r="D125" s="1"/>
      <c r="E125" s="1"/>
      <c r="G125" s="4"/>
      <c r="H125" s="1"/>
    </row>
    <row r="126" spans="1:8" ht="19.5">
      <c r="A126" s="1"/>
      <c r="B126" s="1"/>
      <c r="C126" s="1"/>
      <c r="D126" s="1"/>
      <c r="E126" s="1"/>
      <c r="G126" s="4"/>
      <c r="H126" s="1"/>
    </row>
    <row r="127" spans="1:8" ht="19.5">
      <c r="A127" s="1"/>
      <c r="B127" s="1"/>
      <c r="C127" s="1"/>
      <c r="D127" s="1"/>
      <c r="E127" s="1"/>
      <c r="G127" s="4"/>
      <c r="H127" s="1"/>
    </row>
    <row r="128" spans="1:8" ht="19.5">
      <c r="A128" s="1"/>
      <c r="B128" s="1"/>
      <c r="C128" s="1"/>
      <c r="D128" s="1"/>
      <c r="E128" s="1"/>
      <c r="G128" s="4"/>
      <c r="H128" s="1"/>
    </row>
    <row r="129" spans="1:8" ht="19.5">
      <c r="A129" s="1"/>
      <c r="B129" s="1"/>
      <c r="C129" s="1"/>
      <c r="D129" s="1"/>
      <c r="E129" s="1"/>
      <c r="G129" s="4"/>
      <c r="H129" s="1"/>
    </row>
    <row r="130" spans="1:8" ht="19.5">
      <c r="A130" s="1"/>
      <c r="B130" s="1"/>
      <c r="C130" s="1"/>
      <c r="D130" s="1"/>
      <c r="E130" s="1"/>
      <c r="G130" s="4"/>
      <c r="H130" s="1"/>
    </row>
    <row r="131" spans="1:8" ht="19.5">
      <c r="A131" s="1"/>
      <c r="B131" s="1"/>
      <c r="C131" s="1"/>
      <c r="D131" s="1"/>
      <c r="E131" s="1"/>
      <c r="G131" s="4"/>
      <c r="H131" s="1"/>
    </row>
    <row r="132" spans="1:8" ht="19.5">
      <c r="A132" s="1"/>
      <c r="B132" s="1"/>
      <c r="C132" s="1"/>
      <c r="D132" s="1"/>
      <c r="E132" s="1"/>
      <c r="G132" s="4"/>
      <c r="H132" s="1"/>
    </row>
    <row r="133" spans="1:8" ht="19.5">
      <c r="A133" s="1"/>
      <c r="B133" s="1"/>
      <c r="C133" s="1"/>
      <c r="D133" s="1"/>
      <c r="E133" s="1"/>
      <c r="G133" s="4"/>
      <c r="H133" s="1"/>
    </row>
    <row r="134" spans="1:8" ht="19.5">
      <c r="A134" s="1"/>
      <c r="B134" s="1"/>
      <c r="C134" s="1"/>
      <c r="D134" s="1"/>
      <c r="E134" s="1"/>
      <c r="G134" s="4"/>
      <c r="H134" s="1"/>
    </row>
    <row r="135" spans="1:8" ht="19.5">
      <c r="A135" s="1"/>
      <c r="B135" s="1"/>
      <c r="C135" s="1"/>
      <c r="D135" s="1"/>
      <c r="E135" s="1"/>
      <c r="G135" s="4"/>
      <c r="H135" s="1"/>
    </row>
    <row r="136" spans="1:8" ht="19.5">
      <c r="A136" s="1"/>
      <c r="B136" s="1"/>
      <c r="C136" s="1"/>
      <c r="D136" s="1"/>
      <c r="E136" s="1"/>
      <c r="G136" s="4"/>
      <c r="H136" s="1"/>
    </row>
    <row r="137" spans="1:8" ht="19.5">
      <c r="A137" s="1"/>
      <c r="B137" s="1"/>
      <c r="C137" s="1"/>
      <c r="D137" s="1"/>
      <c r="E137" s="1"/>
      <c r="G137" s="4"/>
      <c r="H137" s="1"/>
    </row>
    <row r="138" spans="1:8" ht="19.5">
      <c r="A138" s="1"/>
      <c r="B138" s="1"/>
      <c r="C138" s="1"/>
      <c r="D138" s="1"/>
      <c r="E138" s="1"/>
      <c r="G138" s="4"/>
      <c r="H138" s="1"/>
    </row>
    <row r="139" spans="1:8" ht="19.5">
      <c r="A139" s="1"/>
      <c r="B139" s="1"/>
      <c r="C139" s="1"/>
      <c r="D139" s="1"/>
      <c r="E139" s="1"/>
      <c r="G139" s="4"/>
      <c r="H139" s="1"/>
    </row>
    <row r="140" spans="1:8" ht="19.5">
      <c r="A140" s="1"/>
      <c r="B140" s="1"/>
      <c r="C140" s="1"/>
      <c r="D140" s="1"/>
      <c r="E140" s="1"/>
      <c r="G140" s="4"/>
      <c r="H140" s="1"/>
    </row>
    <row r="141" spans="1:8" ht="19.5">
      <c r="A141" s="1"/>
      <c r="B141" s="1"/>
      <c r="C141" s="1"/>
      <c r="D141" s="1"/>
      <c r="E141" s="1"/>
      <c r="G141" s="4"/>
      <c r="H141" s="1"/>
    </row>
    <row r="142" spans="1:8" ht="19.5">
      <c r="A142" s="1"/>
      <c r="B142" s="1"/>
      <c r="C142" s="1"/>
      <c r="D142" s="1"/>
      <c r="E142" s="1"/>
      <c r="G142" s="4"/>
      <c r="H142" s="1"/>
    </row>
    <row r="143" spans="1:8" ht="19.5">
      <c r="A143" s="1"/>
      <c r="B143" s="1"/>
      <c r="C143" s="1"/>
      <c r="D143" s="1"/>
      <c r="E143" s="1"/>
      <c r="G143" s="4"/>
      <c r="H143" s="1"/>
    </row>
    <row r="144" spans="1:8" ht="19.5">
      <c r="A144" s="1"/>
      <c r="B144" s="1"/>
      <c r="C144" s="1"/>
      <c r="D144" s="1"/>
      <c r="E144" s="1"/>
      <c r="G144" s="4"/>
      <c r="H144" s="1"/>
    </row>
    <row r="145" spans="1:8" ht="19.5">
      <c r="A145" s="1"/>
      <c r="B145" s="1"/>
      <c r="C145" s="1"/>
      <c r="D145" s="1"/>
      <c r="E145" s="1"/>
      <c r="G145" s="4"/>
      <c r="H145" s="1"/>
    </row>
    <row r="146" spans="1:8" ht="19.5">
      <c r="A146" s="1"/>
      <c r="B146" s="1"/>
      <c r="C146" s="1"/>
      <c r="D146" s="1"/>
      <c r="E146" s="1"/>
      <c r="G146" s="4"/>
      <c r="H146" s="1"/>
    </row>
    <row r="147" spans="1:8" ht="19.5">
      <c r="A147" s="1"/>
      <c r="B147" s="1"/>
      <c r="C147" s="1"/>
      <c r="D147" s="1"/>
      <c r="E147" s="1"/>
      <c r="G147" s="4"/>
      <c r="H147" s="1"/>
    </row>
    <row r="148" spans="1:8" ht="19.5">
      <c r="A148" s="1"/>
      <c r="B148" s="1"/>
      <c r="C148" s="1"/>
      <c r="D148" s="1"/>
      <c r="E148" s="1"/>
      <c r="G148" s="4"/>
      <c r="H148" s="1"/>
    </row>
    <row r="149" spans="1:8" ht="19.5">
      <c r="A149" s="1"/>
      <c r="B149" s="1"/>
      <c r="C149" s="1"/>
      <c r="D149" s="1"/>
      <c r="E149" s="1"/>
      <c r="G149" s="4"/>
      <c r="H149" s="1"/>
    </row>
    <row r="150" spans="1:8" ht="19.5">
      <c r="A150" s="1"/>
      <c r="B150" s="1"/>
      <c r="C150" s="1"/>
      <c r="D150" s="1"/>
      <c r="E150" s="1"/>
      <c r="G150" s="4"/>
      <c r="H150" s="1"/>
    </row>
    <row r="151" spans="1:8" ht="19.5">
      <c r="A151" s="1"/>
      <c r="B151" s="1"/>
      <c r="C151" s="1"/>
      <c r="D151" s="1"/>
      <c r="E151" s="1"/>
      <c r="G151" s="4"/>
      <c r="H151" s="1"/>
    </row>
    <row r="152" spans="1:8" ht="19.5">
      <c r="A152" s="1"/>
      <c r="B152" s="1"/>
      <c r="C152" s="1"/>
      <c r="D152" s="1"/>
      <c r="E152" s="1"/>
      <c r="G152" s="4"/>
      <c r="H152" s="1"/>
    </row>
    <row r="153" spans="1:8" ht="19.5">
      <c r="A153" s="1"/>
      <c r="B153" s="1"/>
      <c r="C153" s="1"/>
      <c r="D153" s="1"/>
      <c r="E153" s="1"/>
      <c r="G153" s="4"/>
      <c r="H153" s="1"/>
    </row>
    <row r="154" spans="1:8" ht="19.5">
      <c r="A154" s="1"/>
      <c r="B154" s="1"/>
      <c r="C154" s="1"/>
      <c r="D154" s="1"/>
      <c r="E154" s="1"/>
      <c r="G154" s="4"/>
      <c r="H154" s="1"/>
    </row>
    <row r="155" spans="1:8" ht="19.5">
      <c r="A155" s="1"/>
      <c r="B155" s="1"/>
      <c r="C155" s="1"/>
      <c r="D155" s="1"/>
      <c r="E155" s="1"/>
      <c r="G155" s="4"/>
      <c r="H155" s="1"/>
    </row>
    <row r="156" spans="1:8" ht="19.5">
      <c r="A156" s="1"/>
      <c r="B156" s="1"/>
      <c r="C156" s="1"/>
      <c r="D156" s="1"/>
      <c r="E156" s="1"/>
      <c r="G156" s="4"/>
      <c r="H156" s="1"/>
    </row>
    <row r="157" spans="1:8" ht="19.5">
      <c r="A157" s="1"/>
      <c r="B157" s="1"/>
      <c r="C157" s="1"/>
      <c r="D157" s="1"/>
      <c r="E157" s="1"/>
      <c r="G157" s="4"/>
      <c r="H157" s="1"/>
    </row>
    <row r="158" spans="1:8" ht="19.5">
      <c r="A158" s="1"/>
      <c r="B158" s="1"/>
      <c r="C158" s="1"/>
      <c r="D158" s="1"/>
      <c r="E158" s="1"/>
      <c r="G158" s="4"/>
      <c r="H158" s="1"/>
    </row>
    <row r="159" spans="1:8" ht="19.5">
      <c r="A159" s="1"/>
      <c r="B159" s="1"/>
      <c r="C159" s="1"/>
      <c r="D159" s="1"/>
      <c r="E159" s="1"/>
      <c r="G159" s="4"/>
      <c r="H159" s="1"/>
    </row>
    <row r="160" spans="1:8" ht="19.5">
      <c r="A160" s="1"/>
      <c r="B160" s="1"/>
      <c r="C160" s="1"/>
      <c r="D160" s="1"/>
      <c r="E160" s="1"/>
      <c r="G160" s="4"/>
      <c r="H160" s="1"/>
    </row>
    <row r="161" spans="1:8" ht="19.5">
      <c r="A161" s="1"/>
      <c r="B161" s="1"/>
      <c r="C161" s="1"/>
      <c r="D161" s="1"/>
      <c r="E161" s="1"/>
      <c r="G161" s="4"/>
      <c r="H161" s="1"/>
    </row>
    <row r="162" spans="1:8" ht="19.5">
      <c r="A162" s="1"/>
      <c r="B162" s="1"/>
      <c r="C162" s="1"/>
      <c r="D162" s="1"/>
      <c r="E162" s="1"/>
      <c r="G162" s="4"/>
      <c r="H162" s="1"/>
    </row>
    <row r="163" spans="1:8" ht="19.5">
      <c r="A163" s="1"/>
      <c r="B163" s="1"/>
      <c r="C163" s="1"/>
      <c r="D163" s="1"/>
      <c r="E163" s="1"/>
      <c r="G163" s="4"/>
      <c r="H163" s="1"/>
    </row>
    <row r="164" spans="1:8" ht="19.5">
      <c r="A164" s="1"/>
      <c r="B164" s="1"/>
      <c r="C164" s="1"/>
      <c r="D164" s="1"/>
      <c r="E164" s="1"/>
      <c r="G164" s="4"/>
      <c r="H164" s="1"/>
    </row>
    <row r="165" spans="1:8" ht="19.5">
      <c r="A165" s="1"/>
      <c r="B165" s="1"/>
      <c r="C165" s="1"/>
      <c r="D165" s="1"/>
      <c r="E165" s="1"/>
      <c r="G165" s="4"/>
      <c r="H165" s="1"/>
    </row>
    <row r="166" spans="1:8" ht="19.5">
      <c r="A166" s="1"/>
      <c r="B166" s="1"/>
      <c r="C166" s="1"/>
      <c r="D166" s="1"/>
      <c r="E166" s="1"/>
      <c r="G166" s="4"/>
      <c r="H166" s="1"/>
    </row>
    <row r="167" spans="1:8" ht="19.5">
      <c r="A167" s="1"/>
      <c r="B167" s="1"/>
      <c r="C167" s="1"/>
      <c r="D167" s="1"/>
      <c r="E167" s="1"/>
      <c r="G167" s="4"/>
      <c r="H167" s="1"/>
    </row>
    <row r="168" spans="1:8" ht="19.5">
      <c r="A168" s="1"/>
      <c r="B168" s="1"/>
      <c r="C168" s="1"/>
      <c r="D168" s="1"/>
      <c r="E168" s="1"/>
      <c r="G168" s="4"/>
      <c r="H168" s="1"/>
    </row>
    <row r="169" spans="1:8" ht="19.5">
      <c r="A169" s="1"/>
      <c r="B169" s="1"/>
      <c r="C169" s="1"/>
      <c r="D169" s="1"/>
      <c r="E169" s="1"/>
      <c r="G169" s="4"/>
      <c r="H169" s="1"/>
    </row>
    <row r="170" spans="1:8" ht="19.5">
      <c r="A170" s="1"/>
      <c r="B170" s="1"/>
      <c r="C170" s="1"/>
      <c r="D170" s="1"/>
      <c r="E170" s="1"/>
      <c r="G170" s="4"/>
      <c r="H170" s="1"/>
    </row>
    <row r="171" spans="1:8" ht="19.5">
      <c r="A171" s="1"/>
      <c r="B171" s="1"/>
      <c r="C171" s="1"/>
      <c r="D171" s="1"/>
      <c r="E171" s="1"/>
      <c r="G171" s="4"/>
      <c r="H171" s="1"/>
    </row>
    <row r="172" spans="1:8" ht="19.5">
      <c r="A172" s="1"/>
      <c r="B172" s="1"/>
      <c r="C172" s="1"/>
      <c r="D172" s="1"/>
      <c r="E172" s="1"/>
      <c r="G172" s="4"/>
      <c r="H172" s="1"/>
    </row>
    <row r="173" spans="1:8" ht="19.5">
      <c r="A173" s="1"/>
      <c r="B173" s="1"/>
      <c r="C173" s="1"/>
      <c r="D173" s="1"/>
      <c r="E173" s="1"/>
      <c r="G173" s="4"/>
      <c r="H173" s="1"/>
    </row>
    <row r="174" spans="1:8" ht="19.5">
      <c r="A174" s="1"/>
      <c r="B174" s="1"/>
      <c r="C174" s="1"/>
      <c r="D174" s="1"/>
      <c r="E174" s="1"/>
      <c r="G174" s="4"/>
      <c r="H174" s="1"/>
    </row>
    <row r="175" spans="1:8" ht="19.5">
      <c r="A175" s="1"/>
      <c r="B175" s="1"/>
      <c r="C175" s="1"/>
      <c r="D175" s="1"/>
      <c r="E175" s="1"/>
      <c r="G175" s="4"/>
      <c r="H175" s="1"/>
    </row>
    <row r="176" spans="1:8" ht="19.5">
      <c r="A176" s="1"/>
      <c r="B176" s="1"/>
      <c r="C176" s="1"/>
      <c r="D176" s="1"/>
      <c r="E176" s="1"/>
      <c r="G176" s="4"/>
      <c r="H176" s="1"/>
    </row>
    <row r="177" spans="1:8" ht="19.5">
      <c r="A177" s="1"/>
      <c r="B177" s="1"/>
      <c r="C177" s="1"/>
      <c r="D177" s="1"/>
      <c r="E177" s="1"/>
      <c r="G177" s="4"/>
      <c r="H177" s="1"/>
    </row>
    <row r="178" spans="1:8" ht="19.5">
      <c r="A178" s="1"/>
      <c r="B178" s="1"/>
      <c r="C178" s="1"/>
      <c r="D178" s="1"/>
      <c r="E178" s="1"/>
      <c r="G178" s="4"/>
      <c r="H178" s="1"/>
    </row>
    <row r="179" spans="1:8" ht="19.5">
      <c r="A179" s="1"/>
      <c r="B179" s="1"/>
      <c r="C179" s="1"/>
      <c r="D179" s="1"/>
      <c r="E179" s="1"/>
      <c r="G179" s="4"/>
      <c r="H179" s="1"/>
    </row>
    <row r="180" spans="1:8" ht="19.5">
      <c r="A180" s="1"/>
      <c r="B180" s="1"/>
      <c r="C180" s="1"/>
      <c r="D180" s="1"/>
      <c r="E180" s="1"/>
      <c r="G180" s="4"/>
      <c r="H180" s="1"/>
    </row>
    <row r="181" spans="1:8" ht="19.5">
      <c r="A181" s="1"/>
      <c r="B181" s="1"/>
      <c r="C181" s="1"/>
      <c r="D181" s="1"/>
      <c r="E181" s="1"/>
      <c r="G181" s="4"/>
      <c r="H181" s="1"/>
    </row>
    <row r="182" spans="1:8" ht="19.5">
      <c r="A182" s="1"/>
      <c r="B182" s="1"/>
      <c r="C182" s="1"/>
      <c r="D182" s="1"/>
      <c r="E182" s="1"/>
      <c r="G182" s="4"/>
      <c r="H182" s="1"/>
    </row>
    <row r="183" spans="1:8" ht="19.5">
      <c r="A183" s="1"/>
      <c r="B183" s="1"/>
      <c r="C183" s="1"/>
      <c r="D183" s="1"/>
      <c r="E183" s="1"/>
      <c r="G183" s="4"/>
      <c r="H183" s="1"/>
    </row>
    <row r="184" spans="1:8" ht="19.5">
      <c r="A184" s="1"/>
      <c r="B184" s="1"/>
      <c r="C184" s="1"/>
      <c r="D184" s="1"/>
      <c r="E184" s="1"/>
      <c r="G184" s="4"/>
      <c r="H184" s="1"/>
    </row>
    <row r="185" spans="1:8" ht="19.5">
      <c r="A185" s="1"/>
      <c r="B185" s="1"/>
      <c r="C185" s="1"/>
      <c r="D185" s="1"/>
      <c r="E185" s="1"/>
      <c r="G185" s="4"/>
      <c r="H185" s="1"/>
    </row>
    <row r="186" spans="1:8" ht="19.5">
      <c r="A186" s="1"/>
      <c r="B186" s="1"/>
      <c r="C186" s="1"/>
      <c r="D186" s="1"/>
      <c r="E186" s="1"/>
      <c r="G186" s="4"/>
      <c r="H186" s="1"/>
    </row>
    <row r="187" spans="1:8" ht="19.5">
      <c r="A187" s="1"/>
      <c r="B187" s="1"/>
      <c r="C187" s="1"/>
      <c r="D187" s="1"/>
      <c r="E187" s="1"/>
      <c r="G187" s="4"/>
      <c r="H187" s="1"/>
    </row>
    <row r="188" spans="1:8" ht="19.5">
      <c r="A188" s="1"/>
      <c r="B188" s="1"/>
      <c r="C188" s="1"/>
      <c r="D188" s="1"/>
      <c r="E188" s="1"/>
      <c r="G188" s="4"/>
      <c r="H188" s="1"/>
    </row>
    <row r="189" spans="1:8" ht="19.5">
      <c r="A189" s="1"/>
      <c r="B189" s="1"/>
      <c r="C189" s="1"/>
      <c r="D189" s="1"/>
      <c r="E189" s="1"/>
      <c r="G189" s="4"/>
      <c r="H189" s="1"/>
    </row>
    <row r="190" spans="1:8" ht="19.5">
      <c r="A190" s="1"/>
      <c r="B190" s="1"/>
      <c r="C190" s="1"/>
      <c r="D190" s="1"/>
      <c r="E190" s="1"/>
      <c r="G190" s="4"/>
      <c r="H190" s="1"/>
    </row>
    <row r="191" spans="1:8" ht="19.5">
      <c r="A191" s="1"/>
      <c r="B191" s="1"/>
      <c r="C191" s="1"/>
      <c r="D191" s="1"/>
      <c r="E191" s="1"/>
      <c r="G191" s="4"/>
      <c r="H191" s="1"/>
    </row>
    <row r="192" spans="1:8" ht="19.5">
      <c r="A192" s="1"/>
      <c r="B192" s="1"/>
      <c r="C192" s="1"/>
      <c r="D192" s="1"/>
      <c r="E192" s="1"/>
      <c r="G192" s="4"/>
      <c r="H192" s="1"/>
    </row>
    <row r="193" spans="1:8" ht="19.5">
      <c r="A193" s="1"/>
      <c r="B193" s="1"/>
      <c r="C193" s="1"/>
      <c r="D193" s="1"/>
      <c r="E193" s="1"/>
      <c r="G193" s="4"/>
      <c r="H193" s="1"/>
    </row>
    <row r="194" spans="1:8" ht="19.5">
      <c r="A194" s="1"/>
      <c r="B194" s="1"/>
      <c r="C194" s="1"/>
      <c r="D194" s="1"/>
      <c r="E194" s="1"/>
      <c r="G194" s="4"/>
      <c r="H194" s="1"/>
    </row>
    <row r="195" spans="1:8" ht="19.5">
      <c r="A195" s="1"/>
      <c r="B195" s="1"/>
      <c r="C195" s="1"/>
      <c r="D195" s="1"/>
      <c r="E195" s="1"/>
      <c r="G195" s="4"/>
      <c r="H195" s="1"/>
    </row>
    <row r="196" spans="1:8" ht="19.5">
      <c r="A196" s="1"/>
      <c r="B196" s="1"/>
      <c r="C196" s="1"/>
      <c r="D196" s="1"/>
      <c r="E196" s="1"/>
      <c r="G196" s="4"/>
      <c r="H196" s="1"/>
    </row>
    <row r="197" spans="1:8" ht="19.5">
      <c r="A197" s="1"/>
      <c r="B197" s="1"/>
      <c r="C197" s="1"/>
      <c r="D197" s="1"/>
      <c r="E197" s="1"/>
      <c r="G197" s="4"/>
      <c r="H197" s="1"/>
    </row>
    <row r="198" spans="1:8" ht="19.5">
      <c r="A198" s="1"/>
      <c r="B198" s="1"/>
      <c r="C198" s="1"/>
      <c r="D198" s="1"/>
      <c r="E198" s="1"/>
      <c r="G198" s="4"/>
      <c r="H198" s="1"/>
    </row>
    <row r="199" spans="1:8" ht="19.5">
      <c r="A199" s="1"/>
      <c r="B199" s="1"/>
      <c r="C199" s="1"/>
      <c r="D199" s="1"/>
      <c r="E199" s="1"/>
      <c r="G199" s="4"/>
      <c r="H199" s="1"/>
    </row>
    <row r="200" spans="1:8" ht="19.5">
      <c r="A200" s="1"/>
      <c r="B200" s="1"/>
      <c r="C200" s="1"/>
      <c r="D200" s="1"/>
      <c r="E200" s="1"/>
      <c r="G200" s="4"/>
      <c r="H200" s="1"/>
    </row>
    <row r="201" spans="1:8" ht="19.5">
      <c r="A201" s="1"/>
      <c r="B201" s="1"/>
      <c r="C201" s="1"/>
      <c r="D201" s="1"/>
      <c r="E201" s="1"/>
      <c r="G201" s="4"/>
      <c r="H201" s="1"/>
    </row>
    <row r="202" spans="1:8" ht="19.5">
      <c r="A202" s="1"/>
      <c r="B202" s="1"/>
      <c r="C202" s="1"/>
      <c r="D202" s="1"/>
      <c r="E202" s="1"/>
      <c r="G202" s="4"/>
      <c r="H202" s="1"/>
    </row>
    <row r="203" spans="1:8" ht="19.5">
      <c r="A203" s="1"/>
      <c r="B203" s="1"/>
      <c r="C203" s="1"/>
      <c r="D203" s="1"/>
      <c r="E203" s="1"/>
      <c r="G203" s="4"/>
      <c r="H203" s="1"/>
    </row>
    <row r="204" spans="1:8" ht="19.5">
      <c r="A204" s="1"/>
      <c r="B204" s="1"/>
      <c r="C204" s="1"/>
      <c r="D204" s="1"/>
      <c r="E204" s="1"/>
      <c r="G204" s="4"/>
      <c r="H204" s="1"/>
    </row>
    <row r="205" spans="1:8" ht="19.5">
      <c r="A205" s="1"/>
      <c r="B205" s="1"/>
      <c r="C205" s="1"/>
      <c r="D205" s="1"/>
      <c r="E205" s="1"/>
      <c r="G205" s="4"/>
      <c r="H205" s="1"/>
    </row>
    <row r="206" spans="1:8" ht="19.5">
      <c r="A206" s="1"/>
      <c r="B206" s="1"/>
      <c r="C206" s="1"/>
      <c r="D206" s="1"/>
      <c r="E206" s="1"/>
      <c r="G206" s="4"/>
      <c r="H206" s="1"/>
    </row>
    <row r="207" spans="1:8" ht="19.5">
      <c r="A207" s="1"/>
      <c r="B207" s="1"/>
      <c r="C207" s="1"/>
      <c r="D207" s="1"/>
      <c r="E207" s="1"/>
      <c r="G207" s="4"/>
      <c r="H207" s="1"/>
    </row>
    <row r="208" spans="1:8" ht="19.5">
      <c r="A208" s="1"/>
      <c r="B208" s="1"/>
      <c r="C208" s="1"/>
      <c r="D208" s="1"/>
      <c r="E208" s="1"/>
      <c r="G208" s="4"/>
      <c r="H208" s="1"/>
    </row>
    <row r="209" spans="1:8" ht="19.5">
      <c r="A209" s="1"/>
      <c r="B209" s="1"/>
      <c r="C209" s="1"/>
      <c r="D209" s="1"/>
      <c r="E209" s="1"/>
      <c r="G209" s="4"/>
      <c r="H209" s="1"/>
    </row>
    <row r="210" spans="1:8" ht="19.5">
      <c r="A210" s="1"/>
      <c r="B210" s="1"/>
      <c r="C210" s="1"/>
      <c r="D210" s="1"/>
      <c r="E210" s="1"/>
      <c r="G210" s="4"/>
      <c r="H210" s="1"/>
    </row>
    <row r="211" spans="1:8" ht="19.5">
      <c r="A211" s="1"/>
      <c r="B211" s="1"/>
      <c r="C211" s="1"/>
      <c r="D211" s="1"/>
      <c r="E211" s="1"/>
      <c r="G211" s="4"/>
      <c r="H211" s="1"/>
    </row>
    <row r="212" spans="1:8" ht="19.5">
      <c r="A212" s="1"/>
      <c r="B212" s="1"/>
      <c r="C212" s="1"/>
      <c r="D212" s="1"/>
      <c r="E212" s="1"/>
      <c r="G212" s="4"/>
      <c r="H212" s="1"/>
    </row>
    <row r="213" spans="1:8" ht="19.5">
      <c r="A213" s="1"/>
      <c r="B213" s="1"/>
      <c r="C213" s="1"/>
      <c r="D213" s="1"/>
      <c r="E213" s="1"/>
      <c r="G213" s="4"/>
      <c r="H213" s="1"/>
    </row>
    <row r="214" spans="1:8" ht="19.5">
      <c r="A214" s="1"/>
      <c r="B214" s="1"/>
      <c r="C214" s="1"/>
      <c r="D214" s="1"/>
      <c r="E214" s="1"/>
      <c r="G214" s="4"/>
      <c r="H214" s="1"/>
    </row>
    <row r="215" spans="1:8" ht="19.5">
      <c r="A215" s="1"/>
      <c r="B215" s="1"/>
      <c r="C215" s="1"/>
      <c r="D215" s="1"/>
      <c r="E215" s="1"/>
      <c r="G215" s="4"/>
      <c r="H215" s="1"/>
    </row>
    <row r="216" spans="1:8" ht="19.5">
      <c r="A216" s="1"/>
      <c r="B216" s="1"/>
      <c r="C216" s="1"/>
      <c r="D216" s="1"/>
      <c r="E216" s="1"/>
      <c r="G216" s="4"/>
      <c r="H216" s="1"/>
    </row>
    <row r="217" spans="1:8" ht="19.5">
      <c r="A217" s="1"/>
      <c r="B217" s="1"/>
      <c r="C217" s="1"/>
      <c r="D217" s="1"/>
      <c r="E217" s="1"/>
      <c r="G217" s="4"/>
      <c r="H217" s="1"/>
    </row>
    <row r="218" spans="1:8" ht="19.5">
      <c r="A218" s="1"/>
      <c r="B218" s="1"/>
      <c r="C218" s="1"/>
      <c r="D218" s="1"/>
      <c r="E218" s="1"/>
      <c r="G218" s="4"/>
      <c r="H218" s="1"/>
    </row>
    <row r="219" spans="1:8" ht="19.5">
      <c r="A219" s="1"/>
      <c r="B219" s="1"/>
      <c r="C219" s="1"/>
      <c r="D219" s="1"/>
      <c r="E219" s="1"/>
      <c r="G219" s="4"/>
      <c r="H219" s="1"/>
    </row>
    <row r="220" spans="1:8" ht="19.5">
      <c r="A220" s="1"/>
      <c r="B220" s="1"/>
      <c r="C220" s="1"/>
      <c r="D220" s="1"/>
      <c r="E220" s="1"/>
      <c r="G220" s="4"/>
      <c r="H220" s="1"/>
    </row>
    <row r="221" spans="1:8" ht="19.5">
      <c r="A221" s="1"/>
      <c r="B221" s="1"/>
      <c r="C221" s="1"/>
      <c r="D221" s="1"/>
      <c r="E221" s="1"/>
      <c r="G221" s="4"/>
      <c r="H221" s="1"/>
    </row>
    <row r="222" spans="1:8" ht="19.5">
      <c r="A222" s="1"/>
      <c r="B222" s="1"/>
      <c r="C222" s="1"/>
      <c r="D222" s="1"/>
      <c r="E222" s="1"/>
      <c r="G222" s="4"/>
      <c r="H222" s="1"/>
    </row>
    <row r="223" spans="1:8" ht="19.5">
      <c r="A223" s="1"/>
      <c r="B223" s="1"/>
      <c r="C223" s="1"/>
      <c r="D223" s="1"/>
      <c r="E223" s="1"/>
      <c r="G223" s="4"/>
      <c r="H223" s="1"/>
    </row>
    <row r="224" spans="1:8" ht="19.5">
      <c r="A224" s="1"/>
      <c r="B224" s="1"/>
      <c r="C224" s="1"/>
      <c r="D224" s="1"/>
      <c r="E224" s="1"/>
      <c r="G224" s="4"/>
      <c r="H224" s="1"/>
    </row>
    <row r="225" spans="1:8" ht="19.5">
      <c r="A225" s="1"/>
      <c r="B225" s="1"/>
      <c r="C225" s="1"/>
      <c r="D225" s="1"/>
      <c r="E225" s="1"/>
      <c r="G225" s="4"/>
      <c r="H225" s="1"/>
    </row>
    <row r="226" spans="1:8" ht="19.5">
      <c r="A226" s="1"/>
      <c r="B226" s="1"/>
      <c r="C226" s="1"/>
      <c r="D226" s="1"/>
      <c r="E226" s="1"/>
      <c r="G226" s="4"/>
      <c r="H226" s="1"/>
    </row>
    <row r="227" spans="1:8" ht="19.5">
      <c r="A227" s="1"/>
      <c r="B227" s="1"/>
      <c r="C227" s="1"/>
      <c r="D227" s="1"/>
      <c r="E227" s="1"/>
      <c r="G227" s="4"/>
      <c r="H227" s="1"/>
    </row>
    <row r="228" spans="1:8" ht="19.5">
      <c r="A228" s="1"/>
      <c r="B228" s="1"/>
      <c r="C228" s="1"/>
      <c r="D228" s="1"/>
      <c r="E228" s="1"/>
      <c r="G228" s="4"/>
      <c r="H228" s="1"/>
    </row>
    <row r="229" spans="1:8" ht="19.5">
      <c r="A229" s="1"/>
      <c r="B229" s="1"/>
      <c r="C229" s="1"/>
      <c r="D229" s="1"/>
      <c r="E229" s="1"/>
      <c r="G229" s="4"/>
      <c r="H229" s="1"/>
    </row>
    <row r="230" spans="1:8" ht="19.5">
      <c r="A230" s="1"/>
      <c r="B230" s="1"/>
      <c r="C230" s="1"/>
      <c r="D230" s="1"/>
      <c r="E230" s="1"/>
      <c r="G230" s="4"/>
      <c r="H230" s="1"/>
    </row>
    <row r="231" spans="1:8" ht="19.5">
      <c r="A231" s="1"/>
      <c r="B231" s="1"/>
      <c r="C231" s="1"/>
      <c r="D231" s="1"/>
      <c r="E231" s="1"/>
      <c r="G231" s="4"/>
      <c r="H231" s="1"/>
    </row>
    <row r="232" spans="1:8" ht="19.5">
      <c r="A232" s="1"/>
      <c r="B232" s="1"/>
      <c r="C232" s="1"/>
      <c r="D232" s="1"/>
      <c r="E232" s="1"/>
      <c r="G232" s="4"/>
      <c r="H232" s="1"/>
    </row>
    <row r="233" spans="1:8" ht="19.5">
      <c r="A233" s="1"/>
      <c r="B233" s="1"/>
      <c r="C233" s="1"/>
      <c r="D233" s="1"/>
      <c r="E233" s="1"/>
      <c r="G233" s="4"/>
      <c r="H233" s="1"/>
    </row>
    <row r="234" spans="1:8" ht="19.5">
      <c r="A234" s="1"/>
      <c r="B234" s="1"/>
      <c r="C234" s="1"/>
      <c r="D234" s="1"/>
      <c r="E234" s="1"/>
      <c r="G234" s="4"/>
      <c r="H234" s="1"/>
    </row>
    <row r="235" spans="1:8" ht="19.5">
      <c r="A235" s="1"/>
      <c r="B235" s="1"/>
      <c r="C235" s="1"/>
      <c r="D235" s="1"/>
      <c r="E235" s="1"/>
      <c r="G235" s="4"/>
      <c r="H235" s="1"/>
    </row>
    <row r="236" spans="1:8" ht="19.5">
      <c r="A236" s="1"/>
      <c r="B236" s="1"/>
      <c r="C236" s="1"/>
      <c r="D236" s="1"/>
      <c r="E236" s="1"/>
      <c r="G236" s="4"/>
      <c r="H236" s="1"/>
    </row>
    <row r="237" spans="1:8" ht="19.5">
      <c r="A237" s="1"/>
      <c r="B237" s="1"/>
      <c r="C237" s="1"/>
      <c r="D237" s="1"/>
      <c r="E237" s="1"/>
      <c r="G237" s="4"/>
      <c r="H237" s="1"/>
    </row>
    <row r="238" spans="1:8" ht="19.5">
      <c r="A238" s="1"/>
      <c r="B238" s="1"/>
      <c r="C238" s="1"/>
      <c r="D238" s="1"/>
      <c r="E238" s="1"/>
      <c r="G238" s="4"/>
      <c r="H238" s="1"/>
    </row>
    <row r="239" spans="1:8" ht="19.5">
      <c r="A239" s="1"/>
      <c r="B239" s="1"/>
      <c r="C239" s="1"/>
      <c r="D239" s="1"/>
      <c r="E239" s="1"/>
      <c r="G239" s="4"/>
      <c r="H239" s="1"/>
    </row>
    <row r="240" spans="1:8" ht="19.5">
      <c r="A240" s="1"/>
      <c r="B240" s="1"/>
      <c r="C240" s="1"/>
      <c r="D240" s="1"/>
      <c r="E240" s="1"/>
      <c r="G240" s="4"/>
      <c r="H240" s="1"/>
    </row>
    <row r="241" spans="1:8" ht="19.5">
      <c r="A241" s="1"/>
      <c r="B241" s="1"/>
      <c r="C241" s="1"/>
      <c r="D241" s="1"/>
      <c r="E241" s="1"/>
      <c r="G241" s="4"/>
      <c r="H241" s="1"/>
    </row>
    <row r="242" spans="1:8" ht="19.5">
      <c r="A242" s="1"/>
      <c r="B242" s="1"/>
      <c r="C242" s="1"/>
      <c r="D242" s="1"/>
      <c r="E242" s="1"/>
      <c r="G242" s="4"/>
      <c r="H242" s="1"/>
    </row>
    <row r="243" spans="1:8" ht="19.5">
      <c r="A243" s="1"/>
      <c r="B243" s="1"/>
      <c r="C243" s="1"/>
      <c r="D243" s="1"/>
      <c r="E243" s="1"/>
      <c r="G243" s="4"/>
      <c r="H243" s="1"/>
    </row>
    <row r="244" spans="1:8" ht="19.5">
      <c r="A244" s="1"/>
      <c r="B244" s="1"/>
      <c r="C244" s="1"/>
      <c r="D244" s="1"/>
      <c r="E244" s="1"/>
      <c r="G244" s="4"/>
      <c r="H244" s="1"/>
    </row>
    <row r="245" spans="1:8" ht="19.5">
      <c r="A245" s="1"/>
      <c r="B245" s="1"/>
      <c r="C245" s="1"/>
      <c r="D245" s="1"/>
      <c r="E245" s="1"/>
      <c r="G245" s="4"/>
      <c r="H245" s="1"/>
    </row>
    <row r="246" spans="1:8" ht="19.5">
      <c r="A246" s="1"/>
      <c r="B246" s="1"/>
      <c r="C246" s="1"/>
      <c r="D246" s="1"/>
      <c r="E246" s="1"/>
      <c r="G246" s="4"/>
      <c r="H246" s="1"/>
    </row>
    <row r="247" spans="1:8" ht="19.5">
      <c r="A247" s="1"/>
      <c r="B247" s="1"/>
      <c r="C247" s="1"/>
      <c r="D247" s="1"/>
      <c r="E247" s="1"/>
      <c r="G247" s="4"/>
      <c r="H247" s="1"/>
    </row>
    <row r="248" spans="1:8" ht="19.5">
      <c r="A248" s="1"/>
      <c r="B248" s="1"/>
      <c r="C248" s="1"/>
      <c r="D248" s="1"/>
      <c r="E248" s="1"/>
      <c r="G248" s="4"/>
      <c r="H248" s="1"/>
    </row>
    <row r="249" spans="1:8" ht="19.5">
      <c r="A249" s="1"/>
      <c r="B249" s="1"/>
      <c r="C249" s="1"/>
      <c r="D249" s="1"/>
      <c r="E249" s="1"/>
      <c r="G249" s="4"/>
      <c r="H249" s="1"/>
    </row>
    <row r="250" spans="1:8" ht="19.5">
      <c r="A250" s="1"/>
      <c r="B250" s="1"/>
      <c r="C250" s="1"/>
      <c r="D250" s="1"/>
      <c r="E250" s="1"/>
      <c r="G250" s="4"/>
      <c r="H250" s="1"/>
    </row>
    <row r="251" spans="1:8" ht="19.5">
      <c r="A251" s="1"/>
      <c r="B251" s="1"/>
      <c r="C251" s="1"/>
      <c r="D251" s="1"/>
      <c r="E251" s="1"/>
      <c r="G251" s="4"/>
      <c r="H251" s="1"/>
    </row>
    <row r="252" spans="1:8" ht="19.5">
      <c r="A252" s="1"/>
      <c r="B252" s="1"/>
      <c r="C252" s="1"/>
      <c r="D252" s="1"/>
      <c r="E252" s="1"/>
      <c r="G252" s="4"/>
      <c r="H252" s="1"/>
    </row>
    <row r="253" spans="1:8" ht="19.5">
      <c r="A253" s="1"/>
      <c r="B253" s="1"/>
      <c r="C253" s="1"/>
      <c r="D253" s="1"/>
      <c r="E253" s="1"/>
      <c r="G253" s="4"/>
      <c r="H253" s="1"/>
    </row>
    <row r="254" spans="1:8" ht="19.5">
      <c r="A254" s="1"/>
      <c r="B254" s="1"/>
      <c r="C254" s="1"/>
      <c r="D254" s="1"/>
      <c r="E254" s="1"/>
      <c r="G254" s="4"/>
      <c r="H254" s="1"/>
    </row>
    <row r="255" spans="1:8" ht="19.5">
      <c r="A255" s="1"/>
      <c r="B255" s="1"/>
      <c r="C255" s="1"/>
      <c r="D255" s="1"/>
      <c r="E255" s="1"/>
      <c r="G255" s="4"/>
      <c r="H255" s="1"/>
    </row>
    <row r="256" spans="1:8" ht="19.5">
      <c r="A256" s="1"/>
      <c r="B256" s="1"/>
      <c r="C256" s="1"/>
      <c r="D256" s="1"/>
      <c r="E256" s="1"/>
      <c r="G256" s="4"/>
      <c r="H256" s="1"/>
    </row>
    <row r="257" spans="1:8" ht="19.5">
      <c r="A257" s="1"/>
      <c r="B257" s="1"/>
      <c r="C257" s="1"/>
      <c r="D257" s="1"/>
      <c r="E257" s="1"/>
      <c r="G257" s="4"/>
      <c r="H257" s="1"/>
    </row>
    <row r="258" spans="1:8" ht="19.5">
      <c r="A258" s="1"/>
      <c r="B258" s="1"/>
      <c r="C258" s="1"/>
      <c r="D258" s="1"/>
      <c r="E258" s="1"/>
      <c r="G258" s="4"/>
      <c r="H258" s="1"/>
    </row>
    <row r="259" spans="1:8" ht="19.5">
      <c r="A259" s="1"/>
      <c r="B259" s="1"/>
      <c r="C259" s="1"/>
      <c r="D259" s="1"/>
      <c r="E259" s="1"/>
      <c r="G259" s="4"/>
      <c r="H259" s="1"/>
    </row>
    <row r="260" spans="1:8" ht="19.5">
      <c r="A260" s="1"/>
      <c r="B260" s="1"/>
      <c r="C260" s="1"/>
      <c r="D260" s="1"/>
      <c r="E260" s="1"/>
      <c r="G260" s="4"/>
      <c r="H260" s="1"/>
    </row>
    <row r="261" spans="1:8" ht="19.5">
      <c r="A261" s="1"/>
      <c r="B261" s="1"/>
      <c r="C261" s="1"/>
      <c r="D261" s="1"/>
      <c r="E261" s="1"/>
      <c r="G261" s="4"/>
      <c r="H261" s="1"/>
    </row>
    <row r="262" spans="1:8" ht="19.5">
      <c r="A262" s="1"/>
      <c r="B262" s="1"/>
      <c r="C262" s="1"/>
      <c r="D262" s="1"/>
      <c r="E262" s="1"/>
      <c r="G262" s="4"/>
      <c r="H262" s="1"/>
    </row>
    <row r="263" spans="1:8" ht="19.5">
      <c r="A263" s="1"/>
      <c r="B263" s="1"/>
      <c r="C263" s="1"/>
      <c r="D263" s="1"/>
      <c r="E263" s="1"/>
      <c r="G263" s="4"/>
      <c r="H263" s="1"/>
    </row>
    <row r="264" spans="1:8" ht="19.5">
      <c r="A264" s="1"/>
      <c r="B264" s="1"/>
      <c r="C264" s="1"/>
      <c r="D264" s="1"/>
      <c r="E264" s="1"/>
      <c r="G264" s="4"/>
      <c r="H264" s="1"/>
    </row>
    <row r="265" spans="1:8" ht="19.5">
      <c r="A265" s="1"/>
      <c r="B265" s="1"/>
      <c r="C265" s="1"/>
      <c r="D265" s="1"/>
      <c r="E265" s="1"/>
      <c r="G265" s="4"/>
      <c r="H265" s="1"/>
    </row>
    <row r="266" spans="1:8" ht="19.5">
      <c r="A266" s="1"/>
      <c r="B266" s="1"/>
      <c r="C266" s="1"/>
      <c r="D266" s="1"/>
      <c r="E266" s="1"/>
      <c r="G266" s="4"/>
      <c r="H266" s="1"/>
    </row>
    <row r="267" spans="1:8" ht="19.5">
      <c r="A267" s="1"/>
      <c r="B267" s="1"/>
      <c r="C267" s="1"/>
      <c r="D267" s="1"/>
      <c r="E267" s="1"/>
      <c r="G267" s="4"/>
      <c r="H267" s="1"/>
    </row>
    <row r="268" spans="1:8" ht="19.5">
      <c r="A268" s="1"/>
      <c r="B268" s="1"/>
      <c r="C268" s="1"/>
      <c r="D268" s="1"/>
      <c r="E268" s="1"/>
      <c r="G268" s="4"/>
      <c r="H268" s="1"/>
    </row>
    <row r="269" spans="1:8" ht="19.5">
      <c r="A269" s="1"/>
      <c r="B269" s="1"/>
      <c r="C269" s="1"/>
      <c r="D269" s="1"/>
      <c r="E269" s="1"/>
      <c r="G269" s="4"/>
      <c r="H269" s="1"/>
    </row>
    <row r="270" spans="1:8" ht="19.5">
      <c r="A270" s="1"/>
      <c r="B270" s="1"/>
      <c r="C270" s="1"/>
      <c r="D270" s="1"/>
      <c r="E270" s="1"/>
      <c r="G270" s="4"/>
      <c r="H270" s="1"/>
    </row>
    <row r="271" spans="1:8" ht="19.5">
      <c r="A271" s="1"/>
      <c r="B271" s="1"/>
      <c r="C271" s="1"/>
      <c r="D271" s="1"/>
      <c r="E271" s="1"/>
      <c r="G271" s="4"/>
      <c r="H271" s="1"/>
    </row>
    <row r="272" spans="1:8" ht="19.5">
      <c r="A272" s="1"/>
      <c r="B272" s="1"/>
      <c r="C272" s="1"/>
      <c r="D272" s="1"/>
      <c r="E272" s="1"/>
      <c r="G272" s="4"/>
      <c r="H272" s="1"/>
    </row>
    <row r="273" spans="1:8" ht="19.5">
      <c r="A273" s="1"/>
      <c r="B273" s="1"/>
      <c r="C273" s="1"/>
      <c r="D273" s="1"/>
      <c r="E273" s="1"/>
      <c r="G273" s="4"/>
      <c r="H273" s="1"/>
    </row>
    <row r="274" spans="1:8" ht="19.5">
      <c r="A274" s="1"/>
      <c r="B274" s="1"/>
      <c r="C274" s="1"/>
      <c r="D274" s="1"/>
      <c r="E274" s="1"/>
      <c r="G274" s="4"/>
      <c r="H274" s="1"/>
    </row>
    <row r="275" spans="1:8" ht="19.5">
      <c r="A275" s="1"/>
      <c r="B275" s="1"/>
      <c r="C275" s="1"/>
      <c r="D275" s="1"/>
      <c r="E275" s="1"/>
      <c r="G275" s="4"/>
      <c r="H275" s="1"/>
    </row>
    <row r="276" spans="1:8" ht="19.5">
      <c r="A276" s="1"/>
      <c r="B276" s="1"/>
      <c r="C276" s="1"/>
      <c r="D276" s="1"/>
      <c r="E276" s="1"/>
      <c r="G276" s="4"/>
      <c r="H276" s="1"/>
    </row>
    <row r="277" spans="1:8" ht="19.5">
      <c r="A277" s="1"/>
      <c r="B277" s="1"/>
      <c r="C277" s="1"/>
      <c r="D277" s="1"/>
      <c r="E277" s="1"/>
      <c r="G277" s="4"/>
      <c r="H277" s="1"/>
    </row>
    <row r="278" spans="1:8" ht="19.5">
      <c r="A278" s="1"/>
      <c r="B278" s="1"/>
      <c r="C278" s="1"/>
      <c r="D278" s="1"/>
      <c r="E278" s="1"/>
      <c r="G278" s="4"/>
      <c r="H278" s="1"/>
    </row>
    <row r="279" spans="1:8" ht="19.5">
      <c r="A279" s="1"/>
      <c r="B279" s="1"/>
      <c r="C279" s="1"/>
      <c r="D279" s="1"/>
      <c r="E279" s="1"/>
      <c r="G279" s="4"/>
      <c r="H279" s="1"/>
    </row>
    <row r="280" spans="1:8" ht="19.5">
      <c r="A280" s="1"/>
      <c r="B280" s="1"/>
      <c r="C280" s="1"/>
      <c r="D280" s="1"/>
      <c r="E280" s="1"/>
      <c r="G280" s="4"/>
      <c r="H280" s="1"/>
    </row>
    <row r="281" spans="1:8" ht="19.5">
      <c r="A281" s="1"/>
      <c r="B281" s="1"/>
      <c r="C281" s="1"/>
      <c r="D281" s="1"/>
      <c r="E281" s="1"/>
      <c r="G281" s="4"/>
      <c r="H281" s="1"/>
    </row>
    <row r="282" spans="1:8" ht="19.5">
      <c r="A282" s="1"/>
      <c r="B282" s="1"/>
      <c r="C282" s="1"/>
      <c r="D282" s="1"/>
      <c r="E282" s="1"/>
      <c r="G282" s="4"/>
      <c r="H282" s="1"/>
    </row>
    <row r="283" spans="1:8" ht="19.5">
      <c r="A283" s="1"/>
      <c r="B283" s="1"/>
      <c r="C283" s="1"/>
      <c r="D283" s="1"/>
      <c r="E283" s="1"/>
      <c r="G283" s="4"/>
      <c r="H283" s="1"/>
    </row>
    <row r="284" spans="1:8" ht="19.5">
      <c r="A284" s="1"/>
      <c r="B284" s="1"/>
      <c r="C284" s="1"/>
      <c r="D284" s="1"/>
      <c r="E284" s="1"/>
      <c r="G284" s="4"/>
      <c r="H284" s="1"/>
    </row>
    <row r="285" spans="1:8" ht="19.5">
      <c r="A285" s="1"/>
      <c r="B285" s="1"/>
      <c r="C285" s="1"/>
      <c r="D285" s="1"/>
      <c r="E285" s="1"/>
      <c r="G285" s="4"/>
      <c r="H285" s="1"/>
    </row>
    <row r="286" spans="1:8" ht="19.5">
      <c r="A286" s="1"/>
      <c r="B286" s="1"/>
      <c r="C286" s="1"/>
      <c r="D286" s="1"/>
      <c r="E286" s="1"/>
      <c r="G286" s="4"/>
      <c r="H286" s="1"/>
    </row>
    <row r="287" spans="1:8" ht="19.5">
      <c r="A287" s="1"/>
      <c r="B287" s="1"/>
      <c r="C287" s="1"/>
      <c r="D287" s="1"/>
      <c r="E287" s="1"/>
      <c r="G287" s="4"/>
      <c r="H287" s="1"/>
    </row>
    <row r="288" spans="1:8" ht="19.5">
      <c r="A288" s="1"/>
      <c r="B288" s="1"/>
      <c r="C288" s="1"/>
      <c r="D288" s="1"/>
      <c r="E288" s="1"/>
      <c r="G288" s="4"/>
      <c r="H288" s="1"/>
    </row>
    <row r="289" spans="1:8" ht="19.5">
      <c r="A289" s="1"/>
      <c r="B289" s="1"/>
      <c r="C289" s="1"/>
      <c r="D289" s="1"/>
      <c r="E289" s="1"/>
      <c r="G289" s="4"/>
      <c r="H289" s="1"/>
    </row>
    <row r="290" spans="1:8" ht="19.5">
      <c r="A290" s="1"/>
      <c r="B290" s="1"/>
      <c r="C290" s="1"/>
      <c r="D290" s="1"/>
      <c r="E290" s="1"/>
      <c r="G290" s="4"/>
      <c r="H290" s="1"/>
    </row>
    <row r="291" spans="1:8" ht="19.5">
      <c r="A291" s="1"/>
      <c r="B291" s="1"/>
      <c r="C291" s="1"/>
      <c r="D291" s="1"/>
      <c r="E291" s="1"/>
      <c r="G291" s="4"/>
      <c r="H291" s="1"/>
    </row>
    <row r="292" spans="1:8" ht="19.5">
      <c r="A292" s="1"/>
      <c r="B292" s="1"/>
      <c r="C292" s="1"/>
      <c r="D292" s="1"/>
      <c r="E292" s="1"/>
      <c r="G292" s="4"/>
      <c r="H292" s="1"/>
    </row>
    <row r="293" spans="1:8" ht="19.5">
      <c r="A293" s="1"/>
      <c r="B293" s="1"/>
      <c r="C293" s="1"/>
      <c r="D293" s="1"/>
      <c r="E293" s="1"/>
      <c r="G293" s="4"/>
      <c r="H293" s="1"/>
    </row>
    <row r="294" spans="1:8" ht="19.5">
      <c r="A294" s="1"/>
      <c r="B294" s="1"/>
      <c r="C294" s="1"/>
      <c r="D294" s="1"/>
      <c r="E294" s="1"/>
      <c r="G294" s="4"/>
      <c r="H294" s="1"/>
    </row>
    <row r="295" spans="1:8" ht="19.5">
      <c r="A295" s="1"/>
      <c r="B295" s="1"/>
      <c r="C295" s="1"/>
      <c r="D295" s="1"/>
      <c r="E295" s="1"/>
      <c r="G295" s="4"/>
      <c r="H295" s="1"/>
    </row>
    <row r="296" spans="1:8" ht="19.5">
      <c r="A296" s="1"/>
      <c r="B296" s="1"/>
      <c r="C296" s="1"/>
      <c r="D296" s="1"/>
      <c r="E296" s="1"/>
      <c r="G296" s="4"/>
      <c r="H296" s="1"/>
    </row>
    <row r="297" spans="1:8" ht="19.5">
      <c r="A297" s="1"/>
      <c r="B297" s="1"/>
      <c r="C297" s="1"/>
      <c r="D297" s="1"/>
      <c r="E297" s="1"/>
      <c r="G297" s="4"/>
      <c r="H297" s="1"/>
    </row>
    <row r="298" spans="1:8" ht="19.5">
      <c r="A298" s="1"/>
      <c r="B298" s="1"/>
      <c r="C298" s="1"/>
      <c r="D298" s="1"/>
      <c r="E298" s="1"/>
      <c r="G298" s="4"/>
      <c r="H298" s="1"/>
    </row>
    <row r="299" spans="1:8" ht="19.5">
      <c r="A299" s="1"/>
      <c r="B299" s="1"/>
      <c r="C299" s="1"/>
      <c r="D299" s="1"/>
      <c r="E299" s="1"/>
      <c r="G299" s="4"/>
      <c r="H299" s="1"/>
    </row>
    <row r="300" spans="1:8" ht="19.5">
      <c r="A300" s="1"/>
      <c r="B300" s="1"/>
      <c r="C300" s="1"/>
      <c r="D300" s="1"/>
      <c r="E300" s="1"/>
      <c r="G300" s="4"/>
      <c r="H300" s="1"/>
    </row>
    <row r="301" spans="1:8" ht="19.5">
      <c r="A301" s="1"/>
      <c r="B301" s="1"/>
      <c r="C301" s="1"/>
      <c r="D301" s="1"/>
      <c r="E301" s="1"/>
      <c r="G301" s="4"/>
      <c r="H301" s="1"/>
    </row>
    <row r="302" spans="1:8" ht="19.5">
      <c r="A302" s="1"/>
      <c r="B302" s="1"/>
      <c r="C302" s="1"/>
      <c r="D302" s="1"/>
      <c r="E302" s="1"/>
      <c r="G302" s="4"/>
      <c r="H302" s="1"/>
    </row>
    <row r="303" spans="1:8" ht="19.5">
      <c r="A303" s="1"/>
      <c r="B303" s="1"/>
      <c r="C303" s="1"/>
      <c r="D303" s="1"/>
      <c r="E303" s="1"/>
      <c r="G303" s="4"/>
      <c r="H303" s="1"/>
    </row>
    <row r="304" spans="1:8" ht="19.5">
      <c r="A304" s="1"/>
      <c r="B304" s="1"/>
      <c r="C304" s="1"/>
      <c r="D304" s="1"/>
      <c r="E304" s="1"/>
      <c r="G304" s="4"/>
      <c r="H304" s="1"/>
    </row>
    <row r="305" spans="1:8" ht="19.5">
      <c r="A305" s="1"/>
      <c r="B305" s="1"/>
      <c r="C305" s="1"/>
      <c r="D305" s="1"/>
      <c r="E305" s="1"/>
      <c r="G305" s="4"/>
      <c r="H305" s="1"/>
    </row>
    <row r="306" spans="1:8" ht="19.5">
      <c r="A306" s="1"/>
      <c r="B306" s="1"/>
      <c r="C306" s="1"/>
      <c r="D306" s="1"/>
      <c r="E306" s="1"/>
      <c r="G306" s="4"/>
      <c r="H306" s="1"/>
    </row>
    <row r="307" spans="1:8" ht="19.5">
      <c r="A307" s="1"/>
      <c r="B307" s="1"/>
      <c r="C307" s="1"/>
      <c r="D307" s="1"/>
      <c r="E307" s="1"/>
      <c r="G307" s="4"/>
      <c r="H307" s="1"/>
    </row>
    <row r="308" spans="1:8" ht="19.5">
      <c r="A308" s="1"/>
      <c r="B308" s="1"/>
      <c r="C308" s="1"/>
      <c r="D308" s="1"/>
      <c r="E308" s="1"/>
      <c r="G308" s="4"/>
      <c r="H308" s="1"/>
    </row>
    <row r="309" spans="1:8" ht="19.5">
      <c r="A309" s="1"/>
      <c r="B309" s="1"/>
      <c r="C309" s="1"/>
      <c r="D309" s="1"/>
      <c r="E309" s="1"/>
      <c r="G309" s="4"/>
      <c r="H309" s="1"/>
    </row>
    <row r="310" spans="1:8" ht="19.5">
      <c r="A310" s="1"/>
      <c r="B310" s="1"/>
      <c r="C310" s="1"/>
      <c r="D310" s="1"/>
      <c r="E310" s="1"/>
      <c r="G310" s="4"/>
      <c r="H310" s="1"/>
    </row>
    <row r="311" spans="1:8" ht="19.5">
      <c r="A311" s="1"/>
      <c r="B311" s="1"/>
      <c r="C311" s="1"/>
      <c r="D311" s="1"/>
      <c r="E311" s="1"/>
      <c r="G311" s="4"/>
      <c r="H311" s="1"/>
    </row>
    <row r="312" spans="1:8" ht="19.5">
      <c r="A312" s="1"/>
      <c r="B312" s="1"/>
      <c r="C312" s="1"/>
      <c r="D312" s="1"/>
      <c r="E312" s="1"/>
      <c r="G312" s="4"/>
      <c r="H312" s="1"/>
    </row>
    <row r="313" spans="1:8" ht="19.5">
      <c r="A313" s="1"/>
      <c r="B313" s="1"/>
      <c r="C313" s="1"/>
      <c r="D313" s="1"/>
      <c r="E313" s="1"/>
      <c r="G313" s="4"/>
      <c r="H313" s="1"/>
    </row>
    <row r="314" spans="1:8" ht="19.5">
      <c r="A314" s="1"/>
      <c r="B314" s="1"/>
      <c r="C314" s="1"/>
      <c r="D314" s="1"/>
      <c r="E314" s="1"/>
      <c r="G314" s="4"/>
      <c r="H314" s="1"/>
    </row>
    <row r="315" spans="1:8" ht="19.5">
      <c r="A315" s="1"/>
      <c r="B315" s="1"/>
      <c r="C315" s="1"/>
      <c r="D315" s="1"/>
      <c r="E315" s="1"/>
      <c r="G315" s="4"/>
      <c r="H315" s="1"/>
    </row>
    <row r="316" spans="1:8" ht="19.5">
      <c r="A316" s="1"/>
      <c r="B316" s="1"/>
      <c r="C316" s="1"/>
      <c r="D316" s="1"/>
      <c r="E316" s="1"/>
      <c r="G316" s="4"/>
      <c r="H316" s="1"/>
    </row>
    <row r="317" spans="1:8" ht="19.5">
      <c r="A317" s="1"/>
      <c r="B317" s="1"/>
      <c r="C317" s="1"/>
      <c r="D317" s="1"/>
      <c r="E317" s="1"/>
      <c r="G317" s="4"/>
      <c r="H317" s="1"/>
    </row>
    <row r="318" spans="1:8" ht="19.5">
      <c r="A318" s="1"/>
      <c r="B318" s="1"/>
      <c r="C318" s="1"/>
      <c r="D318" s="1"/>
      <c r="E318" s="1"/>
      <c r="G318" s="4"/>
      <c r="H318" s="1"/>
    </row>
    <row r="319" spans="1:8" ht="19.5">
      <c r="A319" s="1"/>
      <c r="B319" s="1"/>
      <c r="C319" s="1"/>
      <c r="D319" s="1"/>
      <c r="E319" s="1"/>
      <c r="G319" s="4"/>
      <c r="H319" s="1"/>
    </row>
    <row r="320" spans="1:8" ht="19.5">
      <c r="A320" s="1"/>
      <c r="B320" s="1"/>
      <c r="C320" s="1"/>
      <c r="D320" s="1"/>
      <c r="E320" s="1"/>
      <c r="G320" s="4"/>
      <c r="H320" s="1"/>
    </row>
    <row r="321" spans="1:8" ht="19.5">
      <c r="A321" s="1"/>
      <c r="B321" s="1"/>
      <c r="C321" s="1"/>
      <c r="D321" s="1"/>
      <c r="E321" s="1"/>
      <c r="G321" s="4"/>
      <c r="H321" s="1"/>
    </row>
    <row r="322" spans="1:8" ht="19.5">
      <c r="A322" s="1"/>
      <c r="B322" s="1"/>
      <c r="C322" s="1"/>
      <c r="D322" s="1"/>
      <c r="E322" s="1"/>
      <c r="G322" s="4"/>
      <c r="H322" s="1"/>
    </row>
    <row r="323" spans="1:8" ht="19.5">
      <c r="A323" s="1"/>
      <c r="B323" s="1"/>
      <c r="C323" s="1"/>
      <c r="D323" s="1"/>
      <c r="E323" s="1"/>
      <c r="G323" s="4"/>
      <c r="H323" s="1"/>
    </row>
    <row r="324" spans="1:8" ht="19.5">
      <c r="A324" s="1"/>
      <c r="B324" s="1"/>
      <c r="C324" s="1"/>
      <c r="D324" s="1"/>
      <c r="E324" s="1"/>
      <c r="G324" s="4"/>
      <c r="H324" s="1"/>
    </row>
    <row r="325" spans="1:8" ht="19.5">
      <c r="A325" s="1"/>
      <c r="B325" s="1"/>
      <c r="C325" s="1"/>
      <c r="D325" s="1"/>
      <c r="E325" s="1"/>
      <c r="G325" s="4"/>
      <c r="H325" s="1"/>
    </row>
    <row r="326" spans="1:8" ht="19.5">
      <c r="A326" s="1"/>
      <c r="B326" s="1"/>
      <c r="C326" s="1"/>
      <c r="D326" s="1"/>
      <c r="E326" s="1"/>
      <c r="G326" s="4"/>
      <c r="H326" s="1"/>
    </row>
    <row r="327" spans="1:8" ht="19.5">
      <c r="A327" s="1"/>
      <c r="B327" s="1"/>
      <c r="C327" s="1"/>
      <c r="D327" s="1"/>
      <c r="E327" s="1"/>
      <c r="G327" s="4"/>
      <c r="H327" s="1"/>
    </row>
    <row r="328" spans="1:8" ht="19.5">
      <c r="A328" s="1"/>
      <c r="B328" s="1"/>
      <c r="C328" s="1"/>
      <c r="D328" s="1"/>
      <c r="E328" s="1"/>
      <c r="G328" s="4"/>
      <c r="H328" s="1"/>
    </row>
    <row r="329" spans="1:8" ht="19.5">
      <c r="A329" s="1"/>
      <c r="B329" s="1"/>
      <c r="C329" s="1"/>
      <c r="D329" s="1"/>
      <c r="E329" s="1"/>
      <c r="G329" s="4"/>
      <c r="H329" s="1"/>
    </row>
    <row r="330" spans="1:8" ht="19.5">
      <c r="A330" s="1"/>
      <c r="B330" s="1"/>
      <c r="C330" s="1"/>
      <c r="D330" s="1"/>
      <c r="E330" s="1"/>
      <c r="G330" s="4"/>
      <c r="H330" s="1"/>
    </row>
    <row r="331" spans="1:8" ht="19.5">
      <c r="A331" s="1"/>
      <c r="B331" s="1"/>
      <c r="C331" s="1"/>
      <c r="D331" s="1"/>
      <c r="E331" s="1"/>
      <c r="G331" s="4"/>
      <c r="H331" s="1"/>
    </row>
    <row r="332" spans="1:8" ht="19.5">
      <c r="A332" s="1"/>
      <c r="B332" s="1"/>
      <c r="C332" s="1"/>
      <c r="D332" s="1"/>
      <c r="E332" s="1"/>
      <c r="G332" s="4"/>
      <c r="H332" s="1"/>
    </row>
    <row r="333" spans="1:8" ht="19.5">
      <c r="A333" s="1"/>
      <c r="B333" s="1"/>
      <c r="C333" s="1"/>
      <c r="D333" s="1"/>
      <c r="E333" s="1"/>
      <c r="G333" s="4"/>
      <c r="H333" s="1"/>
    </row>
    <row r="334" spans="1:8" ht="19.5">
      <c r="A334" s="1"/>
      <c r="B334" s="1"/>
      <c r="C334" s="1"/>
      <c r="D334" s="1"/>
      <c r="E334" s="1"/>
      <c r="G334" s="4"/>
      <c r="H334" s="1"/>
    </row>
    <row r="335" spans="1:8" ht="19.5">
      <c r="A335" s="1"/>
      <c r="B335" s="1"/>
      <c r="C335" s="1"/>
      <c r="D335" s="1"/>
      <c r="E335" s="1"/>
      <c r="G335" s="4"/>
      <c r="H335" s="1"/>
    </row>
    <row r="336" spans="1:8" ht="19.5">
      <c r="A336" s="1"/>
      <c r="B336" s="1"/>
      <c r="C336" s="1"/>
      <c r="D336" s="1"/>
      <c r="E336" s="1"/>
      <c r="G336" s="4"/>
      <c r="H336" s="1"/>
    </row>
    <row r="337" spans="1:8" ht="19.5">
      <c r="A337" s="1"/>
      <c r="B337" s="1"/>
      <c r="C337" s="1"/>
      <c r="D337" s="1"/>
      <c r="E337" s="1"/>
      <c r="G337" s="4"/>
      <c r="H337" s="1"/>
    </row>
    <row r="338" spans="1:8" ht="19.5">
      <c r="A338" s="1"/>
      <c r="B338" s="1"/>
      <c r="C338" s="1"/>
      <c r="D338" s="1"/>
      <c r="E338" s="1"/>
      <c r="G338" s="4"/>
      <c r="H338" s="1"/>
    </row>
    <row r="339" spans="1:8" ht="19.5">
      <c r="A339" s="1"/>
      <c r="B339" s="1"/>
      <c r="C339" s="1"/>
      <c r="D339" s="1"/>
      <c r="E339" s="1"/>
      <c r="G339" s="4"/>
      <c r="H339" s="1"/>
    </row>
    <row r="340" spans="1:8" ht="19.5">
      <c r="A340" s="1"/>
      <c r="B340" s="1"/>
      <c r="C340" s="1"/>
      <c r="D340" s="1"/>
      <c r="E340" s="1"/>
      <c r="G340" s="4"/>
      <c r="H340" s="1"/>
    </row>
    <row r="341" spans="1:8" ht="19.5">
      <c r="A341" s="1"/>
      <c r="B341" s="1"/>
      <c r="C341" s="1"/>
      <c r="D341" s="1"/>
      <c r="E341" s="1"/>
      <c r="G341" s="4"/>
      <c r="H341" s="1"/>
    </row>
    <row r="342" spans="1:8" ht="19.5">
      <c r="A342" s="1"/>
      <c r="B342" s="1"/>
      <c r="C342" s="1"/>
      <c r="D342" s="1"/>
      <c r="E342" s="1"/>
      <c r="G342" s="4"/>
      <c r="H342" s="1"/>
    </row>
    <row r="343" spans="1:8" ht="19.5">
      <c r="A343" s="1"/>
      <c r="B343" s="1"/>
      <c r="C343" s="1"/>
      <c r="D343" s="1"/>
      <c r="E343" s="1"/>
      <c r="G343" s="4"/>
      <c r="H343" s="1"/>
    </row>
    <row r="344" spans="1:8" ht="19.5">
      <c r="A344" s="1"/>
      <c r="B344" s="1"/>
      <c r="C344" s="1"/>
      <c r="D344" s="1"/>
      <c r="E344" s="1"/>
      <c r="G344" s="4"/>
      <c r="H344" s="1"/>
    </row>
    <row r="345" spans="1:8" ht="19.5">
      <c r="A345" s="1"/>
      <c r="B345" s="1"/>
      <c r="C345" s="1"/>
      <c r="D345" s="1"/>
      <c r="E345" s="1"/>
      <c r="G345" s="4"/>
      <c r="H345" s="1"/>
    </row>
    <row r="346" spans="1:8" ht="19.5">
      <c r="A346" s="1"/>
      <c r="B346" s="1"/>
      <c r="C346" s="1"/>
      <c r="D346" s="1"/>
      <c r="E346" s="1"/>
      <c r="G346" s="4"/>
      <c r="H346" s="1"/>
    </row>
    <row r="347" spans="1:8" ht="19.5">
      <c r="A347" s="1"/>
      <c r="B347" s="1"/>
      <c r="C347" s="1"/>
      <c r="D347" s="1"/>
      <c r="E347" s="1"/>
      <c r="G347" s="4"/>
      <c r="H347" s="1"/>
    </row>
    <row r="348" spans="1:8" ht="19.5">
      <c r="A348" s="1"/>
      <c r="B348" s="1"/>
      <c r="C348" s="1"/>
      <c r="D348" s="1"/>
      <c r="E348" s="1"/>
      <c r="G348" s="4"/>
      <c r="H348" s="1"/>
    </row>
    <row r="349" spans="1:8" ht="19.5">
      <c r="A349" s="1"/>
      <c r="B349" s="1"/>
      <c r="C349" s="1"/>
      <c r="D349" s="1"/>
      <c r="E349" s="1"/>
      <c r="G349" s="4"/>
      <c r="H349" s="1"/>
    </row>
    <row r="350" spans="1:8" ht="19.5">
      <c r="A350" s="1"/>
      <c r="B350" s="1"/>
      <c r="C350" s="1"/>
      <c r="D350" s="1"/>
      <c r="E350" s="1"/>
      <c r="G350" s="4"/>
      <c r="H350" s="1"/>
    </row>
    <row r="351" spans="1:8" ht="19.5">
      <c r="A351" s="1"/>
      <c r="B351" s="1"/>
      <c r="C351" s="1"/>
      <c r="D351" s="1"/>
      <c r="E351" s="1"/>
      <c r="G351" s="4"/>
      <c r="H351" s="1"/>
    </row>
    <row r="352" spans="1:8" ht="19.5">
      <c r="A352" s="1"/>
      <c r="B352" s="1"/>
      <c r="C352" s="1"/>
      <c r="D352" s="1"/>
      <c r="E352" s="1"/>
      <c r="G352" s="4"/>
      <c r="H352" s="1"/>
    </row>
    <row r="353" spans="1:8" ht="19.5">
      <c r="A353" s="1"/>
      <c r="B353" s="1"/>
      <c r="C353" s="1"/>
      <c r="D353" s="1"/>
      <c r="E353" s="1"/>
      <c r="G353" s="4"/>
      <c r="H353" s="1"/>
    </row>
    <row r="354" spans="1:8" ht="19.5">
      <c r="A354" s="1"/>
      <c r="B354" s="1"/>
      <c r="C354" s="1"/>
      <c r="D354" s="1"/>
      <c r="E354" s="1"/>
      <c r="G354" s="4"/>
      <c r="H354" s="1"/>
    </row>
    <row r="355" spans="1:8" ht="19.5">
      <c r="A355" s="1"/>
      <c r="B355" s="1"/>
      <c r="C355" s="1"/>
      <c r="D355" s="1"/>
      <c r="E355" s="1"/>
      <c r="G355" s="4"/>
      <c r="H355" s="1"/>
    </row>
    <row r="356" spans="1:8" ht="19.5">
      <c r="A356" s="1"/>
      <c r="B356" s="1"/>
      <c r="C356" s="1"/>
      <c r="D356" s="1"/>
      <c r="E356" s="1"/>
      <c r="G356" s="4"/>
      <c r="H356" s="1"/>
    </row>
    <row r="357" spans="1:8" ht="19.5">
      <c r="A357" s="1"/>
      <c r="B357" s="1"/>
      <c r="C357" s="1"/>
      <c r="D357" s="1"/>
      <c r="E357" s="1"/>
      <c r="G357" s="4"/>
      <c r="H357" s="1"/>
    </row>
    <row r="358" spans="1:8" ht="19.5">
      <c r="A358" s="1"/>
      <c r="B358" s="1"/>
      <c r="C358" s="1"/>
      <c r="D358" s="1"/>
      <c r="E358" s="1"/>
      <c r="G358" s="4"/>
      <c r="H358" s="1"/>
    </row>
    <row r="359" spans="1:8" ht="19.5">
      <c r="A359" s="1"/>
      <c r="B359" s="1"/>
      <c r="C359" s="1"/>
      <c r="D359" s="1"/>
      <c r="E359" s="1"/>
      <c r="G359" s="4"/>
      <c r="H359" s="1"/>
    </row>
    <row r="360" spans="1:8" ht="19.5">
      <c r="A360" s="1"/>
      <c r="B360" s="1"/>
      <c r="C360" s="1"/>
      <c r="D360" s="1"/>
      <c r="E360" s="1"/>
      <c r="G360" s="4"/>
      <c r="H360" s="1"/>
    </row>
    <row r="361" spans="1:8" ht="19.5">
      <c r="A361" s="1"/>
      <c r="B361" s="1"/>
      <c r="C361" s="1"/>
      <c r="D361" s="1"/>
      <c r="E361" s="1"/>
      <c r="G361" s="4"/>
      <c r="H361" s="1"/>
    </row>
    <row r="362" spans="1:8" ht="19.5">
      <c r="A362" s="1"/>
      <c r="B362" s="1"/>
      <c r="C362" s="1"/>
      <c r="D362" s="1"/>
      <c r="E362" s="1"/>
      <c r="G362" s="4"/>
      <c r="H362" s="1"/>
    </row>
    <row r="363" spans="1:8" ht="19.5">
      <c r="A363" s="1"/>
      <c r="B363" s="1"/>
      <c r="C363" s="1"/>
      <c r="D363" s="1"/>
      <c r="E363" s="1"/>
      <c r="G363" s="4"/>
      <c r="H363" s="1"/>
    </row>
    <row r="364" spans="1:8" ht="19.5">
      <c r="A364" s="1"/>
      <c r="B364" s="1"/>
      <c r="C364" s="1"/>
      <c r="D364" s="1"/>
      <c r="E364" s="1"/>
      <c r="G364" s="4"/>
      <c r="H364" s="1"/>
    </row>
    <row r="365" spans="1:8" ht="19.5">
      <c r="A365" s="1"/>
      <c r="B365" s="1"/>
      <c r="C365" s="1"/>
      <c r="D365" s="1"/>
      <c r="E365" s="1"/>
      <c r="G365" s="4"/>
      <c r="H365" s="1"/>
    </row>
    <row r="366" spans="1:8" ht="19.5">
      <c r="A366" s="1"/>
      <c r="B366" s="1"/>
      <c r="C366" s="1"/>
      <c r="D366" s="1"/>
      <c r="E366" s="1"/>
      <c r="G366" s="4"/>
      <c r="H366" s="1"/>
    </row>
    <row r="367" spans="1:8" ht="19.5">
      <c r="A367" s="1"/>
      <c r="B367" s="1"/>
      <c r="C367" s="1"/>
      <c r="D367" s="1"/>
      <c r="E367" s="1"/>
      <c r="G367" s="4"/>
      <c r="H367" s="1"/>
    </row>
    <row r="368" spans="1:8" ht="19.5">
      <c r="A368" s="1"/>
      <c r="B368" s="1"/>
      <c r="C368" s="1"/>
      <c r="D368" s="1"/>
      <c r="E368" s="1"/>
      <c r="G368" s="4"/>
      <c r="H368" s="1"/>
    </row>
    <row r="369" spans="1:8" ht="19.5">
      <c r="A369" s="1"/>
      <c r="B369" s="1"/>
      <c r="C369" s="1"/>
      <c r="D369" s="1"/>
      <c r="E369" s="1"/>
      <c r="G369" s="4"/>
      <c r="H369" s="1"/>
    </row>
    <row r="370" spans="1:8" ht="19.5">
      <c r="A370" s="1"/>
      <c r="B370" s="1"/>
      <c r="C370" s="1"/>
      <c r="D370" s="1"/>
      <c r="E370" s="1"/>
      <c r="G370" s="4"/>
      <c r="H370" s="1"/>
    </row>
    <row r="371" spans="1:8" ht="19.5">
      <c r="A371" s="1"/>
      <c r="B371" s="1"/>
      <c r="C371" s="1"/>
      <c r="D371" s="1"/>
      <c r="E371" s="1"/>
      <c r="G371" s="4"/>
      <c r="H371" s="1"/>
    </row>
    <row r="372" spans="1:8" ht="19.5">
      <c r="A372" s="1"/>
      <c r="B372" s="1"/>
      <c r="C372" s="1"/>
      <c r="D372" s="1"/>
      <c r="E372" s="1"/>
      <c r="G372" s="4"/>
      <c r="H372" s="1"/>
    </row>
    <row r="373" spans="1:8" ht="19.5">
      <c r="A373" s="1"/>
      <c r="B373" s="1"/>
      <c r="C373" s="1"/>
      <c r="D373" s="1"/>
      <c r="E373" s="1"/>
      <c r="G373" s="4"/>
      <c r="H373" s="1"/>
    </row>
    <row r="374" spans="1:8" ht="19.5">
      <c r="A374" s="1"/>
      <c r="B374" s="1"/>
      <c r="C374" s="1"/>
      <c r="D374" s="1"/>
      <c r="E374" s="1"/>
      <c r="G374" s="4"/>
      <c r="H374" s="1"/>
    </row>
    <row r="375" spans="1:8" ht="19.5">
      <c r="A375" s="1"/>
      <c r="B375" s="1"/>
      <c r="C375" s="1"/>
      <c r="D375" s="1"/>
      <c r="E375" s="1"/>
      <c r="G375" s="4"/>
      <c r="H375" s="1"/>
    </row>
    <row r="376" spans="1:8" ht="19.5">
      <c r="A376" s="1"/>
      <c r="B376" s="1"/>
      <c r="C376" s="1"/>
      <c r="D376" s="1"/>
      <c r="E376" s="1"/>
      <c r="G376" s="4"/>
      <c r="H376" s="1"/>
    </row>
    <row r="377" spans="1:8" ht="19.5">
      <c r="A377" s="1"/>
      <c r="B377" s="1"/>
      <c r="C377" s="1"/>
      <c r="D377" s="1"/>
      <c r="E377" s="1"/>
      <c r="G377" s="4"/>
      <c r="H377" s="1"/>
    </row>
    <row r="378" spans="1:8" ht="19.5">
      <c r="A378" s="1"/>
      <c r="B378" s="1"/>
      <c r="C378" s="1"/>
      <c r="D378" s="1"/>
      <c r="E378" s="1"/>
      <c r="G378" s="4"/>
      <c r="H378" s="1"/>
    </row>
    <row r="379" spans="1:8" ht="19.5">
      <c r="A379" s="1"/>
      <c r="B379" s="1"/>
      <c r="C379" s="1"/>
      <c r="D379" s="1"/>
      <c r="E379" s="1"/>
      <c r="G379" s="4"/>
      <c r="H379" s="1"/>
    </row>
    <row r="380" spans="1:8" ht="19.5">
      <c r="A380" s="1"/>
      <c r="B380" s="1"/>
      <c r="C380" s="1"/>
      <c r="D380" s="1"/>
      <c r="E380" s="1"/>
      <c r="G380" s="4"/>
      <c r="H380" s="1"/>
    </row>
    <row r="381" spans="1:8" ht="19.5">
      <c r="A381" s="1"/>
      <c r="B381" s="1"/>
      <c r="C381" s="1"/>
      <c r="D381" s="1"/>
      <c r="E381" s="1"/>
      <c r="G381" s="4"/>
      <c r="H381" s="1"/>
    </row>
    <row r="382" spans="1:8" ht="19.5">
      <c r="A382" s="1"/>
      <c r="B382" s="1"/>
      <c r="C382" s="1"/>
      <c r="D382" s="1"/>
      <c r="E382" s="1"/>
      <c r="G382" s="4"/>
      <c r="H382" s="1"/>
    </row>
    <row r="383" spans="1:8" ht="19.5">
      <c r="A383" s="1"/>
      <c r="B383" s="1"/>
      <c r="C383" s="1"/>
      <c r="D383" s="1"/>
      <c r="E383" s="1"/>
      <c r="G383" s="4"/>
      <c r="H383" s="1"/>
    </row>
    <row r="384" spans="1:8" ht="19.5">
      <c r="A384" s="1"/>
      <c r="B384" s="1"/>
      <c r="C384" s="1"/>
      <c r="D384" s="1"/>
      <c r="E384" s="1"/>
      <c r="G384" s="4"/>
      <c r="H384" s="1"/>
    </row>
    <row r="385" spans="1:8" ht="19.5">
      <c r="A385" s="1"/>
      <c r="B385" s="1"/>
      <c r="C385" s="1"/>
      <c r="D385" s="1"/>
      <c r="E385" s="1"/>
      <c r="G385" s="4"/>
      <c r="H385" s="1"/>
    </row>
    <row r="386" spans="1:8" ht="19.5">
      <c r="A386" s="1"/>
      <c r="B386" s="1"/>
      <c r="C386" s="1"/>
      <c r="D386" s="1"/>
      <c r="E386" s="1"/>
      <c r="G386" s="4"/>
      <c r="H386" s="1"/>
    </row>
    <row r="387" spans="1:8" ht="19.5">
      <c r="A387" s="1"/>
      <c r="B387" s="1"/>
      <c r="C387" s="1"/>
      <c r="D387" s="1"/>
      <c r="E387" s="1"/>
      <c r="G387" s="4"/>
      <c r="H387" s="1"/>
    </row>
    <row r="388" spans="1:8" ht="19.5">
      <c r="A388" s="1"/>
      <c r="B388" s="1"/>
      <c r="C388" s="1"/>
      <c r="D388" s="1"/>
      <c r="E388" s="1"/>
      <c r="G388" s="4"/>
      <c r="H388" s="1"/>
    </row>
    <row r="389" spans="1:8" ht="19.5">
      <c r="A389" s="1"/>
      <c r="B389" s="1"/>
      <c r="C389" s="1"/>
      <c r="D389" s="1"/>
      <c r="E389" s="1"/>
      <c r="G389" s="4"/>
      <c r="H389" s="1"/>
    </row>
    <row r="390" spans="1:8" ht="19.5">
      <c r="A390" s="1"/>
      <c r="B390" s="1"/>
      <c r="C390" s="1"/>
      <c r="D390" s="1"/>
      <c r="E390" s="1"/>
      <c r="G390" s="4"/>
      <c r="H390" s="1"/>
    </row>
    <row r="391" spans="1:8" ht="19.5">
      <c r="A391" s="1"/>
      <c r="B391" s="1"/>
      <c r="C391" s="1"/>
      <c r="D391" s="1"/>
      <c r="E391" s="1"/>
      <c r="G391" s="4"/>
      <c r="H391" s="1"/>
    </row>
    <row r="392" spans="1:8" ht="19.5">
      <c r="A392" s="1"/>
      <c r="B392" s="1"/>
      <c r="C392" s="1"/>
      <c r="D392" s="1"/>
      <c r="E392" s="1"/>
      <c r="G392" s="4"/>
      <c r="H392" s="1"/>
    </row>
    <row r="393" spans="1:8" ht="19.5">
      <c r="A393" s="1"/>
      <c r="B393" s="1"/>
      <c r="C393" s="1"/>
      <c r="D393" s="1"/>
      <c r="E393" s="1"/>
      <c r="G393" s="4"/>
      <c r="H393" s="1"/>
    </row>
    <row r="394" spans="1:8" ht="19.5">
      <c r="A394" s="1"/>
      <c r="B394" s="1"/>
      <c r="C394" s="1"/>
      <c r="D394" s="1"/>
      <c r="E394" s="1"/>
      <c r="G394" s="4"/>
      <c r="H394" s="1"/>
    </row>
    <row r="395" spans="1:8" ht="19.5">
      <c r="A395" s="1"/>
      <c r="B395" s="1"/>
      <c r="C395" s="1"/>
      <c r="D395" s="1"/>
      <c r="E395" s="1"/>
      <c r="G395" s="4"/>
      <c r="H395" s="1"/>
    </row>
    <row r="396" spans="1:8" ht="19.5">
      <c r="A396" s="1"/>
      <c r="B396" s="1"/>
      <c r="C396" s="1"/>
      <c r="D396" s="1"/>
      <c r="E396" s="1"/>
      <c r="G396" s="4"/>
      <c r="H396" s="1"/>
    </row>
    <row r="397" spans="1:8" ht="19.5">
      <c r="A397" s="1"/>
      <c r="B397" s="1"/>
      <c r="C397" s="1"/>
      <c r="D397" s="1"/>
      <c r="E397" s="1"/>
      <c r="G397" s="4"/>
      <c r="H397" s="1"/>
    </row>
    <row r="398" spans="1:8" ht="19.5">
      <c r="A398" s="1"/>
      <c r="B398" s="1"/>
      <c r="C398" s="1"/>
      <c r="D398" s="1"/>
      <c r="E398" s="1"/>
      <c r="G398" s="4"/>
      <c r="H398" s="1"/>
    </row>
    <row r="399" spans="1:8" ht="19.5">
      <c r="A399" s="1"/>
      <c r="B399" s="1"/>
      <c r="C399" s="1"/>
      <c r="D399" s="1"/>
      <c r="E399" s="1"/>
      <c r="G399" s="4"/>
      <c r="H399" s="1"/>
    </row>
    <row r="400" spans="1:8" ht="19.5">
      <c r="A400" s="1"/>
      <c r="B400" s="1"/>
      <c r="C400" s="1"/>
      <c r="D400" s="1"/>
      <c r="E400" s="1"/>
      <c r="G400" s="4"/>
      <c r="H400" s="1"/>
    </row>
    <row r="401" spans="1:8" ht="19.5">
      <c r="A401" s="1"/>
      <c r="B401" s="1"/>
      <c r="C401" s="1"/>
      <c r="D401" s="1"/>
      <c r="E401" s="1"/>
      <c r="G401" s="4"/>
      <c r="H401" s="1"/>
    </row>
    <row r="402" spans="1:8" ht="19.5">
      <c r="A402" s="1"/>
      <c r="B402" s="1"/>
      <c r="C402" s="1"/>
      <c r="D402" s="1"/>
      <c r="E402" s="1"/>
      <c r="G402" s="4"/>
      <c r="H402" s="1"/>
    </row>
    <row r="403" spans="1:8" ht="19.5">
      <c r="A403" s="1"/>
      <c r="B403" s="1"/>
      <c r="C403" s="1"/>
      <c r="D403" s="1"/>
      <c r="E403" s="1"/>
      <c r="G403" s="4"/>
      <c r="H403" s="1"/>
    </row>
    <row r="404" spans="1:8" ht="19.5">
      <c r="A404" s="1"/>
      <c r="B404" s="1"/>
      <c r="C404" s="1"/>
      <c r="D404" s="1"/>
      <c r="E404" s="1"/>
      <c r="G404" s="4"/>
      <c r="H404" s="1"/>
    </row>
    <row r="405" spans="1:8" ht="19.5">
      <c r="A405" s="1"/>
      <c r="B405" s="1"/>
      <c r="C405" s="1"/>
      <c r="D405" s="1"/>
      <c r="E405" s="1"/>
      <c r="G405" s="4"/>
      <c r="H405" s="1"/>
    </row>
    <row r="406" spans="1:8" ht="19.5">
      <c r="A406" s="1"/>
      <c r="B406" s="1"/>
      <c r="C406" s="1"/>
      <c r="D406" s="1"/>
      <c r="E406" s="1"/>
      <c r="G406" s="4"/>
      <c r="H406" s="1"/>
    </row>
    <row r="407" spans="1:8" ht="19.5">
      <c r="A407" s="1"/>
      <c r="B407" s="1"/>
      <c r="C407" s="1"/>
      <c r="D407" s="1"/>
      <c r="E407" s="1"/>
      <c r="G407" s="4"/>
      <c r="H407" s="1"/>
    </row>
    <row r="408" spans="1:8" ht="19.5">
      <c r="A408" s="1"/>
      <c r="B408" s="1"/>
      <c r="C408" s="1"/>
      <c r="D408" s="1"/>
      <c r="E408" s="1"/>
      <c r="G408" s="4"/>
      <c r="H408" s="1"/>
    </row>
    <row r="409" spans="1:8" ht="19.5">
      <c r="A409" s="1"/>
      <c r="B409" s="1"/>
      <c r="C409" s="1"/>
      <c r="D409" s="1"/>
      <c r="E409" s="1"/>
      <c r="G409" s="4"/>
      <c r="H409" s="1"/>
    </row>
    <row r="410" spans="1:8" ht="19.5">
      <c r="A410" s="1"/>
      <c r="B410" s="1"/>
      <c r="C410" s="1"/>
      <c r="D410" s="1"/>
      <c r="E410" s="1"/>
      <c r="G410" s="4"/>
      <c r="H410" s="1"/>
    </row>
    <row r="411" spans="1:8" ht="19.5">
      <c r="A411" s="1"/>
      <c r="B411" s="1"/>
      <c r="C411" s="1"/>
      <c r="D411" s="1"/>
      <c r="E411" s="1"/>
      <c r="G411" s="4"/>
      <c r="H411" s="1"/>
    </row>
    <row r="412" spans="1:8" ht="19.5">
      <c r="A412" s="1"/>
      <c r="B412" s="1"/>
      <c r="C412" s="1"/>
      <c r="D412" s="1"/>
      <c r="E412" s="1"/>
      <c r="G412" s="4"/>
      <c r="H412" s="1"/>
    </row>
    <row r="413" spans="1:8" ht="19.5">
      <c r="A413" s="1"/>
      <c r="B413" s="1"/>
      <c r="C413" s="1"/>
      <c r="D413" s="1"/>
      <c r="E413" s="1"/>
      <c r="G413" s="4"/>
      <c r="H413" s="1"/>
    </row>
    <row r="414" spans="1:8" ht="19.5">
      <c r="A414" s="1"/>
      <c r="B414" s="1"/>
      <c r="C414" s="1"/>
      <c r="D414" s="1"/>
      <c r="E414" s="1"/>
      <c r="G414" s="4"/>
      <c r="H414" s="1"/>
    </row>
    <row r="415" spans="1:8" ht="19.5">
      <c r="A415" s="1"/>
      <c r="B415" s="1"/>
      <c r="C415" s="1"/>
      <c r="D415" s="1"/>
      <c r="E415" s="1"/>
      <c r="G415" s="4"/>
      <c r="H415" s="1"/>
    </row>
    <row r="416" spans="1:8" ht="19.5">
      <c r="A416" s="1"/>
      <c r="B416" s="1"/>
      <c r="C416" s="1"/>
      <c r="D416" s="1"/>
      <c r="E416" s="1"/>
      <c r="G416" s="4"/>
      <c r="H416" s="1"/>
    </row>
    <row r="417" spans="1:8" ht="19.5">
      <c r="A417" s="1"/>
      <c r="B417" s="1"/>
      <c r="C417" s="1"/>
      <c r="D417" s="1"/>
      <c r="E417" s="1"/>
      <c r="G417" s="4"/>
      <c r="H417" s="1"/>
    </row>
    <row r="418" spans="1:8" ht="19.5">
      <c r="A418" s="1"/>
      <c r="B418" s="1"/>
      <c r="C418" s="1"/>
      <c r="D418" s="1"/>
      <c r="E418" s="1"/>
      <c r="G418" s="4"/>
      <c r="H418" s="1"/>
    </row>
    <row r="419" spans="1:8" ht="19.5">
      <c r="A419" s="1"/>
      <c r="B419" s="1"/>
      <c r="C419" s="1"/>
      <c r="D419" s="1"/>
      <c r="E419" s="1"/>
      <c r="G419" s="4"/>
      <c r="H419" s="1"/>
    </row>
    <row r="420" spans="1:8" ht="19.5">
      <c r="A420" s="1"/>
      <c r="B420" s="1"/>
      <c r="C420" s="1"/>
      <c r="D420" s="1"/>
      <c r="E420" s="1"/>
      <c r="G420" s="4"/>
      <c r="H420" s="1"/>
    </row>
    <row r="421" spans="1:8" ht="19.5">
      <c r="A421" s="1"/>
      <c r="B421" s="1"/>
      <c r="C421" s="1"/>
      <c r="D421" s="1"/>
      <c r="E421" s="1"/>
      <c r="G421" s="4"/>
      <c r="H421" s="1"/>
    </row>
    <row r="422" spans="1:8" ht="19.5">
      <c r="A422" s="1"/>
      <c r="B422" s="1"/>
      <c r="C422" s="1"/>
      <c r="D422" s="1"/>
      <c r="E422" s="1"/>
      <c r="G422" s="4"/>
      <c r="H422" s="1"/>
    </row>
    <row r="423" spans="1:8" ht="19.5">
      <c r="A423" s="1"/>
      <c r="B423" s="1"/>
      <c r="C423" s="1"/>
      <c r="D423" s="1"/>
      <c r="E423" s="1"/>
      <c r="G423" s="4"/>
      <c r="H423" s="1"/>
    </row>
    <row r="424" spans="1:8" ht="19.5">
      <c r="A424" s="1"/>
      <c r="B424" s="1"/>
      <c r="C424" s="1"/>
      <c r="D424" s="1"/>
      <c r="E424" s="1"/>
      <c r="G424" s="4"/>
      <c r="H424" s="1"/>
    </row>
    <row r="425" spans="1:8" ht="19.5">
      <c r="A425" s="1"/>
      <c r="B425" s="1"/>
      <c r="C425" s="1"/>
      <c r="D425" s="1"/>
      <c r="E425" s="1"/>
      <c r="G425" s="4"/>
      <c r="H425" s="1"/>
    </row>
    <row r="426" spans="1:8" ht="19.5">
      <c r="A426" s="1"/>
      <c r="B426" s="1"/>
      <c r="C426" s="1"/>
      <c r="D426" s="1"/>
      <c r="E426" s="1"/>
      <c r="G426" s="4"/>
      <c r="H426" s="1"/>
    </row>
    <row r="427" spans="1:8" ht="19.5">
      <c r="A427" s="1"/>
      <c r="B427" s="1"/>
      <c r="C427" s="1"/>
      <c r="D427" s="1"/>
      <c r="E427" s="1"/>
      <c r="G427" s="4"/>
      <c r="H427" s="1"/>
    </row>
    <row r="428" spans="1:8" ht="19.5">
      <c r="A428" s="1"/>
      <c r="B428" s="1"/>
      <c r="C428" s="1"/>
      <c r="D428" s="1"/>
      <c r="E428" s="1"/>
      <c r="G428" s="4"/>
      <c r="H428" s="1"/>
    </row>
    <row r="429" spans="1:8" ht="19.5">
      <c r="A429" s="1"/>
      <c r="B429" s="1"/>
      <c r="C429" s="1"/>
      <c r="D429" s="1"/>
      <c r="E429" s="1"/>
      <c r="G429" s="4"/>
      <c r="H429" s="1"/>
    </row>
    <row r="430" spans="1:8" ht="19.5">
      <c r="A430" s="1"/>
      <c r="B430" s="1"/>
      <c r="C430" s="1"/>
      <c r="D430" s="1"/>
      <c r="E430" s="1"/>
      <c r="G430" s="4"/>
      <c r="H430" s="1"/>
    </row>
    <row r="431" spans="1:8" ht="19.5">
      <c r="A431" s="1"/>
      <c r="B431" s="1"/>
      <c r="C431" s="1"/>
      <c r="D431" s="1"/>
      <c r="E431" s="1"/>
      <c r="G431" s="4"/>
      <c r="H431" s="1"/>
    </row>
    <row r="432" spans="1:8" ht="19.5">
      <c r="A432" s="1"/>
      <c r="B432" s="1"/>
      <c r="C432" s="1"/>
      <c r="D432" s="1"/>
      <c r="E432" s="1"/>
      <c r="G432" s="4"/>
      <c r="H432" s="1"/>
    </row>
    <row r="433" spans="1:8" ht="19.5">
      <c r="A433" s="1"/>
      <c r="B433" s="1"/>
      <c r="C433" s="1"/>
      <c r="D433" s="1"/>
      <c r="E433" s="1"/>
      <c r="G433" s="4"/>
      <c r="H433" s="1"/>
    </row>
    <row r="434" spans="1:8" ht="19.5">
      <c r="A434" s="1"/>
      <c r="B434" s="1"/>
      <c r="C434" s="1"/>
      <c r="D434" s="1"/>
      <c r="E434" s="1"/>
      <c r="G434" s="4"/>
      <c r="H434" s="1"/>
    </row>
    <row r="435" spans="1:8" ht="19.5">
      <c r="A435" s="1"/>
      <c r="B435" s="1"/>
      <c r="C435" s="1"/>
      <c r="D435" s="1"/>
      <c r="E435" s="1"/>
      <c r="G435" s="4"/>
      <c r="H435" s="1"/>
    </row>
    <row r="436" spans="1:8" ht="19.5">
      <c r="A436" s="1"/>
      <c r="B436" s="1"/>
      <c r="C436" s="1"/>
      <c r="D436" s="1"/>
      <c r="E436" s="1"/>
      <c r="G436" s="4"/>
      <c r="H436" s="1"/>
    </row>
    <row r="437" spans="1:8" ht="19.5">
      <c r="A437" s="1"/>
      <c r="B437" s="1"/>
      <c r="C437" s="1"/>
      <c r="D437" s="1"/>
      <c r="E437" s="1"/>
      <c r="G437" s="4"/>
      <c r="H437" s="1"/>
    </row>
    <row r="438" spans="1:8" ht="19.5">
      <c r="A438" s="1"/>
      <c r="B438" s="1"/>
      <c r="C438" s="1"/>
      <c r="D438" s="1"/>
      <c r="E438" s="1"/>
      <c r="G438" s="4"/>
      <c r="H438" s="1"/>
    </row>
    <row r="439" spans="1:8" ht="19.5">
      <c r="A439" s="1"/>
      <c r="B439" s="1"/>
      <c r="C439" s="1"/>
      <c r="D439" s="1"/>
      <c r="E439" s="1"/>
      <c r="G439" s="4"/>
      <c r="H439" s="1"/>
    </row>
    <row r="440" spans="1:8" ht="19.5">
      <c r="A440" s="1"/>
      <c r="B440" s="1"/>
      <c r="C440" s="1"/>
      <c r="D440" s="1"/>
      <c r="E440" s="1"/>
      <c r="G440" s="4"/>
      <c r="H440" s="1"/>
    </row>
    <row r="441" spans="1:8" ht="19.5">
      <c r="A441" s="1"/>
      <c r="B441" s="1"/>
      <c r="C441" s="1"/>
      <c r="D441" s="1"/>
      <c r="E441" s="1"/>
      <c r="G441" s="4"/>
      <c r="H441" s="1"/>
    </row>
    <row r="442" spans="1:8" ht="19.5">
      <c r="A442" s="1"/>
      <c r="B442" s="1"/>
      <c r="C442" s="1"/>
      <c r="D442" s="1"/>
      <c r="E442" s="1"/>
      <c r="G442" s="4"/>
      <c r="H442" s="1"/>
    </row>
    <row r="443" spans="1:8" ht="19.5">
      <c r="A443" s="1"/>
      <c r="B443" s="1"/>
      <c r="C443" s="1"/>
      <c r="D443" s="1"/>
      <c r="E443" s="1"/>
      <c r="G443" s="4"/>
      <c r="H443" s="1"/>
    </row>
    <row r="444" spans="1:8" ht="19.5">
      <c r="A444" s="1"/>
      <c r="B444" s="1"/>
      <c r="C444" s="1"/>
      <c r="D444" s="1"/>
      <c r="E444" s="1"/>
      <c r="G444" s="4"/>
      <c r="H444" s="1"/>
    </row>
    <row r="445" spans="1:8" ht="19.5">
      <c r="A445" s="1"/>
      <c r="B445" s="1"/>
      <c r="C445" s="1"/>
      <c r="D445" s="1"/>
      <c r="E445" s="1"/>
      <c r="G445" s="4"/>
      <c r="H445" s="1"/>
    </row>
    <row r="446" spans="1:8" ht="19.5">
      <c r="A446" s="1"/>
      <c r="B446" s="1"/>
      <c r="C446" s="1"/>
      <c r="D446" s="1"/>
      <c r="E446" s="1"/>
      <c r="G446" s="4"/>
      <c r="H446" s="1"/>
    </row>
    <row r="447" spans="1:8" ht="19.5">
      <c r="A447" s="1"/>
      <c r="B447" s="1"/>
      <c r="C447" s="1"/>
      <c r="D447" s="1"/>
      <c r="E447" s="1"/>
      <c r="G447" s="4"/>
      <c r="H447" s="1"/>
    </row>
    <row r="448" spans="1:8" ht="19.5">
      <c r="A448" s="1"/>
      <c r="B448" s="1"/>
      <c r="C448" s="1"/>
      <c r="D448" s="1"/>
      <c r="E448" s="1"/>
      <c r="G448" s="4"/>
      <c r="H448" s="1"/>
    </row>
    <row r="449" spans="1:8" ht="19.5">
      <c r="A449" s="1"/>
      <c r="B449" s="1"/>
      <c r="C449" s="1"/>
      <c r="D449" s="1"/>
      <c r="E449" s="1"/>
      <c r="G449" s="4"/>
      <c r="H449" s="1"/>
    </row>
    <row r="450" spans="1:8" ht="19.5">
      <c r="A450" s="1"/>
      <c r="B450" s="1"/>
      <c r="C450" s="1"/>
      <c r="D450" s="1"/>
      <c r="E450" s="1"/>
      <c r="G450" s="4"/>
      <c r="H450" s="1"/>
    </row>
    <row r="451" spans="1:8" ht="19.5">
      <c r="A451" s="1"/>
      <c r="B451" s="1"/>
      <c r="C451" s="1"/>
      <c r="D451" s="1"/>
      <c r="E451" s="1"/>
      <c r="G451" s="4"/>
      <c r="H451" s="1"/>
    </row>
    <row r="452" spans="1:8" ht="19.5">
      <c r="A452" s="1"/>
      <c r="B452" s="1"/>
      <c r="C452" s="1"/>
      <c r="D452" s="1"/>
      <c r="E452" s="1"/>
      <c r="G452" s="4"/>
      <c r="H452" s="1"/>
    </row>
    <row r="453" spans="1:8" ht="19.5">
      <c r="A453" s="1"/>
      <c r="B453" s="1"/>
      <c r="C453" s="1"/>
      <c r="D453" s="1"/>
      <c r="E453" s="1"/>
      <c r="G453" s="4"/>
      <c r="H453" s="1"/>
    </row>
    <row r="454" spans="1:8" ht="19.5">
      <c r="A454" s="1"/>
      <c r="B454" s="1"/>
      <c r="C454" s="1"/>
      <c r="D454" s="1"/>
      <c r="E454" s="1"/>
      <c r="G454" s="4"/>
      <c r="H454" s="1"/>
    </row>
    <row r="455" spans="1:8" ht="19.5">
      <c r="A455" s="1"/>
      <c r="B455" s="1"/>
      <c r="C455" s="1"/>
      <c r="D455" s="1"/>
      <c r="E455" s="1"/>
      <c r="G455" s="4"/>
      <c r="H455" s="1"/>
    </row>
    <row r="456" spans="1:8" ht="19.5">
      <c r="A456" s="1"/>
      <c r="B456" s="1"/>
      <c r="C456" s="1"/>
      <c r="D456" s="1"/>
      <c r="E456" s="1"/>
      <c r="G456" s="4"/>
      <c r="H456" s="1"/>
    </row>
    <row r="457" spans="1:8" ht="19.5">
      <c r="A457" s="1"/>
      <c r="B457" s="1"/>
      <c r="C457" s="1"/>
      <c r="D457" s="1"/>
      <c r="E457" s="1"/>
      <c r="G457" s="4"/>
      <c r="H457" s="1"/>
    </row>
    <row r="458" spans="1:8" ht="19.5">
      <c r="A458" s="1"/>
      <c r="B458" s="1"/>
      <c r="C458" s="1"/>
      <c r="D458" s="1"/>
      <c r="E458" s="1"/>
      <c r="G458" s="4"/>
      <c r="H458" s="1"/>
    </row>
    <row r="459" spans="1:8" ht="19.5">
      <c r="A459" s="1"/>
      <c r="B459" s="1"/>
      <c r="C459" s="1"/>
      <c r="D459" s="1"/>
      <c r="E459" s="1"/>
      <c r="G459" s="4"/>
      <c r="H459" s="1"/>
    </row>
    <row r="460" spans="1:8" ht="19.5">
      <c r="A460" s="1"/>
      <c r="B460" s="1"/>
      <c r="C460" s="1"/>
      <c r="D460" s="1"/>
      <c r="E460" s="1"/>
      <c r="G460" s="4"/>
      <c r="H460" s="1"/>
    </row>
    <row r="461" spans="1:8" ht="19.5">
      <c r="A461" s="1"/>
      <c r="B461" s="1"/>
      <c r="C461" s="1"/>
      <c r="D461" s="1"/>
      <c r="E461" s="1"/>
      <c r="G461" s="4"/>
      <c r="H461" s="1"/>
    </row>
    <row r="462" spans="1:8" ht="19.5">
      <c r="A462" s="1"/>
      <c r="B462" s="1"/>
      <c r="C462" s="1"/>
      <c r="D462" s="1"/>
      <c r="E462" s="1"/>
      <c r="G462" s="4"/>
      <c r="H462" s="1"/>
    </row>
    <row r="463" spans="1:8" ht="19.5">
      <c r="A463" s="1"/>
      <c r="B463" s="1"/>
      <c r="C463" s="1"/>
      <c r="D463" s="1"/>
      <c r="E463" s="1"/>
      <c r="G463" s="4"/>
      <c r="H463" s="1"/>
    </row>
    <row r="464" spans="1:8" ht="19.5">
      <c r="A464" s="1"/>
      <c r="B464" s="1"/>
      <c r="C464" s="1"/>
      <c r="D464" s="1"/>
      <c r="E464" s="1"/>
      <c r="G464" s="4"/>
      <c r="H464" s="1"/>
    </row>
    <row r="465" spans="1:8" ht="19.5">
      <c r="A465" s="1"/>
      <c r="B465" s="1"/>
      <c r="C465" s="1"/>
      <c r="D465" s="1"/>
      <c r="E465" s="1"/>
      <c r="G465" s="4"/>
      <c r="H465" s="1"/>
    </row>
    <row r="466" spans="1:8" ht="19.5">
      <c r="A466" s="1"/>
      <c r="B466" s="1"/>
      <c r="C466" s="1"/>
      <c r="D466" s="1"/>
      <c r="E466" s="1"/>
      <c r="G466" s="4"/>
      <c r="H466" s="1"/>
    </row>
    <row r="467" spans="1:8" ht="19.5">
      <c r="A467" s="1"/>
      <c r="B467" s="1"/>
      <c r="C467" s="1"/>
      <c r="D467" s="1"/>
      <c r="E467" s="1"/>
      <c r="G467" s="4"/>
      <c r="H467" s="1"/>
    </row>
    <row r="468" spans="1:8" ht="19.5">
      <c r="A468" s="1"/>
      <c r="B468" s="1"/>
      <c r="C468" s="1"/>
      <c r="D468" s="1"/>
      <c r="E468" s="1"/>
      <c r="G468" s="4"/>
      <c r="H468" s="1"/>
    </row>
    <row r="469" spans="1:8" ht="19.5">
      <c r="A469" s="1"/>
      <c r="B469" s="1"/>
      <c r="C469" s="1"/>
      <c r="D469" s="1"/>
      <c r="E469" s="1"/>
      <c r="G469" s="4"/>
      <c r="H469" s="1"/>
    </row>
    <row r="470" spans="1:8" ht="19.5">
      <c r="A470" s="1"/>
      <c r="B470" s="1"/>
      <c r="C470" s="1"/>
      <c r="D470" s="1"/>
      <c r="E470" s="1"/>
      <c r="G470" s="4"/>
      <c r="H470" s="1"/>
    </row>
    <row r="471" spans="1:8" ht="19.5">
      <c r="A471" s="1"/>
      <c r="B471" s="1"/>
      <c r="C471" s="1"/>
      <c r="D471" s="1"/>
      <c r="E471" s="1"/>
      <c r="G471" s="4"/>
      <c r="H471" s="1"/>
    </row>
    <row r="472" spans="1:8" ht="19.5">
      <c r="A472" s="1"/>
      <c r="B472" s="1"/>
      <c r="C472" s="1"/>
      <c r="D472" s="1"/>
      <c r="E472" s="1"/>
      <c r="G472" s="4"/>
      <c r="H472" s="1"/>
    </row>
    <row r="473" spans="1:8" ht="19.5">
      <c r="A473" s="1"/>
      <c r="B473" s="1"/>
      <c r="C473" s="1"/>
      <c r="D473" s="1"/>
      <c r="E473" s="1"/>
      <c r="G473" s="4"/>
      <c r="H473" s="1"/>
    </row>
    <row r="474" spans="1:8" ht="19.5">
      <c r="A474" s="1"/>
      <c r="B474" s="1"/>
      <c r="C474" s="1"/>
      <c r="D474" s="1"/>
      <c r="E474" s="1"/>
      <c r="G474" s="4"/>
      <c r="H474" s="1"/>
    </row>
    <row r="475" spans="1:8" ht="19.5">
      <c r="A475" s="1"/>
      <c r="B475" s="1"/>
      <c r="C475" s="1"/>
      <c r="D475" s="1"/>
      <c r="E475" s="1"/>
      <c r="G475" s="4"/>
      <c r="H475" s="1"/>
    </row>
    <row r="476" spans="1:8" ht="19.5">
      <c r="A476" s="1"/>
      <c r="B476" s="1"/>
      <c r="C476" s="1"/>
      <c r="D476" s="1"/>
      <c r="E476" s="1"/>
      <c r="G476" s="4"/>
      <c r="H476" s="1"/>
    </row>
    <row r="477" spans="1:8" ht="19.5">
      <c r="A477" s="1"/>
      <c r="B477" s="1"/>
      <c r="C477" s="1"/>
      <c r="D477" s="1"/>
      <c r="E477" s="1"/>
      <c r="G477" s="4"/>
      <c r="H477" s="1"/>
    </row>
    <row r="478" spans="1:8" ht="19.5">
      <c r="A478" s="1"/>
      <c r="B478" s="1"/>
      <c r="C478" s="1"/>
      <c r="D478" s="1"/>
      <c r="E478" s="1"/>
      <c r="G478" s="4"/>
      <c r="H478" s="1"/>
    </row>
    <row r="479" spans="1:8" ht="19.5">
      <c r="A479" s="1"/>
      <c r="B479" s="1"/>
      <c r="C479" s="1"/>
      <c r="D479" s="1"/>
      <c r="E479" s="1"/>
      <c r="G479" s="4"/>
      <c r="H479" s="1"/>
    </row>
    <row r="480" spans="1:8" ht="19.5">
      <c r="A480" s="1"/>
      <c r="B480" s="1"/>
      <c r="C480" s="1"/>
      <c r="D480" s="1"/>
      <c r="E480" s="1"/>
      <c r="G480" s="4"/>
      <c r="H480" s="1"/>
    </row>
    <row r="481" spans="1:8" ht="19.5">
      <c r="A481" s="1"/>
      <c r="B481" s="1"/>
      <c r="C481" s="1"/>
      <c r="D481" s="1"/>
      <c r="E481" s="1"/>
      <c r="G481" s="4"/>
      <c r="H481" s="1"/>
    </row>
    <row r="482" spans="1:8" ht="19.5">
      <c r="A482" s="1"/>
      <c r="B482" s="1"/>
      <c r="C482" s="1"/>
      <c r="D482" s="1"/>
      <c r="E482" s="1"/>
      <c r="G482" s="4"/>
      <c r="H482" s="1"/>
    </row>
    <row r="483" spans="1:8" ht="19.5">
      <c r="A483" s="1"/>
      <c r="B483" s="1"/>
      <c r="C483" s="1"/>
      <c r="D483" s="1"/>
      <c r="E483" s="1"/>
      <c r="G483" s="4"/>
      <c r="H483" s="1"/>
    </row>
    <row r="484" spans="1:8" ht="19.5">
      <c r="A484" s="1"/>
      <c r="B484" s="1"/>
      <c r="C484" s="1"/>
      <c r="D484" s="1"/>
      <c r="E484" s="1"/>
      <c r="G484" s="4"/>
      <c r="H484" s="1"/>
    </row>
    <row r="485" spans="1:8" ht="19.5">
      <c r="A485" s="1"/>
      <c r="B485" s="1"/>
      <c r="C485" s="1"/>
      <c r="D485" s="1"/>
      <c r="E485" s="1"/>
      <c r="G485" s="4"/>
      <c r="H485" s="1"/>
    </row>
    <row r="486" spans="1:8" ht="19.5">
      <c r="A486" s="1"/>
      <c r="B486" s="1"/>
      <c r="C486" s="1"/>
      <c r="D486" s="1"/>
      <c r="E486" s="1"/>
      <c r="G486" s="4"/>
      <c r="H486" s="1"/>
    </row>
    <row r="487" spans="1:8" ht="19.5">
      <c r="A487" s="1"/>
      <c r="B487" s="1"/>
      <c r="C487" s="1"/>
      <c r="D487" s="1"/>
      <c r="E487" s="1"/>
      <c r="G487" s="4"/>
      <c r="H487" s="1"/>
    </row>
    <row r="488" spans="1:8" ht="19.5">
      <c r="A488" s="1"/>
      <c r="B488" s="1"/>
      <c r="C488" s="1"/>
      <c r="D488" s="1"/>
      <c r="E488" s="1"/>
      <c r="G488" s="4"/>
      <c r="H488" s="1"/>
    </row>
    <row r="489" spans="1:8" ht="19.5">
      <c r="A489" s="1"/>
      <c r="B489" s="1"/>
      <c r="C489" s="1"/>
      <c r="D489" s="1"/>
      <c r="E489" s="1"/>
      <c r="G489" s="4"/>
      <c r="H489" s="1"/>
    </row>
    <row r="490" spans="1:8" ht="19.5">
      <c r="A490" s="1"/>
      <c r="B490" s="1"/>
      <c r="C490" s="1"/>
      <c r="D490" s="1"/>
      <c r="E490" s="1"/>
      <c r="G490" s="4"/>
      <c r="H490" s="1"/>
    </row>
    <row r="491" spans="1:8" ht="19.5">
      <c r="A491" s="1"/>
      <c r="B491" s="1"/>
      <c r="C491" s="1"/>
      <c r="D491" s="1"/>
      <c r="E491" s="1"/>
      <c r="G491" s="4"/>
      <c r="H491" s="1"/>
    </row>
    <row r="492" spans="1:8" ht="19.5">
      <c r="A492" s="1"/>
      <c r="B492" s="1"/>
      <c r="C492" s="1"/>
      <c r="D492" s="1"/>
      <c r="E492" s="1"/>
      <c r="G492" s="4"/>
      <c r="H492" s="1"/>
    </row>
    <row r="493" spans="1:8" ht="19.5">
      <c r="A493" s="1"/>
      <c r="B493" s="1"/>
      <c r="C493" s="1"/>
      <c r="D493" s="1"/>
      <c r="E493" s="1"/>
      <c r="G493" s="4"/>
      <c r="H493" s="1"/>
    </row>
    <row r="494" spans="1:8" ht="19.5">
      <c r="A494" s="1"/>
      <c r="B494" s="1"/>
      <c r="C494" s="1"/>
      <c r="D494" s="1"/>
      <c r="E494" s="1"/>
      <c r="G494" s="4"/>
      <c r="H494" s="1"/>
    </row>
    <row r="495" spans="1:8" ht="19.5">
      <c r="A495" s="1"/>
      <c r="B495" s="1"/>
      <c r="C495" s="1"/>
      <c r="D495" s="1"/>
      <c r="E495" s="1"/>
      <c r="G495" s="4"/>
      <c r="H495" s="1"/>
    </row>
    <row r="496" spans="1:8" ht="19.5">
      <c r="A496" s="1"/>
      <c r="B496" s="1"/>
      <c r="C496" s="1"/>
      <c r="D496" s="1"/>
      <c r="E496" s="1"/>
      <c r="G496" s="4"/>
      <c r="H496" s="1"/>
    </row>
    <row r="497" spans="1:8" ht="19.5">
      <c r="A497" s="1"/>
      <c r="B497" s="1"/>
      <c r="C497" s="1"/>
      <c r="D497" s="1"/>
      <c r="E497" s="1"/>
      <c r="G497" s="4"/>
      <c r="H497" s="1"/>
    </row>
    <row r="498" spans="1:8" ht="19.5">
      <c r="A498" s="1"/>
      <c r="B498" s="1"/>
      <c r="C498" s="1"/>
      <c r="D498" s="1"/>
      <c r="E498" s="1"/>
      <c r="G498" s="4"/>
      <c r="H498" s="1"/>
    </row>
    <row r="499" spans="1:8" ht="19.5">
      <c r="A499" s="1"/>
      <c r="B499" s="1"/>
      <c r="C499" s="1"/>
      <c r="D499" s="1"/>
      <c r="E499" s="1"/>
      <c r="G499" s="4"/>
      <c r="H499" s="1"/>
    </row>
    <row r="500" spans="1:8" ht="19.5">
      <c r="A500" s="1"/>
      <c r="B500" s="1"/>
      <c r="C500" s="1"/>
      <c r="D500" s="1"/>
      <c r="E500" s="1"/>
      <c r="G500" s="4"/>
      <c r="H500" s="1"/>
    </row>
    <row r="501" spans="1:8" ht="19.5">
      <c r="A501" s="1"/>
      <c r="B501" s="1"/>
      <c r="C501" s="1"/>
      <c r="D501" s="1"/>
      <c r="E501" s="1"/>
      <c r="G501" s="4"/>
      <c r="H501" s="1"/>
    </row>
    <row r="502" spans="1:8" ht="19.5">
      <c r="A502" s="1"/>
      <c r="B502" s="1"/>
      <c r="C502" s="1"/>
      <c r="D502" s="1"/>
      <c r="E502" s="1"/>
      <c r="G502" s="4"/>
      <c r="H502" s="1"/>
    </row>
    <row r="503" spans="1:8" ht="19.5">
      <c r="A503" s="1"/>
      <c r="B503" s="1"/>
      <c r="C503" s="1"/>
      <c r="D503" s="1"/>
      <c r="E503" s="1"/>
      <c r="G503" s="4"/>
      <c r="H503" s="1"/>
    </row>
    <row r="504" spans="1:8" ht="19.5">
      <c r="A504" s="1"/>
      <c r="B504" s="1"/>
      <c r="C504" s="1"/>
      <c r="D504" s="1"/>
      <c r="E504" s="1"/>
      <c r="G504" s="4"/>
      <c r="H504" s="1"/>
    </row>
    <row r="505" spans="1:8" ht="19.5">
      <c r="A505" s="1"/>
      <c r="B505" s="1"/>
      <c r="C505" s="1"/>
      <c r="D505" s="1"/>
      <c r="E505" s="1"/>
      <c r="G505" s="4"/>
      <c r="H505" s="1"/>
    </row>
    <row r="506" spans="1:8" ht="19.5">
      <c r="A506" s="1"/>
      <c r="B506" s="1"/>
      <c r="C506" s="1"/>
      <c r="D506" s="1"/>
      <c r="E506" s="1"/>
      <c r="G506" s="4"/>
      <c r="H506" s="1"/>
    </row>
    <row r="507" spans="1:8" ht="19.5">
      <c r="A507" s="1"/>
      <c r="B507" s="1"/>
      <c r="C507" s="1"/>
      <c r="D507" s="1"/>
      <c r="E507" s="1"/>
      <c r="G507" s="4"/>
      <c r="H507" s="1"/>
    </row>
    <row r="508" spans="1:8" ht="19.5">
      <c r="A508" s="1"/>
      <c r="B508" s="1"/>
      <c r="C508" s="1"/>
      <c r="D508" s="1"/>
      <c r="E508" s="1"/>
      <c r="G508" s="4"/>
      <c r="H508" s="1"/>
    </row>
    <row r="509" spans="1:8" ht="19.5">
      <c r="A509" s="1"/>
      <c r="B509" s="1"/>
      <c r="C509" s="1"/>
      <c r="D509" s="1"/>
      <c r="E509" s="1"/>
      <c r="G509" s="4"/>
      <c r="H509" s="1"/>
    </row>
    <row r="510" spans="1:8" ht="19.5">
      <c r="A510" s="1"/>
      <c r="B510" s="1"/>
      <c r="C510" s="1"/>
      <c r="D510" s="1"/>
      <c r="E510" s="1"/>
      <c r="G510" s="4"/>
      <c r="H510" s="1"/>
    </row>
    <row r="511" spans="1:8" ht="19.5">
      <c r="A511" s="1"/>
      <c r="B511" s="1"/>
      <c r="C511" s="1"/>
      <c r="D511" s="1"/>
      <c r="E511" s="1"/>
      <c r="G511" s="4"/>
      <c r="H511" s="1"/>
    </row>
    <row r="512" spans="1:8" ht="19.5">
      <c r="A512" s="1"/>
      <c r="B512" s="1"/>
      <c r="C512" s="1"/>
      <c r="D512" s="1"/>
      <c r="E512" s="1"/>
      <c r="G512" s="4"/>
      <c r="H512" s="1"/>
    </row>
    <row r="513" spans="1:8" ht="19.5">
      <c r="A513" s="1"/>
      <c r="B513" s="1"/>
      <c r="C513" s="1"/>
      <c r="D513" s="1"/>
      <c r="E513" s="1"/>
      <c r="G513" s="4"/>
      <c r="H513" s="1"/>
    </row>
    <row r="514" spans="1:8" ht="19.5">
      <c r="A514" s="1"/>
      <c r="B514" s="1"/>
      <c r="C514" s="1"/>
      <c r="D514" s="1"/>
      <c r="E514" s="1"/>
      <c r="G514" s="4"/>
      <c r="H514" s="1"/>
    </row>
    <row r="515" spans="1:8" ht="19.5">
      <c r="A515" s="1"/>
      <c r="B515" s="1"/>
      <c r="C515" s="1"/>
      <c r="D515" s="1"/>
      <c r="E515" s="1"/>
      <c r="G515" s="4"/>
      <c r="H515" s="1"/>
    </row>
    <row r="516" spans="1:8" ht="19.5">
      <c r="A516" s="1"/>
      <c r="B516" s="1"/>
      <c r="C516" s="1"/>
      <c r="D516" s="1"/>
      <c r="E516" s="1"/>
      <c r="G516" s="4"/>
      <c r="H516" s="1"/>
    </row>
    <row r="517" spans="1:8" ht="19.5">
      <c r="A517" s="1"/>
      <c r="B517" s="1"/>
      <c r="C517" s="1"/>
      <c r="D517" s="1"/>
      <c r="E517" s="1"/>
      <c r="G517" s="4"/>
      <c r="H517" s="1"/>
    </row>
    <row r="518" spans="1:8" ht="19.5">
      <c r="A518" s="1"/>
      <c r="B518" s="1"/>
      <c r="C518" s="1"/>
      <c r="D518" s="1"/>
      <c r="E518" s="1"/>
      <c r="G518" s="4"/>
      <c r="H518" s="1"/>
    </row>
    <row r="519" spans="1:8" ht="19.5">
      <c r="A519" s="1"/>
      <c r="B519" s="1"/>
      <c r="C519" s="1"/>
      <c r="D519" s="1"/>
      <c r="E519" s="1"/>
      <c r="G519" s="4"/>
      <c r="H519" s="1"/>
    </row>
    <row r="520" spans="1:8" ht="19.5">
      <c r="A520" s="1"/>
      <c r="B520" s="1"/>
      <c r="C520" s="1"/>
      <c r="D520" s="1"/>
      <c r="E520" s="1"/>
      <c r="G520" s="4"/>
      <c r="H520" s="1"/>
    </row>
    <row r="521" spans="1:8" ht="19.5">
      <c r="A521" s="1"/>
      <c r="B521" s="1"/>
      <c r="C521" s="1"/>
      <c r="D521" s="1"/>
      <c r="E521" s="1"/>
      <c r="G521" s="4"/>
      <c r="H521" s="1"/>
    </row>
    <row r="522" spans="1:8" ht="19.5">
      <c r="A522" s="1"/>
      <c r="B522" s="1"/>
      <c r="C522" s="1"/>
      <c r="D522" s="1"/>
      <c r="E522" s="1"/>
      <c r="G522" s="4"/>
      <c r="H522" s="1"/>
    </row>
    <row r="523" spans="1:8" ht="19.5">
      <c r="A523" s="1"/>
      <c r="B523" s="1"/>
      <c r="C523" s="1"/>
      <c r="D523" s="1"/>
      <c r="E523" s="1"/>
      <c r="G523" s="4"/>
      <c r="H523" s="1"/>
    </row>
    <row r="524" spans="1:8" ht="19.5">
      <c r="A524" s="1"/>
      <c r="B524" s="1"/>
      <c r="C524" s="1"/>
      <c r="D524" s="1"/>
      <c r="E524" s="1"/>
      <c r="G524" s="4"/>
      <c r="H524" s="1"/>
    </row>
    <row r="525" spans="1:8" ht="19.5">
      <c r="A525" s="1"/>
      <c r="B525" s="1"/>
      <c r="C525" s="1"/>
      <c r="D525" s="1"/>
      <c r="E525" s="1"/>
      <c r="G525" s="4"/>
      <c r="H525" s="1"/>
    </row>
    <row r="526" spans="1:8" ht="19.5">
      <c r="A526" s="1"/>
      <c r="B526" s="1"/>
      <c r="C526" s="1"/>
      <c r="D526" s="1"/>
      <c r="E526" s="1"/>
      <c r="G526" s="4"/>
      <c r="H526" s="1"/>
    </row>
    <row r="527" spans="1:8" ht="19.5">
      <c r="A527" s="1"/>
      <c r="B527" s="1"/>
      <c r="C527" s="1"/>
      <c r="D527" s="1"/>
      <c r="E527" s="1"/>
      <c r="G527" s="4"/>
      <c r="H527" s="1"/>
    </row>
    <row r="528" spans="1:8" ht="19.5">
      <c r="A528" s="1"/>
      <c r="B528" s="1"/>
      <c r="C528" s="1"/>
      <c r="D528" s="1"/>
      <c r="E528" s="1"/>
      <c r="G528" s="4"/>
      <c r="H528" s="1"/>
    </row>
    <row r="529" spans="1:8" ht="19.5">
      <c r="A529" s="1"/>
      <c r="B529" s="1"/>
      <c r="C529" s="1"/>
      <c r="D529" s="1"/>
      <c r="E529" s="1"/>
      <c r="G529" s="4"/>
      <c r="H529" s="1"/>
    </row>
    <row r="530" spans="1:8" ht="19.5">
      <c r="A530" s="1"/>
      <c r="B530" s="1"/>
      <c r="C530" s="1"/>
      <c r="D530" s="1"/>
      <c r="E530" s="1"/>
      <c r="G530" s="4"/>
      <c r="H530" s="1"/>
    </row>
    <row r="531" spans="1:8" ht="19.5">
      <c r="A531" s="1"/>
      <c r="B531" s="1"/>
      <c r="C531" s="1"/>
      <c r="D531" s="1"/>
      <c r="E531" s="1"/>
      <c r="G531" s="4"/>
      <c r="H531" s="1"/>
    </row>
    <row r="532" spans="1:8" ht="19.5">
      <c r="A532" s="1"/>
      <c r="B532" s="1"/>
      <c r="C532" s="1"/>
      <c r="D532" s="1"/>
      <c r="E532" s="1"/>
      <c r="G532" s="4"/>
      <c r="H532" s="1"/>
    </row>
    <row r="533" spans="1:8" ht="19.5">
      <c r="A533" s="1"/>
      <c r="B533" s="1"/>
      <c r="C533" s="1"/>
      <c r="D533" s="1"/>
      <c r="E533" s="1"/>
      <c r="G533" s="4"/>
      <c r="H533" s="1"/>
    </row>
    <row r="534" spans="1:8" ht="19.5">
      <c r="A534" s="1"/>
      <c r="B534" s="1"/>
      <c r="C534" s="1"/>
      <c r="D534" s="1"/>
      <c r="E534" s="1"/>
      <c r="G534" s="4"/>
      <c r="H534" s="1"/>
    </row>
    <row r="535" spans="1:8" ht="19.5">
      <c r="A535" s="1"/>
      <c r="B535" s="1"/>
      <c r="C535" s="1"/>
      <c r="D535" s="1"/>
      <c r="E535" s="1"/>
      <c r="G535" s="4"/>
      <c r="H535" s="1"/>
    </row>
    <row r="536" spans="1:8" ht="19.5">
      <c r="A536" s="1"/>
      <c r="B536" s="1"/>
      <c r="C536" s="1"/>
      <c r="D536" s="1"/>
      <c r="E536" s="1"/>
      <c r="G536" s="4"/>
      <c r="H536" s="1"/>
    </row>
    <row r="537" spans="1:8" ht="19.5">
      <c r="A537" s="1"/>
      <c r="B537" s="1"/>
      <c r="C537" s="1"/>
      <c r="D537" s="1"/>
      <c r="E537" s="1"/>
      <c r="G537" s="4"/>
      <c r="H537" s="1"/>
    </row>
    <row r="538" spans="1:8" ht="19.5">
      <c r="A538" s="1"/>
      <c r="B538" s="1"/>
      <c r="C538" s="1"/>
      <c r="D538" s="1"/>
      <c r="E538" s="1"/>
      <c r="G538" s="4"/>
      <c r="H538" s="1"/>
    </row>
    <row r="539" spans="1:8" ht="19.5">
      <c r="A539" s="1"/>
      <c r="B539" s="1"/>
      <c r="C539" s="1"/>
      <c r="D539" s="1"/>
      <c r="E539" s="1"/>
      <c r="G539" s="4"/>
      <c r="H539" s="1"/>
    </row>
    <row r="540" spans="1:8" ht="19.5">
      <c r="A540" s="1"/>
      <c r="B540" s="1"/>
      <c r="C540" s="1"/>
      <c r="D540" s="1"/>
      <c r="E540" s="1"/>
      <c r="G540" s="4"/>
      <c r="H540" s="1"/>
    </row>
    <row r="541" spans="1:8" ht="19.5">
      <c r="A541" s="1"/>
      <c r="B541" s="1"/>
      <c r="C541" s="1"/>
      <c r="D541" s="1"/>
      <c r="E541" s="1"/>
      <c r="G541" s="4"/>
      <c r="H541" s="1"/>
    </row>
    <row r="542" spans="1:8" ht="19.5">
      <c r="A542" s="1"/>
      <c r="B542" s="1"/>
      <c r="C542" s="1"/>
      <c r="D542" s="1"/>
      <c r="E542" s="1"/>
      <c r="G542" s="4"/>
      <c r="H542" s="1"/>
    </row>
    <row r="543" spans="1:8" ht="19.5">
      <c r="A543" s="1"/>
      <c r="B543" s="1"/>
      <c r="C543" s="1"/>
      <c r="D543" s="1"/>
      <c r="E543" s="1"/>
      <c r="G543" s="4"/>
      <c r="H543" s="1"/>
    </row>
    <row r="544" spans="1:8" ht="19.5">
      <c r="A544" s="1"/>
      <c r="B544" s="1"/>
      <c r="C544" s="1"/>
      <c r="D544" s="1"/>
      <c r="E544" s="1"/>
      <c r="G544" s="4"/>
      <c r="H544" s="1"/>
    </row>
    <row r="545" spans="1:8" ht="19.5">
      <c r="A545" s="1"/>
      <c r="B545" s="1"/>
      <c r="C545" s="1"/>
      <c r="D545" s="1"/>
      <c r="E545" s="1"/>
      <c r="G545" s="4"/>
      <c r="H545" s="1"/>
    </row>
    <row r="546" spans="1:8" ht="19.5">
      <c r="A546" s="1"/>
      <c r="B546" s="1"/>
      <c r="C546" s="1"/>
      <c r="D546" s="1"/>
      <c r="E546" s="1"/>
      <c r="G546" s="4"/>
      <c r="H546" s="1"/>
    </row>
    <row r="547" spans="1:8" ht="19.5">
      <c r="A547" s="1"/>
      <c r="B547" s="1"/>
      <c r="C547" s="1"/>
      <c r="D547" s="1"/>
      <c r="E547" s="1"/>
      <c r="G547" s="4"/>
      <c r="H547" s="1"/>
    </row>
    <row r="548" spans="1:8" ht="19.5">
      <c r="A548" s="1"/>
      <c r="B548" s="1"/>
      <c r="C548" s="1"/>
      <c r="D548" s="1"/>
      <c r="E548" s="1"/>
      <c r="G548" s="4"/>
      <c r="H548" s="1"/>
    </row>
    <row r="549" spans="1:8" ht="19.5">
      <c r="A549" s="1"/>
      <c r="B549" s="1"/>
      <c r="C549" s="1"/>
      <c r="D549" s="1"/>
      <c r="E549" s="1"/>
      <c r="G549" s="4"/>
      <c r="H549" s="1"/>
    </row>
    <row r="550" spans="1:8" ht="19.5">
      <c r="A550" s="1"/>
      <c r="B550" s="1"/>
      <c r="C550" s="1"/>
      <c r="D550" s="1"/>
      <c r="E550" s="1"/>
      <c r="G550" s="4"/>
      <c r="H550" s="1"/>
    </row>
    <row r="551" spans="1:8" ht="19.5">
      <c r="A551" s="1"/>
      <c r="B551" s="1"/>
      <c r="C551" s="1"/>
      <c r="D551" s="1"/>
      <c r="E551" s="1"/>
      <c r="G551" s="4"/>
      <c r="H551" s="1"/>
    </row>
    <row r="552" spans="1:8" ht="19.5">
      <c r="A552" s="1"/>
      <c r="B552" s="1"/>
      <c r="C552" s="1"/>
      <c r="D552" s="1"/>
      <c r="E552" s="1"/>
      <c r="G552" s="4"/>
      <c r="H552" s="1"/>
    </row>
    <row r="553" spans="1:8" ht="19.5">
      <c r="A553" s="1"/>
      <c r="B553" s="1"/>
      <c r="C553" s="1"/>
      <c r="D553" s="1"/>
      <c r="E553" s="1"/>
      <c r="G553" s="4"/>
      <c r="H553" s="1"/>
    </row>
    <row r="554" spans="1:8" ht="19.5">
      <c r="A554" s="1"/>
      <c r="B554" s="1"/>
      <c r="C554" s="1"/>
      <c r="D554" s="1"/>
      <c r="E554" s="1"/>
      <c r="G554" s="4"/>
      <c r="H554" s="1"/>
    </row>
    <row r="555" spans="1:8" ht="19.5">
      <c r="A555" s="1"/>
      <c r="B555" s="1"/>
      <c r="C555" s="1"/>
      <c r="D555" s="1"/>
      <c r="E555" s="1"/>
      <c r="G555" s="4"/>
      <c r="H555" s="1"/>
    </row>
    <row r="556" spans="1:8" ht="19.5">
      <c r="A556" s="1"/>
      <c r="B556" s="1"/>
      <c r="C556" s="1"/>
      <c r="D556" s="1"/>
      <c r="E556" s="1"/>
      <c r="G556" s="4"/>
      <c r="H556" s="1"/>
    </row>
    <row r="557" spans="1:8" ht="19.5">
      <c r="A557" s="1"/>
      <c r="B557" s="1"/>
      <c r="C557" s="1"/>
      <c r="D557" s="1"/>
      <c r="E557" s="1"/>
      <c r="G557" s="4"/>
      <c r="H557" s="1"/>
    </row>
    <row r="558" spans="1:8" ht="19.5">
      <c r="A558" s="1"/>
      <c r="B558" s="1"/>
      <c r="C558" s="1"/>
      <c r="D558" s="1"/>
      <c r="E558" s="1"/>
      <c r="G558" s="4"/>
      <c r="H558" s="1"/>
    </row>
    <row r="559" spans="1:8" ht="19.5">
      <c r="A559" s="1"/>
      <c r="B559" s="1"/>
      <c r="C559" s="1"/>
      <c r="D559" s="1"/>
      <c r="E559" s="1"/>
      <c r="G559" s="4"/>
      <c r="H559" s="1"/>
    </row>
    <row r="560" spans="1:8" ht="19.5">
      <c r="A560" s="1"/>
      <c r="B560" s="1"/>
      <c r="C560" s="1"/>
      <c r="D560" s="1"/>
      <c r="E560" s="1"/>
      <c r="G560" s="4"/>
      <c r="H560" s="1"/>
    </row>
    <row r="561" spans="1:8" ht="19.5">
      <c r="A561" s="1"/>
      <c r="B561" s="1"/>
      <c r="C561" s="1"/>
      <c r="D561" s="1"/>
      <c r="E561" s="1"/>
      <c r="G561" s="4"/>
      <c r="H561" s="1"/>
    </row>
    <row r="562" spans="1:8" ht="19.5">
      <c r="A562" s="1"/>
      <c r="B562" s="1"/>
      <c r="C562" s="1"/>
      <c r="D562" s="1"/>
      <c r="E562" s="1"/>
      <c r="G562" s="4"/>
      <c r="H562" s="1"/>
    </row>
    <row r="563" spans="1:8" ht="19.5">
      <c r="A563" s="1"/>
      <c r="B563" s="1"/>
      <c r="C563" s="1"/>
      <c r="D563" s="1"/>
      <c r="E563" s="1"/>
      <c r="G563" s="4"/>
      <c r="H563" s="1"/>
    </row>
    <row r="564" spans="1:8" ht="19.5">
      <c r="A564" s="1"/>
      <c r="B564" s="1"/>
      <c r="C564" s="1"/>
      <c r="D564" s="1"/>
      <c r="E564" s="1"/>
      <c r="G564" s="4"/>
      <c r="H564" s="1"/>
    </row>
    <row r="565" spans="1:8" ht="19.5">
      <c r="A565" s="1"/>
      <c r="B565" s="1"/>
      <c r="C565" s="1"/>
      <c r="D565" s="1"/>
      <c r="E565" s="1"/>
      <c r="G565" s="4"/>
      <c r="H565" s="1"/>
    </row>
    <row r="566" spans="1:8" ht="19.5">
      <c r="A566" s="1"/>
      <c r="B566" s="1"/>
      <c r="C566" s="1"/>
      <c r="D566" s="1"/>
      <c r="E566" s="1"/>
      <c r="G566" s="4"/>
      <c r="H566" s="1"/>
    </row>
    <row r="567" spans="1:8" ht="19.5">
      <c r="A567" s="1"/>
      <c r="B567" s="1"/>
      <c r="C567" s="1"/>
      <c r="D567" s="1"/>
      <c r="E567" s="1"/>
      <c r="G567" s="4"/>
      <c r="H567" s="1"/>
    </row>
    <row r="568" spans="1:8" ht="19.5">
      <c r="A568" s="1"/>
      <c r="B568" s="1"/>
      <c r="C568" s="1"/>
      <c r="D568" s="1"/>
      <c r="E568" s="1"/>
      <c r="G568" s="4"/>
      <c r="H568" s="1"/>
    </row>
    <row r="569" spans="1:8" ht="19.5">
      <c r="A569" s="1"/>
      <c r="B569" s="1"/>
      <c r="C569" s="1"/>
      <c r="D569" s="1"/>
      <c r="E569" s="1"/>
      <c r="G569" s="4"/>
      <c r="H569" s="1"/>
    </row>
    <row r="570" spans="1:8" ht="19.5">
      <c r="A570" s="1"/>
      <c r="B570" s="1"/>
      <c r="C570" s="1"/>
      <c r="D570" s="1"/>
      <c r="E570" s="1"/>
      <c r="G570" s="4"/>
      <c r="H570" s="1"/>
    </row>
    <row r="571" spans="1:8" ht="19.5">
      <c r="A571" s="1"/>
      <c r="B571" s="1"/>
      <c r="C571" s="1"/>
      <c r="D571" s="1"/>
      <c r="E571" s="1"/>
      <c r="G571" s="4"/>
      <c r="H571" s="1"/>
    </row>
    <row r="572" spans="1:8" ht="19.5">
      <c r="A572" s="1"/>
      <c r="B572" s="1"/>
      <c r="C572" s="1"/>
      <c r="D572" s="1"/>
      <c r="E572" s="1"/>
      <c r="G572" s="4"/>
      <c r="H572" s="1"/>
    </row>
    <row r="573" spans="1:8" ht="19.5">
      <c r="A573" s="1"/>
      <c r="B573" s="1"/>
      <c r="C573" s="1"/>
      <c r="D573" s="1"/>
      <c r="E573" s="1"/>
      <c r="G573" s="4"/>
      <c r="H573" s="1"/>
    </row>
    <row r="574" spans="1:8" ht="19.5">
      <c r="A574" s="1"/>
      <c r="B574" s="1"/>
      <c r="C574" s="1"/>
      <c r="D574" s="1"/>
      <c r="E574" s="1"/>
      <c r="G574" s="4"/>
      <c r="H574" s="1"/>
    </row>
    <row r="575" spans="1:8" ht="19.5">
      <c r="A575" s="1"/>
      <c r="B575" s="1"/>
      <c r="C575" s="1"/>
      <c r="D575" s="1"/>
      <c r="E575" s="1"/>
      <c r="G575" s="4"/>
      <c r="H575" s="1"/>
    </row>
    <row r="576" spans="1:8" ht="19.5">
      <c r="A576" s="1"/>
      <c r="B576" s="1"/>
      <c r="C576" s="1"/>
      <c r="D576" s="1"/>
      <c r="E576" s="1"/>
      <c r="G576" s="4"/>
      <c r="H576" s="1"/>
    </row>
    <row r="577" spans="1:8" ht="19.5">
      <c r="A577" s="1"/>
      <c r="B577" s="1"/>
      <c r="C577" s="1"/>
      <c r="D577" s="1"/>
      <c r="E577" s="1"/>
      <c r="G577" s="4"/>
      <c r="H577" s="1"/>
    </row>
    <row r="578" spans="1:8" ht="19.5">
      <c r="A578" s="1"/>
      <c r="B578" s="1"/>
      <c r="C578" s="1"/>
      <c r="D578" s="1"/>
      <c r="E578" s="1"/>
      <c r="G578" s="4"/>
      <c r="H578" s="1"/>
    </row>
    <row r="579" spans="1:8" ht="19.5">
      <c r="A579" s="1"/>
      <c r="B579" s="1"/>
      <c r="C579" s="1"/>
      <c r="D579" s="1"/>
      <c r="E579" s="1"/>
      <c r="G579" s="4"/>
      <c r="H579" s="1"/>
    </row>
    <row r="580" spans="1:8" ht="19.5">
      <c r="A580" s="1"/>
      <c r="B580" s="1"/>
      <c r="C580" s="1"/>
      <c r="D580" s="1"/>
      <c r="E580" s="1"/>
      <c r="G580" s="4"/>
      <c r="H580" s="1"/>
    </row>
    <row r="581" spans="1:8" ht="19.5">
      <c r="A581" s="1"/>
      <c r="B581" s="1"/>
      <c r="C581" s="1"/>
      <c r="D581" s="1"/>
      <c r="E581" s="1"/>
      <c r="G581" s="4"/>
      <c r="H581" s="1"/>
    </row>
    <row r="582" spans="1:8" ht="19.5">
      <c r="A582" s="1"/>
      <c r="B582" s="1"/>
      <c r="C582" s="1"/>
      <c r="D582" s="1"/>
      <c r="E582" s="1"/>
      <c r="G582" s="4"/>
      <c r="H582" s="1"/>
    </row>
    <row r="583" spans="1:8" ht="19.5">
      <c r="A583" s="1"/>
      <c r="B583" s="1"/>
      <c r="C583" s="1"/>
      <c r="D583" s="1"/>
      <c r="E583" s="1"/>
      <c r="G583" s="4"/>
      <c r="H583" s="1"/>
    </row>
    <row r="584" spans="1:8" ht="19.5">
      <c r="A584" s="1"/>
      <c r="B584" s="1"/>
      <c r="C584" s="1"/>
      <c r="D584" s="1"/>
      <c r="E584" s="1"/>
      <c r="G584" s="4"/>
      <c r="H584" s="1"/>
    </row>
    <row r="585" spans="1:8" ht="19.5">
      <c r="A585" s="1"/>
      <c r="B585" s="1"/>
      <c r="C585" s="1"/>
      <c r="D585" s="1"/>
      <c r="E585" s="1"/>
      <c r="G585" s="4"/>
      <c r="H585" s="1"/>
    </row>
    <row r="586" spans="1:8" ht="19.5">
      <c r="A586" s="1"/>
      <c r="B586" s="1"/>
      <c r="C586" s="1"/>
      <c r="D586" s="1"/>
      <c r="E586" s="1"/>
      <c r="G586" s="4"/>
      <c r="H586" s="1"/>
    </row>
    <row r="587" spans="1:8" ht="19.5">
      <c r="A587" s="1"/>
      <c r="B587" s="1"/>
      <c r="C587" s="1"/>
      <c r="D587" s="1"/>
      <c r="E587" s="1"/>
      <c r="G587" s="4"/>
      <c r="H587" s="1"/>
    </row>
    <row r="588" spans="1:8" ht="19.5">
      <c r="A588" s="1"/>
      <c r="B588" s="1"/>
      <c r="C588" s="1"/>
      <c r="D588" s="1"/>
      <c r="E588" s="1"/>
      <c r="G588" s="4"/>
      <c r="H588" s="1"/>
    </row>
    <row r="589" spans="1:8" ht="19.5">
      <c r="A589" s="1"/>
      <c r="B589" s="1"/>
      <c r="C589" s="1"/>
      <c r="D589" s="1"/>
      <c r="E589" s="1"/>
      <c r="G589" s="4"/>
      <c r="H589" s="1"/>
    </row>
    <row r="590" spans="1:8" ht="19.5">
      <c r="A590" s="1"/>
      <c r="B590" s="1"/>
      <c r="C590" s="1"/>
      <c r="D590" s="1"/>
      <c r="E590" s="1"/>
      <c r="G590" s="4"/>
      <c r="H590" s="1"/>
    </row>
    <row r="591" spans="1:8" ht="19.5">
      <c r="A591" s="1"/>
      <c r="B591" s="1"/>
      <c r="C591" s="1"/>
      <c r="D591" s="1"/>
      <c r="E591" s="1"/>
      <c r="G591" s="4"/>
      <c r="H591" s="1"/>
    </row>
    <row r="592" spans="1:8" ht="19.5">
      <c r="A592" s="1"/>
      <c r="B592" s="1"/>
      <c r="C592" s="1"/>
      <c r="D592" s="1"/>
      <c r="E592" s="1"/>
      <c r="G592" s="4"/>
      <c r="H592" s="1"/>
    </row>
    <row r="593" spans="1:8" ht="19.5">
      <c r="A593" s="1"/>
      <c r="B593" s="1"/>
      <c r="C593" s="1"/>
      <c r="D593" s="1"/>
      <c r="E593" s="1"/>
      <c r="G593" s="4"/>
      <c r="H593" s="1"/>
    </row>
    <row r="594" spans="1:8" ht="19.5">
      <c r="A594" s="1"/>
      <c r="B594" s="1"/>
      <c r="C594" s="1"/>
      <c r="D594" s="1"/>
      <c r="E594" s="1"/>
      <c r="G594" s="4"/>
      <c r="H594" s="1"/>
    </row>
    <row r="595" spans="1:8" ht="19.5">
      <c r="A595" s="1"/>
      <c r="B595" s="1"/>
      <c r="C595" s="1"/>
      <c r="D595" s="1"/>
      <c r="E595" s="1"/>
      <c r="G595" s="4"/>
      <c r="H595" s="1"/>
    </row>
    <row r="596" spans="1:8" ht="19.5">
      <c r="A596" s="1"/>
      <c r="B596" s="1"/>
      <c r="C596" s="1"/>
      <c r="D596" s="1"/>
      <c r="E596" s="1"/>
      <c r="G596" s="4"/>
      <c r="H596" s="1"/>
    </row>
    <row r="597" spans="1:8" ht="19.5">
      <c r="A597" s="1"/>
      <c r="B597" s="1"/>
      <c r="C597" s="1"/>
      <c r="D597" s="1"/>
      <c r="E597" s="1"/>
      <c r="G597" s="4"/>
      <c r="H597" s="1"/>
    </row>
    <row r="598" spans="1:8" ht="19.5">
      <c r="A598" s="1"/>
      <c r="B598" s="1"/>
      <c r="C598" s="1"/>
      <c r="D598" s="1"/>
      <c r="E598" s="1"/>
      <c r="G598" s="4"/>
      <c r="H598" s="1"/>
    </row>
    <row r="599" spans="1:8" ht="19.5">
      <c r="A599" s="1"/>
      <c r="B599" s="1"/>
      <c r="C599" s="1"/>
      <c r="D599" s="1"/>
      <c r="E599" s="1"/>
      <c r="G599" s="4"/>
      <c r="H599" s="1"/>
    </row>
    <row r="600" spans="1:8" ht="19.5">
      <c r="A600" s="1"/>
      <c r="B600" s="1"/>
      <c r="C600" s="1"/>
      <c r="D600" s="1"/>
      <c r="E600" s="1"/>
      <c r="G600" s="4"/>
      <c r="H600" s="1"/>
    </row>
    <row r="601" spans="1:8" ht="19.5">
      <c r="A601" s="1"/>
      <c r="B601" s="1"/>
      <c r="C601" s="1"/>
      <c r="D601" s="1"/>
      <c r="E601" s="1"/>
      <c r="G601" s="4"/>
      <c r="H601" s="1"/>
    </row>
    <row r="602" spans="1:8" ht="19.5">
      <c r="A602" s="1"/>
      <c r="B602" s="1"/>
      <c r="C602" s="1"/>
      <c r="D602" s="1"/>
      <c r="E602" s="1"/>
      <c r="G602" s="4"/>
      <c r="H602" s="1"/>
    </row>
    <row r="603" spans="1:8" ht="19.5">
      <c r="A603" s="1"/>
      <c r="B603" s="1"/>
      <c r="C603" s="1"/>
      <c r="D603" s="1"/>
      <c r="E603" s="1"/>
      <c r="G603" s="4"/>
      <c r="H603" s="1"/>
    </row>
    <row r="604" spans="1:8" ht="19.5">
      <c r="A604" s="1"/>
      <c r="B604" s="1"/>
      <c r="C604" s="1"/>
      <c r="D604" s="1"/>
      <c r="E604" s="1"/>
      <c r="G604" s="4"/>
      <c r="H604" s="1"/>
    </row>
    <row r="605" spans="1:8" ht="19.5">
      <c r="A605" s="1"/>
      <c r="B605" s="1"/>
      <c r="C605" s="1"/>
      <c r="D605" s="1"/>
      <c r="E605" s="1"/>
      <c r="G605" s="4"/>
      <c r="H605" s="1"/>
    </row>
    <row r="606" spans="1:8" ht="19.5">
      <c r="A606" s="1"/>
      <c r="B606" s="1"/>
      <c r="C606" s="1"/>
      <c r="D606" s="1"/>
      <c r="E606" s="1"/>
      <c r="G606" s="4"/>
      <c r="H606" s="1"/>
    </row>
    <row r="607" spans="1:8" ht="19.5">
      <c r="A607" s="1"/>
      <c r="B607" s="1"/>
      <c r="C607" s="1"/>
      <c r="D607" s="1"/>
      <c r="E607" s="1"/>
      <c r="G607" s="4"/>
      <c r="H607" s="1"/>
    </row>
    <row r="608" spans="1:8" ht="19.5">
      <c r="A608" s="1"/>
      <c r="B608" s="1"/>
      <c r="C608" s="1"/>
      <c r="D608" s="1"/>
      <c r="E608" s="1"/>
      <c r="G608" s="4"/>
      <c r="H608" s="1"/>
    </row>
    <row r="609" spans="1:8" ht="19.5">
      <c r="A609" s="1"/>
      <c r="B609" s="1"/>
      <c r="C609" s="1"/>
      <c r="D609" s="1"/>
      <c r="E609" s="1"/>
      <c r="G609" s="4"/>
      <c r="H609" s="1"/>
    </row>
    <row r="610" spans="1:8" ht="19.5">
      <c r="A610" s="1"/>
      <c r="B610" s="1"/>
      <c r="C610" s="1"/>
      <c r="D610" s="1"/>
      <c r="E610" s="1"/>
      <c r="G610" s="4"/>
      <c r="H610" s="1"/>
    </row>
    <row r="611" spans="1:8" ht="19.5">
      <c r="A611" s="1"/>
      <c r="B611" s="1"/>
      <c r="C611" s="1"/>
      <c r="D611" s="1"/>
      <c r="E611" s="1"/>
      <c r="G611" s="4"/>
      <c r="H611" s="1"/>
    </row>
    <row r="612" spans="1:8" ht="19.5">
      <c r="A612" s="1"/>
      <c r="B612" s="1"/>
      <c r="C612" s="1"/>
      <c r="D612" s="1"/>
      <c r="E612" s="1"/>
      <c r="G612" s="4"/>
      <c r="H612" s="1"/>
    </row>
    <row r="613" spans="1:8" ht="19.5">
      <c r="A613" s="1"/>
      <c r="B613" s="1"/>
      <c r="C613" s="1"/>
      <c r="D613" s="1"/>
      <c r="E613" s="1"/>
      <c r="G613" s="4"/>
      <c r="H613" s="1"/>
    </row>
    <row r="614" spans="1:8" ht="19.5">
      <c r="A614" s="1"/>
      <c r="B614" s="1"/>
      <c r="C614" s="1"/>
      <c r="D614" s="1"/>
      <c r="E614" s="1"/>
      <c r="G614" s="4"/>
      <c r="H614" s="1"/>
    </row>
    <row r="615" spans="1:8" ht="19.5">
      <c r="A615" s="1"/>
      <c r="B615" s="1"/>
      <c r="C615" s="1"/>
      <c r="D615" s="1"/>
      <c r="E615" s="1"/>
      <c r="G615" s="4"/>
      <c r="H615" s="1"/>
    </row>
    <row r="616" spans="1:8" ht="19.5">
      <c r="A616" s="1"/>
      <c r="B616" s="1"/>
      <c r="C616" s="1"/>
      <c r="D616" s="1"/>
      <c r="E616" s="1"/>
      <c r="G616" s="4"/>
      <c r="H616" s="1"/>
    </row>
    <row r="617" spans="1:8" ht="19.5">
      <c r="A617" s="1"/>
      <c r="B617" s="1"/>
      <c r="C617" s="1"/>
      <c r="D617" s="1"/>
      <c r="E617" s="1"/>
      <c r="G617" s="4"/>
      <c r="H617" s="1"/>
    </row>
    <row r="618" spans="1:8" ht="19.5">
      <c r="A618" s="1"/>
      <c r="B618" s="1"/>
      <c r="C618" s="1"/>
      <c r="D618" s="1"/>
      <c r="E618" s="1"/>
      <c r="G618" s="4"/>
      <c r="H618" s="1"/>
    </row>
    <row r="619" spans="1:8" ht="19.5">
      <c r="A619" s="1"/>
      <c r="B619" s="1"/>
      <c r="C619" s="1"/>
      <c r="D619" s="1"/>
      <c r="E619" s="1"/>
      <c r="G619" s="4"/>
      <c r="H619" s="1"/>
    </row>
    <row r="620" spans="1:8" ht="19.5">
      <c r="A620" s="1"/>
      <c r="B620" s="1"/>
      <c r="C620" s="1"/>
      <c r="D620" s="1"/>
      <c r="E620" s="1"/>
      <c r="G620" s="4"/>
      <c r="H620" s="1"/>
    </row>
    <row r="621" spans="1:8" ht="19.5">
      <c r="A621" s="1"/>
      <c r="B621" s="1"/>
      <c r="C621" s="1"/>
      <c r="D621" s="1"/>
      <c r="E621" s="1"/>
      <c r="G621" s="4"/>
      <c r="H621" s="1"/>
    </row>
    <row r="622" spans="1:8" ht="19.5">
      <c r="A622" s="1"/>
      <c r="B622" s="1"/>
      <c r="C622" s="1"/>
      <c r="D622" s="1"/>
      <c r="E622" s="1"/>
      <c r="G622" s="4"/>
      <c r="H622" s="1"/>
    </row>
    <row r="623" spans="1:8" ht="19.5">
      <c r="A623" s="1"/>
      <c r="B623" s="1"/>
      <c r="C623" s="1"/>
      <c r="D623" s="1"/>
      <c r="E623" s="1"/>
      <c r="G623" s="4"/>
      <c r="H623" s="1"/>
    </row>
    <row r="624" spans="1:8" ht="19.5">
      <c r="A624" s="1"/>
      <c r="B624" s="1"/>
      <c r="C624" s="1"/>
      <c r="D624" s="1"/>
      <c r="E624" s="1"/>
      <c r="G624" s="4"/>
      <c r="H624" s="1"/>
    </row>
    <row r="625" spans="1:8" ht="19.5">
      <c r="A625" s="1"/>
      <c r="B625" s="1"/>
      <c r="C625" s="1"/>
      <c r="D625" s="1"/>
      <c r="E625" s="1"/>
      <c r="G625" s="4"/>
      <c r="H625" s="1"/>
    </row>
    <row r="626" spans="1:8" ht="19.5">
      <c r="A626" s="1"/>
      <c r="B626" s="1"/>
      <c r="C626" s="1"/>
      <c r="D626" s="1"/>
      <c r="E626" s="1"/>
      <c r="G626" s="4"/>
      <c r="H626" s="1"/>
    </row>
    <row r="627" spans="1:8" ht="19.5">
      <c r="A627" s="1"/>
      <c r="B627" s="1"/>
      <c r="C627" s="1"/>
      <c r="D627" s="1"/>
      <c r="E627" s="1"/>
      <c r="G627" s="4"/>
      <c r="H627" s="1"/>
    </row>
    <row r="628" spans="1:8" ht="19.5">
      <c r="A628" s="1"/>
      <c r="B628" s="1"/>
      <c r="C628" s="1"/>
      <c r="D628" s="1"/>
      <c r="E628" s="1"/>
      <c r="G628" s="4"/>
      <c r="H628" s="1"/>
    </row>
    <row r="629" spans="1:8" ht="19.5">
      <c r="A629" s="1"/>
      <c r="B629" s="1"/>
      <c r="C629" s="1"/>
      <c r="D629" s="1"/>
      <c r="E629" s="1"/>
      <c r="G629" s="4"/>
      <c r="H629" s="1"/>
    </row>
    <row r="630" spans="1:8" ht="19.5">
      <c r="A630" s="1"/>
      <c r="B630" s="1"/>
      <c r="C630" s="1"/>
      <c r="D630" s="1"/>
      <c r="E630" s="1"/>
      <c r="G630" s="4"/>
      <c r="H630" s="1"/>
    </row>
    <row r="631" spans="1:8" ht="19.5">
      <c r="A631" s="1"/>
      <c r="B631" s="1"/>
      <c r="C631" s="1"/>
      <c r="D631" s="1"/>
      <c r="E631" s="1"/>
      <c r="G631" s="4"/>
      <c r="H631" s="1"/>
    </row>
    <row r="632" spans="1:8" ht="19.5">
      <c r="A632" s="1"/>
      <c r="B632" s="1"/>
      <c r="C632" s="1"/>
      <c r="D632" s="1"/>
      <c r="E632" s="1"/>
      <c r="G632" s="4"/>
      <c r="H632" s="1"/>
    </row>
    <row r="633" spans="1:8" ht="19.5">
      <c r="A633" s="1"/>
      <c r="B633" s="1"/>
      <c r="C633" s="1"/>
      <c r="D633" s="1"/>
      <c r="E633" s="1"/>
      <c r="G633" s="4"/>
      <c r="H633" s="1"/>
    </row>
    <row r="634" spans="1:8" ht="19.5">
      <c r="A634" s="1"/>
      <c r="B634" s="1"/>
      <c r="C634" s="1"/>
      <c r="D634" s="1"/>
      <c r="E634" s="1"/>
      <c r="G634" s="4"/>
      <c r="H634" s="1"/>
    </row>
    <row r="635" spans="1:8" ht="19.5">
      <c r="A635" s="1"/>
      <c r="B635" s="1"/>
      <c r="C635" s="1"/>
      <c r="D635" s="1"/>
      <c r="E635" s="1"/>
      <c r="G635" s="4"/>
      <c r="H635" s="1"/>
    </row>
    <row r="636" spans="1:8" ht="19.5">
      <c r="A636" s="1"/>
      <c r="B636" s="1"/>
      <c r="C636" s="1"/>
      <c r="D636" s="1"/>
      <c r="E636" s="1"/>
      <c r="G636" s="4"/>
      <c r="H636" s="1"/>
    </row>
    <row r="637" spans="1:8" ht="19.5">
      <c r="A637" s="1"/>
      <c r="B637" s="1"/>
      <c r="C637" s="1"/>
      <c r="D637" s="1"/>
      <c r="E637" s="1"/>
      <c r="G637" s="4"/>
      <c r="H637" s="1"/>
    </row>
    <row r="638" spans="1:8" ht="19.5">
      <c r="A638" s="1"/>
      <c r="B638" s="1"/>
      <c r="C638" s="1"/>
      <c r="D638" s="1"/>
      <c r="E638" s="1"/>
      <c r="G638" s="4"/>
      <c r="H638" s="1"/>
    </row>
    <row r="639" spans="1:8" ht="19.5">
      <c r="A639" s="1"/>
      <c r="B639" s="1"/>
      <c r="C639" s="1"/>
      <c r="D639" s="1"/>
      <c r="E639" s="1"/>
      <c r="G639" s="4"/>
      <c r="H639" s="1"/>
    </row>
    <row r="640" spans="1:8" ht="19.5">
      <c r="A640" s="1"/>
      <c r="B640" s="1"/>
      <c r="C640" s="1"/>
      <c r="D640" s="1"/>
      <c r="E640" s="1"/>
      <c r="G640" s="4"/>
      <c r="H640" s="1"/>
    </row>
    <row r="641" spans="1:8" ht="19.5">
      <c r="A641" s="1"/>
      <c r="B641" s="1"/>
      <c r="C641" s="1"/>
      <c r="D641" s="1"/>
      <c r="E641" s="1"/>
      <c r="G641" s="4"/>
      <c r="H641" s="1"/>
    </row>
    <row r="642" spans="1:8" ht="19.5">
      <c r="A642" s="1"/>
      <c r="B642" s="1"/>
      <c r="C642" s="1"/>
      <c r="D642" s="1"/>
      <c r="E642" s="1"/>
      <c r="G642" s="4"/>
      <c r="H642" s="1"/>
    </row>
    <row r="643" spans="1:8" ht="19.5">
      <c r="A643" s="1"/>
      <c r="B643" s="1"/>
      <c r="C643" s="1"/>
      <c r="D643" s="1"/>
      <c r="E643" s="1"/>
      <c r="G643" s="4"/>
      <c r="H643" s="1"/>
    </row>
    <row r="644" spans="1:8" ht="19.5">
      <c r="A644" s="1"/>
      <c r="B644" s="1"/>
      <c r="C644" s="1"/>
      <c r="D644" s="1"/>
      <c r="E644" s="1"/>
      <c r="G644" s="4"/>
      <c r="H644" s="1"/>
    </row>
    <row r="645" spans="1:8" ht="19.5">
      <c r="A645" s="1"/>
      <c r="B645" s="1"/>
      <c r="C645" s="1"/>
      <c r="D645" s="1"/>
      <c r="E645" s="1"/>
      <c r="G645" s="4"/>
      <c r="H645" s="1"/>
    </row>
    <row r="646" spans="1:8" ht="19.5">
      <c r="A646" s="1"/>
      <c r="B646" s="1"/>
      <c r="C646" s="1"/>
      <c r="D646" s="1"/>
      <c r="E646" s="1"/>
      <c r="G646" s="4"/>
      <c r="H646" s="1"/>
    </row>
    <row r="647" spans="1:8" ht="19.5">
      <c r="A647" s="1"/>
      <c r="B647" s="1"/>
      <c r="C647" s="1"/>
      <c r="D647" s="1"/>
      <c r="E647" s="1"/>
      <c r="G647" s="4"/>
      <c r="H647" s="1"/>
    </row>
    <row r="648" spans="1:8" ht="19.5">
      <c r="A648" s="1"/>
      <c r="B648" s="1"/>
      <c r="C648" s="1"/>
      <c r="D648" s="1"/>
      <c r="E648" s="1"/>
      <c r="G648" s="4"/>
      <c r="H648" s="1"/>
    </row>
    <row r="649" spans="1:8" ht="19.5">
      <c r="A649" s="1"/>
      <c r="B649" s="1"/>
      <c r="C649" s="1"/>
      <c r="D649" s="1"/>
      <c r="E649" s="1"/>
      <c r="G649" s="4"/>
      <c r="H649" s="1"/>
    </row>
    <row r="650" spans="1:8" ht="19.5">
      <c r="A650" s="1"/>
      <c r="B650" s="1"/>
      <c r="C650" s="1"/>
      <c r="D650" s="1"/>
      <c r="E650" s="1"/>
      <c r="G650" s="4"/>
      <c r="H650" s="1"/>
    </row>
    <row r="651" spans="1:8" ht="19.5">
      <c r="A651" s="1"/>
      <c r="B651" s="1"/>
      <c r="C651" s="1"/>
      <c r="D651" s="1"/>
      <c r="E651" s="1"/>
      <c r="G651" s="4"/>
      <c r="H651" s="1"/>
    </row>
    <row r="652" spans="1:8" ht="19.5">
      <c r="A652" s="1"/>
      <c r="B652" s="1"/>
      <c r="C652" s="1"/>
      <c r="D652" s="1"/>
      <c r="E652" s="1"/>
      <c r="G652" s="4"/>
      <c r="H652" s="1"/>
    </row>
    <row r="653" spans="1:8" ht="19.5">
      <c r="A653" s="1"/>
      <c r="B653" s="1"/>
      <c r="C653" s="1"/>
      <c r="D653" s="1"/>
      <c r="E653" s="1"/>
      <c r="G653" s="4"/>
      <c r="H653" s="1"/>
    </row>
    <row r="654" spans="1:8" ht="19.5">
      <c r="A654" s="1"/>
      <c r="B654" s="1"/>
      <c r="C654" s="1"/>
      <c r="D654" s="1"/>
      <c r="E654" s="1"/>
      <c r="G654" s="4"/>
      <c r="H654" s="1"/>
    </row>
    <row r="655" spans="1:8" ht="19.5">
      <c r="A655" s="1"/>
      <c r="B655" s="1"/>
      <c r="C655" s="1"/>
      <c r="D655" s="1"/>
      <c r="E655" s="1"/>
      <c r="G655" s="4"/>
      <c r="H655" s="1"/>
    </row>
    <row r="656" spans="1:8" ht="19.5">
      <c r="A656" s="1"/>
      <c r="B656" s="1"/>
      <c r="C656" s="1"/>
      <c r="D656" s="1"/>
      <c r="E656" s="1"/>
      <c r="G656" s="4"/>
      <c r="H656" s="1"/>
    </row>
    <row r="657" spans="1:8" ht="19.5">
      <c r="A657" s="1"/>
      <c r="B657" s="1"/>
      <c r="C657" s="1"/>
      <c r="D657" s="1"/>
      <c r="E657" s="1"/>
      <c r="G657" s="4"/>
      <c r="H657" s="1"/>
    </row>
    <row r="658" spans="1:8" ht="19.5">
      <c r="A658" s="1"/>
      <c r="B658" s="1"/>
      <c r="C658" s="1"/>
      <c r="D658" s="1"/>
      <c r="E658" s="1"/>
      <c r="G658" s="4"/>
      <c r="H658" s="1"/>
    </row>
    <row r="659" spans="1:8" ht="19.5">
      <c r="A659" s="1"/>
      <c r="B659" s="1"/>
      <c r="C659" s="1"/>
      <c r="D659" s="1"/>
      <c r="E659" s="1"/>
      <c r="G659" s="4"/>
      <c r="H659" s="1"/>
    </row>
    <row r="660" spans="1:8" ht="19.5">
      <c r="A660" s="1"/>
      <c r="B660" s="1"/>
      <c r="C660" s="1"/>
      <c r="D660" s="1"/>
      <c r="E660" s="1"/>
      <c r="G660" s="4"/>
      <c r="H660" s="1"/>
    </row>
    <row r="661" spans="1:8" ht="19.5">
      <c r="A661" s="1"/>
      <c r="B661" s="1"/>
      <c r="C661" s="1"/>
      <c r="D661" s="1"/>
      <c r="E661" s="1"/>
      <c r="G661" s="4"/>
      <c r="H661" s="1"/>
    </row>
    <row r="662" spans="1:8" ht="19.5">
      <c r="A662" s="1"/>
      <c r="B662" s="1"/>
      <c r="C662" s="1"/>
      <c r="D662" s="1"/>
      <c r="E662" s="1"/>
      <c r="G662" s="4"/>
      <c r="H662" s="1"/>
    </row>
    <row r="663" spans="1:8" ht="19.5">
      <c r="A663" s="1"/>
      <c r="B663" s="1"/>
      <c r="C663" s="1"/>
      <c r="D663" s="1"/>
      <c r="E663" s="1"/>
      <c r="G663" s="4"/>
      <c r="H663" s="1"/>
    </row>
    <row r="664" spans="1:8" ht="19.5">
      <c r="A664" s="1"/>
      <c r="B664" s="1"/>
      <c r="C664" s="1"/>
      <c r="D664" s="1"/>
      <c r="E664" s="1"/>
      <c r="G664" s="4"/>
      <c r="H664" s="1"/>
    </row>
    <row r="665" spans="1:8" ht="19.5">
      <c r="A665" s="1"/>
      <c r="B665" s="1"/>
      <c r="C665" s="1"/>
      <c r="D665" s="1"/>
      <c r="E665" s="1"/>
      <c r="G665" s="4"/>
      <c r="H665" s="1"/>
    </row>
    <row r="666" spans="1:8" ht="19.5">
      <c r="A666" s="1"/>
      <c r="B666" s="1"/>
      <c r="C666" s="1"/>
      <c r="D666" s="1"/>
      <c r="E666" s="1"/>
      <c r="G666" s="4"/>
      <c r="H666" s="1"/>
    </row>
    <row r="667" spans="1:8" ht="19.5">
      <c r="A667" s="1"/>
      <c r="B667" s="1"/>
      <c r="C667" s="1"/>
      <c r="D667" s="1"/>
      <c r="E667" s="1"/>
      <c r="G667" s="4"/>
      <c r="H667" s="1"/>
    </row>
    <row r="668" spans="1:8" ht="19.5">
      <c r="A668" s="1"/>
      <c r="B668" s="1"/>
      <c r="C668" s="1"/>
      <c r="D668" s="1"/>
      <c r="E668" s="1"/>
      <c r="G668" s="4"/>
      <c r="H668" s="1"/>
    </row>
    <row r="669" spans="1:8" ht="19.5">
      <c r="A669" s="1"/>
      <c r="B669" s="1"/>
      <c r="C669" s="1"/>
      <c r="D669" s="1"/>
      <c r="E669" s="1"/>
      <c r="G669" s="4"/>
      <c r="H669" s="1"/>
    </row>
    <row r="670" spans="1:8" ht="19.5">
      <c r="A670" s="1"/>
      <c r="B670" s="1"/>
      <c r="C670" s="1"/>
      <c r="D670" s="1"/>
      <c r="E670" s="1"/>
      <c r="G670" s="4"/>
      <c r="H670" s="1"/>
    </row>
    <row r="671" spans="1:8" ht="19.5">
      <c r="A671" s="1"/>
      <c r="B671" s="1"/>
      <c r="C671" s="1"/>
      <c r="D671" s="1"/>
      <c r="E671" s="1"/>
      <c r="G671" s="4"/>
      <c r="H671" s="1"/>
    </row>
    <row r="672" spans="1:8" ht="19.5">
      <c r="A672" s="1"/>
      <c r="B672" s="1"/>
      <c r="C672" s="1"/>
      <c r="D672" s="1"/>
      <c r="E672" s="1"/>
      <c r="G672" s="4"/>
      <c r="H672" s="1"/>
    </row>
    <row r="673" spans="1:8" ht="19.5">
      <c r="A673" s="1"/>
      <c r="B673" s="1"/>
      <c r="C673" s="1"/>
      <c r="D673" s="1"/>
      <c r="E673" s="1"/>
      <c r="G673" s="4"/>
      <c r="H673" s="1"/>
    </row>
    <row r="674" spans="1:8" ht="19.5">
      <c r="A674" s="1"/>
      <c r="B674" s="1"/>
      <c r="C674" s="1"/>
      <c r="D674" s="1"/>
      <c r="E674" s="1"/>
      <c r="G674" s="4"/>
      <c r="H674" s="1"/>
    </row>
    <row r="675" spans="1:8" ht="19.5">
      <c r="A675" s="1"/>
      <c r="B675" s="1"/>
      <c r="C675" s="1"/>
      <c r="D675" s="1"/>
      <c r="E675" s="1"/>
      <c r="G675" s="4"/>
      <c r="H675" s="1"/>
    </row>
    <row r="676" spans="1:8" ht="19.5">
      <c r="A676" s="1"/>
      <c r="B676" s="1"/>
      <c r="C676" s="1"/>
      <c r="D676" s="1"/>
      <c r="E676" s="1"/>
      <c r="G676" s="4"/>
      <c r="H676" s="1"/>
    </row>
    <row r="677" spans="1:8" ht="19.5">
      <c r="A677" s="1"/>
      <c r="B677" s="1"/>
      <c r="C677" s="1"/>
      <c r="D677" s="1"/>
      <c r="E677" s="1"/>
      <c r="G677" s="4"/>
      <c r="H677" s="1"/>
    </row>
    <row r="678" spans="1:8" ht="19.5">
      <c r="A678" s="1"/>
      <c r="B678" s="1"/>
      <c r="C678" s="1"/>
      <c r="D678" s="1"/>
      <c r="E678" s="1"/>
      <c r="G678" s="4"/>
      <c r="H678" s="1"/>
    </row>
    <row r="679" spans="1:8" ht="19.5">
      <c r="A679" s="1"/>
      <c r="B679" s="1"/>
      <c r="C679" s="1"/>
      <c r="D679" s="1"/>
      <c r="E679" s="1"/>
      <c r="G679" s="4"/>
      <c r="H679" s="1"/>
    </row>
    <row r="680" spans="1:8" ht="19.5">
      <c r="A680" s="1"/>
      <c r="B680" s="1"/>
      <c r="C680" s="1"/>
      <c r="D680" s="1"/>
      <c r="E680" s="1"/>
      <c r="G680" s="4"/>
      <c r="H680" s="1"/>
    </row>
    <row r="681" spans="1:8" ht="19.5">
      <c r="A681" s="1"/>
      <c r="B681" s="1"/>
      <c r="C681" s="1"/>
      <c r="D681" s="1"/>
      <c r="E681" s="1"/>
      <c r="G681" s="4"/>
      <c r="H681" s="1"/>
    </row>
    <row r="682" spans="1:8" ht="19.5">
      <c r="A682" s="1"/>
      <c r="B682" s="1"/>
      <c r="C682" s="1"/>
      <c r="D682" s="1"/>
      <c r="E682" s="1"/>
      <c r="G682" s="4"/>
      <c r="H682" s="1"/>
    </row>
    <row r="683" spans="1:8" ht="19.5">
      <c r="A683" s="1"/>
      <c r="B683" s="1"/>
      <c r="C683" s="1"/>
      <c r="D683" s="1"/>
      <c r="E683" s="1"/>
      <c r="G683" s="4"/>
      <c r="H683" s="1"/>
    </row>
    <row r="684" spans="1:8" ht="19.5">
      <c r="A684" s="1"/>
      <c r="B684" s="1"/>
      <c r="C684" s="1"/>
      <c r="D684" s="1"/>
      <c r="E684" s="1"/>
      <c r="G684" s="4"/>
      <c r="H684" s="1"/>
    </row>
    <row r="685" spans="1:8" ht="19.5">
      <c r="A685" s="1"/>
      <c r="B685" s="1"/>
      <c r="C685" s="1"/>
      <c r="D685" s="1"/>
      <c r="E685" s="1"/>
      <c r="G685" s="4"/>
      <c r="H685" s="1"/>
    </row>
    <row r="686" spans="1:8" ht="19.5">
      <c r="A686" s="1"/>
      <c r="B686" s="1"/>
      <c r="C686" s="1"/>
      <c r="D686" s="1"/>
      <c r="E686" s="1"/>
      <c r="G686" s="4"/>
      <c r="H686" s="1"/>
    </row>
    <row r="687" spans="1:8" ht="19.5">
      <c r="A687" s="1"/>
      <c r="B687" s="1"/>
      <c r="C687" s="1"/>
      <c r="D687" s="1"/>
      <c r="E687" s="1"/>
      <c r="G687" s="4"/>
      <c r="H687" s="1"/>
    </row>
    <row r="688" spans="1:8" ht="19.5">
      <c r="A688" s="1"/>
      <c r="B688" s="1"/>
      <c r="C688" s="1"/>
      <c r="D688" s="1"/>
      <c r="E688" s="1"/>
      <c r="G688" s="4"/>
      <c r="H688" s="1"/>
    </row>
    <row r="689" spans="1:8" ht="19.5">
      <c r="A689" s="1"/>
      <c r="B689" s="1"/>
      <c r="C689" s="1"/>
      <c r="D689" s="1"/>
      <c r="E689" s="1"/>
      <c r="G689" s="4"/>
      <c r="H689" s="1"/>
    </row>
    <row r="690" spans="1:8" ht="19.5">
      <c r="A690" s="1"/>
      <c r="B690" s="1"/>
      <c r="C690" s="1"/>
      <c r="D690" s="1"/>
      <c r="E690" s="1"/>
      <c r="G690" s="4"/>
      <c r="H690" s="1"/>
    </row>
    <row r="691" spans="1:8" ht="19.5">
      <c r="A691" s="1"/>
      <c r="B691" s="1"/>
      <c r="C691" s="1"/>
      <c r="D691" s="1"/>
      <c r="E691" s="1"/>
      <c r="G691" s="4"/>
      <c r="H691" s="1"/>
    </row>
    <row r="692" spans="1:8" ht="19.5">
      <c r="A692" s="1"/>
      <c r="B692" s="1"/>
      <c r="C692" s="1"/>
      <c r="D692" s="1"/>
      <c r="E692" s="1"/>
      <c r="G692" s="4"/>
      <c r="H692" s="1"/>
    </row>
    <row r="693" spans="1:8" ht="19.5">
      <c r="A693" s="1"/>
      <c r="B693" s="1"/>
      <c r="C693" s="1"/>
      <c r="D693" s="1"/>
      <c r="E693" s="1"/>
      <c r="G693" s="4"/>
      <c r="H693" s="1"/>
    </row>
    <row r="694" spans="1:8" ht="19.5">
      <c r="A694" s="1"/>
      <c r="B694" s="1"/>
      <c r="C694" s="1"/>
      <c r="D694" s="1"/>
      <c r="E694" s="1"/>
      <c r="G694" s="4"/>
      <c r="H694" s="1"/>
    </row>
    <row r="695" spans="1:8" ht="19.5">
      <c r="A695" s="1"/>
      <c r="B695" s="1"/>
      <c r="C695" s="1"/>
      <c r="D695" s="1"/>
      <c r="E695" s="1"/>
      <c r="G695" s="4"/>
      <c r="H695" s="1"/>
    </row>
    <row r="696" spans="1:8" ht="19.5">
      <c r="A696" s="1"/>
      <c r="B696" s="1"/>
      <c r="C696" s="1"/>
      <c r="D696" s="1"/>
      <c r="E696" s="1"/>
      <c r="G696" s="4"/>
      <c r="H696" s="1"/>
    </row>
    <row r="697" spans="1:8" ht="19.5">
      <c r="A697" s="1"/>
      <c r="B697" s="1"/>
      <c r="C697" s="1"/>
      <c r="D697" s="1"/>
      <c r="E697" s="1"/>
      <c r="G697" s="4"/>
      <c r="H697" s="1"/>
    </row>
    <row r="698" spans="1:8" ht="19.5">
      <c r="A698" s="1"/>
      <c r="B698" s="1"/>
      <c r="C698" s="1"/>
      <c r="D698" s="1"/>
      <c r="E698" s="1"/>
      <c r="G698" s="4"/>
      <c r="H698" s="1"/>
    </row>
    <row r="699" spans="1:8" ht="19.5">
      <c r="A699" s="1"/>
      <c r="B699" s="1"/>
      <c r="C699" s="1"/>
      <c r="D699" s="1"/>
      <c r="E699" s="1"/>
      <c r="G699" s="4"/>
      <c r="H699" s="1"/>
    </row>
    <row r="700" spans="1:8" ht="19.5">
      <c r="A700" s="1"/>
      <c r="B700" s="1"/>
      <c r="C700" s="1"/>
      <c r="D700" s="1"/>
      <c r="E700" s="1"/>
      <c r="G700" s="4"/>
      <c r="H700" s="1"/>
    </row>
    <row r="701" spans="1:8" ht="19.5">
      <c r="A701" s="1"/>
      <c r="B701" s="1"/>
      <c r="C701" s="1"/>
      <c r="D701" s="1"/>
      <c r="E701" s="1"/>
      <c r="G701" s="4"/>
      <c r="H701" s="1"/>
    </row>
    <row r="702" spans="1:8" ht="19.5">
      <c r="A702" s="1"/>
      <c r="B702" s="1"/>
      <c r="C702" s="1"/>
      <c r="D702" s="1"/>
      <c r="E702" s="1"/>
      <c r="G702" s="4"/>
      <c r="H702" s="1"/>
    </row>
    <row r="703" spans="1:8" ht="19.5">
      <c r="A703" s="1"/>
      <c r="B703" s="1"/>
      <c r="C703" s="1"/>
      <c r="D703" s="1"/>
      <c r="E703" s="1"/>
      <c r="G703" s="4"/>
      <c r="H703" s="1"/>
    </row>
    <row r="704" spans="1:8" ht="19.5">
      <c r="A704" s="1"/>
      <c r="B704" s="1"/>
      <c r="C704" s="1"/>
      <c r="D704" s="1"/>
      <c r="E704" s="1"/>
      <c r="G704" s="4"/>
      <c r="H704" s="1"/>
    </row>
    <row r="705" spans="1:8" ht="19.5">
      <c r="A705" s="1"/>
      <c r="B705" s="1"/>
      <c r="C705" s="1"/>
      <c r="D705" s="1"/>
      <c r="E705" s="1"/>
      <c r="G705" s="4"/>
      <c r="H705" s="1"/>
    </row>
    <row r="706" spans="1:8" ht="19.5">
      <c r="A706" s="1"/>
      <c r="B706" s="1"/>
      <c r="C706" s="1"/>
      <c r="D706" s="1"/>
      <c r="E706" s="1"/>
      <c r="G706" s="4"/>
      <c r="H706" s="1"/>
    </row>
    <row r="707" spans="1:8" ht="19.5">
      <c r="A707" s="1"/>
      <c r="B707" s="1"/>
      <c r="C707" s="1"/>
      <c r="D707" s="1"/>
      <c r="E707" s="1"/>
      <c r="G707" s="4"/>
      <c r="H707" s="1"/>
    </row>
    <row r="708" spans="1:8" ht="19.5">
      <c r="A708" s="1"/>
      <c r="B708" s="1"/>
      <c r="C708" s="1"/>
      <c r="D708" s="1"/>
      <c r="E708" s="1"/>
      <c r="G708" s="4"/>
      <c r="H708" s="1"/>
    </row>
    <row r="709" spans="1:8" ht="19.5">
      <c r="A709" s="1"/>
      <c r="B709" s="1"/>
      <c r="C709" s="1"/>
      <c r="D709" s="1"/>
      <c r="E709" s="1"/>
      <c r="G709" s="4"/>
      <c r="H709" s="1"/>
    </row>
    <row r="710" spans="1:8" ht="19.5">
      <c r="A710" s="1"/>
      <c r="B710" s="1"/>
      <c r="C710" s="1"/>
      <c r="D710" s="1"/>
      <c r="E710" s="1"/>
      <c r="G710" s="4"/>
      <c r="H710" s="1"/>
    </row>
    <row r="711" spans="1:8" ht="19.5">
      <c r="A711" s="1"/>
      <c r="B711" s="1"/>
      <c r="C711" s="1"/>
      <c r="D711" s="1"/>
      <c r="E711" s="1"/>
      <c r="G711" s="4"/>
      <c r="H711" s="1"/>
    </row>
    <row r="712" spans="1:8" ht="19.5">
      <c r="A712" s="1"/>
      <c r="B712" s="1"/>
      <c r="C712" s="1"/>
      <c r="D712" s="1"/>
      <c r="E712" s="1"/>
      <c r="G712" s="4"/>
      <c r="H712" s="1"/>
    </row>
    <row r="713" spans="1:8" ht="19.5">
      <c r="A713" s="1"/>
      <c r="B713" s="1"/>
      <c r="C713" s="1"/>
      <c r="D713" s="1"/>
      <c r="E713" s="1"/>
      <c r="G713" s="4"/>
      <c r="H713" s="1"/>
    </row>
    <row r="714" spans="1:8" ht="19.5">
      <c r="A714" s="1"/>
      <c r="B714" s="1"/>
      <c r="C714" s="1"/>
      <c r="D714" s="1"/>
      <c r="E714" s="1"/>
      <c r="G714" s="4"/>
      <c r="H714" s="1"/>
    </row>
    <row r="715" spans="1:8" ht="19.5">
      <c r="A715" s="1"/>
      <c r="B715" s="1"/>
      <c r="C715" s="1"/>
      <c r="D715" s="1"/>
      <c r="E715" s="1"/>
      <c r="G715" s="4"/>
      <c r="H715" s="1"/>
    </row>
    <row r="716" spans="1:8" ht="19.5">
      <c r="A716" s="1"/>
      <c r="B716" s="1"/>
      <c r="C716" s="1"/>
      <c r="D716" s="1"/>
      <c r="E716" s="1"/>
      <c r="G716" s="4"/>
      <c r="H716" s="1"/>
    </row>
    <row r="717" spans="1:8" ht="19.5">
      <c r="A717" s="1"/>
      <c r="B717" s="1"/>
      <c r="C717" s="1"/>
      <c r="D717" s="1"/>
      <c r="E717" s="1"/>
      <c r="G717" s="4"/>
      <c r="H717" s="1"/>
    </row>
    <row r="718" spans="1:8" ht="19.5">
      <c r="A718" s="1"/>
      <c r="B718" s="1"/>
      <c r="C718" s="1"/>
      <c r="D718" s="1"/>
      <c r="E718" s="1"/>
      <c r="G718" s="4"/>
      <c r="H718" s="1"/>
    </row>
    <row r="719" spans="1:8" ht="19.5">
      <c r="A719" s="1"/>
      <c r="B719" s="1"/>
      <c r="C719" s="1"/>
      <c r="D719" s="1"/>
      <c r="E719" s="1"/>
      <c r="G719" s="4"/>
      <c r="H719" s="1"/>
    </row>
    <row r="720" spans="1:8" ht="19.5">
      <c r="A720" s="1"/>
      <c r="B720" s="1"/>
      <c r="C720" s="1"/>
      <c r="D720" s="1"/>
      <c r="E720" s="1"/>
      <c r="G720" s="4"/>
      <c r="H720" s="1"/>
    </row>
    <row r="721" spans="1:8" ht="19.5">
      <c r="A721" s="1"/>
      <c r="B721" s="1"/>
      <c r="C721" s="1"/>
      <c r="D721" s="1"/>
      <c r="E721" s="1"/>
      <c r="G721" s="4"/>
      <c r="H721" s="1"/>
    </row>
    <row r="722" spans="1:8" ht="19.5">
      <c r="A722" s="1"/>
      <c r="B722" s="1"/>
      <c r="C722" s="1"/>
      <c r="D722" s="1"/>
      <c r="E722" s="1"/>
      <c r="G722" s="4"/>
      <c r="H722" s="1"/>
    </row>
    <row r="723" spans="1:8" ht="19.5">
      <c r="A723" s="1"/>
      <c r="B723" s="1"/>
      <c r="C723" s="1"/>
      <c r="D723" s="1"/>
      <c r="E723" s="1"/>
      <c r="G723" s="4"/>
      <c r="H723" s="1"/>
    </row>
    <row r="724" spans="1:8" ht="19.5">
      <c r="A724" s="1"/>
      <c r="B724" s="1"/>
      <c r="C724" s="1"/>
      <c r="D724" s="1"/>
      <c r="E724" s="1"/>
      <c r="G724" s="4"/>
      <c r="H724" s="1"/>
    </row>
    <row r="725" spans="1:8" ht="19.5">
      <c r="A725" s="1"/>
      <c r="B725" s="1"/>
      <c r="C725" s="1"/>
      <c r="D725" s="1"/>
      <c r="E725" s="1"/>
      <c r="G725" s="4"/>
      <c r="H725" s="1"/>
    </row>
    <row r="726" spans="1:8" ht="19.5">
      <c r="A726" s="1"/>
      <c r="B726" s="1"/>
      <c r="C726" s="1"/>
      <c r="D726" s="1"/>
      <c r="E726" s="1"/>
      <c r="G726" s="4"/>
      <c r="H726" s="1"/>
    </row>
    <row r="727" spans="1:8" ht="19.5">
      <c r="A727" s="1"/>
      <c r="B727" s="1"/>
      <c r="C727" s="1"/>
      <c r="D727" s="1"/>
      <c r="E727" s="1"/>
      <c r="G727" s="4"/>
      <c r="H727" s="1"/>
    </row>
    <row r="728" spans="1:8" ht="19.5">
      <c r="A728" s="1"/>
      <c r="B728" s="1"/>
      <c r="C728" s="1"/>
      <c r="D728" s="1"/>
      <c r="E728" s="1"/>
      <c r="G728" s="4"/>
      <c r="H728" s="1"/>
    </row>
    <row r="729" spans="1:8" ht="19.5">
      <c r="A729" s="1"/>
      <c r="B729" s="1"/>
      <c r="C729" s="1"/>
      <c r="D729" s="1"/>
      <c r="E729" s="1"/>
      <c r="G729" s="4"/>
      <c r="H729" s="1"/>
    </row>
    <row r="730" spans="1:8" ht="19.5">
      <c r="A730" s="1"/>
      <c r="B730" s="1"/>
      <c r="C730" s="1"/>
      <c r="D730" s="1"/>
      <c r="E730" s="1"/>
      <c r="G730" s="4"/>
      <c r="H730" s="1"/>
    </row>
    <row r="731" spans="1:8" ht="19.5">
      <c r="A731" s="1"/>
      <c r="B731" s="1"/>
      <c r="C731" s="1"/>
      <c r="D731" s="1"/>
      <c r="E731" s="1"/>
      <c r="G731" s="4"/>
      <c r="H731" s="1"/>
    </row>
    <row r="732" spans="1:8" ht="19.5">
      <c r="A732" s="1"/>
      <c r="B732" s="1"/>
      <c r="C732" s="1"/>
      <c r="D732" s="1"/>
      <c r="E732" s="1"/>
      <c r="G732" s="4"/>
      <c r="H732" s="1"/>
    </row>
    <row r="733" spans="1:8" ht="19.5">
      <c r="A733" s="1"/>
      <c r="B733" s="1"/>
      <c r="C733" s="1"/>
      <c r="D733" s="1"/>
      <c r="E733" s="1"/>
      <c r="G733" s="4"/>
      <c r="H733" s="1"/>
    </row>
    <row r="734" spans="1:8" ht="19.5">
      <c r="A734" s="1"/>
      <c r="B734" s="1"/>
      <c r="C734" s="1"/>
      <c r="D734" s="1"/>
      <c r="E734" s="1"/>
      <c r="G734" s="4"/>
      <c r="H734" s="1"/>
    </row>
    <row r="735" spans="1:8" ht="19.5">
      <c r="A735" s="1"/>
      <c r="B735" s="1"/>
      <c r="C735" s="1"/>
      <c r="D735" s="1"/>
      <c r="E735" s="1"/>
      <c r="G735" s="4"/>
      <c r="H735" s="1"/>
    </row>
    <row r="736" spans="1:8" ht="19.5">
      <c r="A736" s="1"/>
      <c r="B736" s="1"/>
      <c r="C736" s="1"/>
      <c r="D736" s="1"/>
      <c r="E736" s="1"/>
      <c r="G736" s="4"/>
      <c r="H736" s="1"/>
    </row>
    <row r="737" spans="1:8" ht="19.5">
      <c r="A737" s="1"/>
      <c r="B737" s="1"/>
      <c r="C737" s="1"/>
      <c r="D737" s="1"/>
      <c r="E737" s="1"/>
      <c r="G737" s="4"/>
      <c r="H737" s="1"/>
    </row>
    <row r="738" spans="1:8" ht="19.5">
      <c r="A738" s="1"/>
      <c r="B738" s="1"/>
      <c r="C738" s="1"/>
      <c r="D738" s="1"/>
      <c r="E738" s="1"/>
      <c r="G738" s="4"/>
      <c r="H738" s="1"/>
    </row>
    <row r="739" spans="1:8" ht="19.5">
      <c r="A739" s="1"/>
      <c r="B739" s="1"/>
      <c r="C739" s="1"/>
      <c r="D739" s="1"/>
      <c r="E739" s="1"/>
      <c r="G739" s="4"/>
      <c r="H739" s="1"/>
    </row>
    <row r="740" spans="1:8" ht="19.5">
      <c r="A740" s="1"/>
      <c r="B740" s="1"/>
      <c r="C740" s="1"/>
      <c r="D740" s="1"/>
      <c r="E740" s="1"/>
      <c r="G740" s="4"/>
      <c r="H740" s="1"/>
    </row>
    <row r="741" spans="1:8" ht="19.5">
      <c r="A741" s="1"/>
      <c r="B741" s="1"/>
      <c r="C741" s="1"/>
      <c r="D741" s="1"/>
      <c r="E741" s="1"/>
      <c r="G741" s="4"/>
      <c r="H741" s="1"/>
    </row>
    <row r="742" spans="1:8" ht="19.5">
      <c r="A742" s="1"/>
      <c r="B742" s="1"/>
      <c r="C742" s="1"/>
      <c r="D742" s="1"/>
      <c r="E742" s="1"/>
      <c r="G742" s="4"/>
      <c r="H742" s="1"/>
    </row>
    <row r="743" spans="1:8" ht="19.5">
      <c r="A743" s="1"/>
      <c r="B743" s="1"/>
      <c r="C743" s="1"/>
      <c r="D743" s="1"/>
      <c r="E743" s="1"/>
      <c r="G743" s="4"/>
      <c r="H743" s="1"/>
    </row>
    <row r="744" spans="1:8" ht="19.5">
      <c r="A744" s="1"/>
      <c r="B744" s="1"/>
      <c r="C744" s="1"/>
      <c r="D744" s="1"/>
      <c r="E744" s="1"/>
      <c r="G744" s="4"/>
      <c r="H744" s="1"/>
    </row>
    <row r="745" spans="1:8" ht="19.5">
      <c r="A745" s="1"/>
      <c r="B745" s="1"/>
      <c r="C745" s="1"/>
      <c r="D745" s="1"/>
      <c r="E745" s="1"/>
      <c r="G745" s="4"/>
      <c r="H745" s="1"/>
    </row>
    <row r="746" spans="1:8" ht="19.5">
      <c r="A746" s="1"/>
      <c r="B746" s="1"/>
      <c r="C746" s="1"/>
      <c r="D746" s="1"/>
      <c r="E746" s="1"/>
      <c r="G746" s="4"/>
      <c r="H746" s="1"/>
    </row>
    <row r="747" spans="1:8" ht="19.5">
      <c r="A747" s="1"/>
      <c r="B747" s="1"/>
      <c r="C747" s="1"/>
      <c r="D747" s="1"/>
      <c r="E747" s="1"/>
      <c r="G747" s="4"/>
      <c r="H747" s="1"/>
    </row>
    <row r="748" spans="1:8" ht="19.5">
      <c r="A748" s="1"/>
      <c r="B748" s="1"/>
      <c r="C748" s="1"/>
      <c r="D748" s="1"/>
      <c r="E748" s="1"/>
      <c r="G748" s="4"/>
      <c r="H748" s="1"/>
    </row>
    <row r="749" spans="1:8" ht="19.5">
      <c r="A749" s="1"/>
      <c r="B749" s="1"/>
      <c r="C749" s="1"/>
      <c r="D749" s="1"/>
      <c r="E749" s="1"/>
      <c r="G749" s="4"/>
      <c r="H749" s="1"/>
    </row>
    <row r="750" spans="1:8" ht="19.5">
      <c r="A750" s="1"/>
      <c r="B750" s="1"/>
      <c r="C750" s="1"/>
      <c r="D750" s="1"/>
      <c r="E750" s="1"/>
      <c r="G750" s="4"/>
      <c r="H750" s="1"/>
    </row>
    <row r="751" spans="1:8" ht="19.5">
      <c r="A751" s="1"/>
      <c r="B751" s="1"/>
      <c r="C751" s="1"/>
      <c r="D751" s="1"/>
      <c r="E751" s="1"/>
      <c r="G751" s="4"/>
      <c r="H751" s="1"/>
    </row>
    <row r="752" spans="1:8" ht="19.5">
      <c r="A752" s="1"/>
      <c r="B752" s="1"/>
      <c r="C752" s="1"/>
      <c r="D752" s="1"/>
      <c r="E752" s="1"/>
      <c r="G752" s="4"/>
      <c r="H752" s="1"/>
    </row>
    <row r="753" spans="1:8" ht="19.5">
      <c r="A753" s="1"/>
      <c r="B753" s="1"/>
      <c r="C753" s="1"/>
      <c r="D753" s="1"/>
      <c r="E753" s="1"/>
      <c r="G753" s="4"/>
      <c r="H753" s="1"/>
    </row>
    <row r="754" spans="1:8" ht="19.5">
      <c r="A754" s="1"/>
      <c r="B754" s="1"/>
      <c r="C754" s="1"/>
      <c r="D754" s="1"/>
      <c r="E754" s="1"/>
      <c r="G754" s="4"/>
      <c r="H754" s="1"/>
    </row>
    <row r="755" spans="1:8" ht="19.5">
      <c r="A755" s="1"/>
      <c r="B755" s="1"/>
      <c r="C755" s="1"/>
      <c r="D755" s="1"/>
      <c r="E755" s="1"/>
      <c r="G755" s="4"/>
      <c r="H755" s="1"/>
    </row>
    <row r="756" spans="1:8" ht="19.5">
      <c r="A756" s="1"/>
      <c r="B756" s="1"/>
      <c r="C756" s="1"/>
      <c r="D756" s="1"/>
      <c r="E756" s="1"/>
      <c r="G756" s="4"/>
      <c r="H756" s="1"/>
    </row>
    <row r="757" spans="1:8" ht="19.5">
      <c r="A757" s="1"/>
      <c r="B757" s="1"/>
      <c r="C757" s="1"/>
      <c r="D757" s="1"/>
      <c r="E757" s="1"/>
      <c r="G757" s="4"/>
      <c r="H757" s="1"/>
    </row>
    <row r="758" spans="1:8" ht="19.5">
      <c r="A758" s="1"/>
      <c r="B758" s="1"/>
      <c r="C758" s="1"/>
      <c r="D758" s="1"/>
      <c r="E758" s="1"/>
      <c r="G758" s="4"/>
      <c r="H758" s="1"/>
    </row>
    <row r="759" spans="1:8" ht="19.5">
      <c r="A759" s="1"/>
      <c r="B759" s="1"/>
      <c r="C759" s="1"/>
      <c r="D759" s="1"/>
      <c r="E759" s="1"/>
      <c r="G759" s="4"/>
      <c r="H759" s="1"/>
    </row>
    <row r="760" spans="1:8" ht="19.5">
      <c r="A760" s="1"/>
      <c r="B760" s="1"/>
      <c r="C760" s="1"/>
      <c r="D760" s="1"/>
      <c r="E760" s="1"/>
      <c r="G760" s="4"/>
      <c r="H760" s="1"/>
    </row>
    <row r="761" spans="1:8" ht="19.5">
      <c r="A761" s="1"/>
      <c r="B761" s="1"/>
      <c r="C761" s="1"/>
      <c r="D761" s="1"/>
      <c r="E761" s="1"/>
      <c r="G761" s="4"/>
      <c r="H761" s="1"/>
    </row>
    <row r="762" spans="1:8" ht="19.5">
      <c r="A762" s="1"/>
      <c r="B762" s="1"/>
      <c r="C762" s="1"/>
      <c r="D762" s="1"/>
      <c r="E762" s="1"/>
      <c r="G762" s="4"/>
      <c r="H762" s="1"/>
    </row>
    <row r="763" spans="1:8" ht="19.5">
      <c r="A763" s="1"/>
      <c r="B763" s="1"/>
      <c r="C763" s="1"/>
      <c r="D763" s="1"/>
      <c r="E763" s="1"/>
      <c r="G763" s="4"/>
      <c r="H763" s="1"/>
    </row>
    <row r="764" spans="1:8" ht="19.5">
      <c r="A764" s="1"/>
      <c r="B764" s="1"/>
      <c r="C764" s="1"/>
      <c r="D764" s="1"/>
      <c r="E764" s="1"/>
      <c r="G764" s="4"/>
      <c r="H764" s="1"/>
    </row>
    <row r="765" spans="1:8" ht="19.5">
      <c r="A765" s="1"/>
      <c r="B765" s="1"/>
      <c r="C765" s="1"/>
      <c r="D765" s="1"/>
      <c r="E765" s="1"/>
      <c r="G765" s="4"/>
      <c r="H765" s="1"/>
    </row>
    <row r="766" spans="1:8" ht="19.5">
      <c r="A766" s="1"/>
      <c r="B766" s="1"/>
      <c r="C766" s="1"/>
      <c r="D766" s="1"/>
      <c r="E766" s="1"/>
      <c r="G766" s="4"/>
      <c r="H766" s="1"/>
    </row>
    <row r="767" spans="1:8" ht="19.5">
      <c r="A767" s="1"/>
      <c r="B767" s="1"/>
      <c r="C767" s="1"/>
      <c r="D767" s="1"/>
      <c r="E767" s="1"/>
      <c r="G767" s="4"/>
      <c r="H767" s="1"/>
    </row>
    <row r="768" spans="1:8" ht="19.5">
      <c r="A768" s="1"/>
      <c r="B768" s="1"/>
      <c r="C768" s="1"/>
      <c r="D768" s="1"/>
      <c r="E768" s="1"/>
      <c r="G768" s="4"/>
      <c r="H768" s="1"/>
    </row>
    <row r="769" spans="1:8" ht="19.5">
      <c r="A769" s="1"/>
      <c r="B769" s="1"/>
      <c r="C769" s="1"/>
      <c r="D769" s="1"/>
      <c r="E769" s="1"/>
      <c r="G769" s="4"/>
      <c r="H769" s="1"/>
    </row>
    <row r="770" spans="1:8" ht="19.5">
      <c r="A770" s="1"/>
      <c r="B770" s="1"/>
      <c r="C770" s="1"/>
      <c r="D770" s="1"/>
      <c r="E770" s="1"/>
      <c r="G770" s="4"/>
      <c r="H770" s="1"/>
    </row>
    <row r="771" spans="1:8" ht="19.5">
      <c r="A771" s="1"/>
      <c r="B771" s="1"/>
      <c r="C771" s="1"/>
      <c r="D771" s="1"/>
      <c r="E771" s="1"/>
      <c r="G771" s="4"/>
      <c r="H771" s="1"/>
    </row>
    <row r="772" spans="1:8" ht="19.5">
      <c r="A772" s="1"/>
      <c r="B772" s="1"/>
      <c r="C772" s="1"/>
      <c r="D772" s="1"/>
      <c r="E772" s="1"/>
      <c r="G772" s="4"/>
      <c r="H772" s="1"/>
    </row>
    <row r="773" spans="1:8" ht="19.5">
      <c r="A773" s="1"/>
      <c r="B773" s="1"/>
      <c r="C773" s="1"/>
      <c r="D773" s="1"/>
      <c r="E773" s="1"/>
      <c r="G773" s="4"/>
      <c r="H773" s="1"/>
    </row>
    <row r="774" spans="1:8" ht="19.5">
      <c r="A774" s="1"/>
      <c r="B774" s="1"/>
      <c r="C774" s="1"/>
      <c r="D774" s="1"/>
      <c r="E774" s="1"/>
      <c r="G774" s="4"/>
      <c r="H774" s="1"/>
    </row>
    <row r="775" spans="1:8" ht="19.5">
      <c r="A775" s="1"/>
      <c r="B775" s="1"/>
      <c r="C775" s="1"/>
      <c r="D775" s="1"/>
      <c r="E775" s="1"/>
      <c r="G775" s="4"/>
      <c r="H775" s="1"/>
    </row>
    <row r="776" spans="1:8" ht="19.5">
      <c r="A776" s="1"/>
      <c r="B776" s="1"/>
      <c r="C776" s="1"/>
      <c r="D776" s="1"/>
      <c r="E776" s="1"/>
      <c r="G776" s="4"/>
      <c r="H776" s="1"/>
    </row>
    <row r="777" spans="1:8" ht="19.5">
      <c r="A777" s="1"/>
      <c r="B777" s="1"/>
      <c r="C777" s="1"/>
      <c r="D777" s="1"/>
      <c r="E777" s="1"/>
      <c r="G777" s="4"/>
      <c r="H777" s="1"/>
    </row>
    <row r="778" spans="1:8" ht="19.5">
      <c r="A778" s="1"/>
      <c r="B778" s="1"/>
      <c r="C778" s="1"/>
      <c r="D778" s="1"/>
      <c r="E778" s="1"/>
      <c r="G778" s="4"/>
      <c r="H778" s="1"/>
    </row>
    <row r="779" spans="1:8" ht="19.5">
      <c r="A779" s="1"/>
      <c r="B779" s="1"/>
      <c r="C779" s="1"/>
      <c r="D779" s="1"/>
      <c r="E779" s="1"/>
      <c r="G779" s="4"/>
      <c r="H779" s="1"/>
    </row>
    <row r="780" spans="1:8" ht="19.5">
      <c r="A780" s="1"/>
      <c r="B780" s="1"/>
      <c r="C780" s="1"/>
      <c r="D780" s="1"/>
      <c r="E780" s="1"/>
      <c r="G780" s="4"/>
      <c r="H780" s="1"/>
    </row>
    <row r="781" spans="1:8" ht="19.5">
      <c r="A781" s="1"/>
      <c r="B781" s="1"/>
      <c r="C781" s="1"/>
      <c r="D781" s="1"/>
      <c r="E781" s="1"/>
      <c r="G781" s="4"/>
      <c r="H781" s="1"/>
    </row>
    <row r="782" spans="1:8" ht="19.5">
      <c r="A782" s="1"/>
      <c r="B782" s="1"/>
      <c r="C782" s="1"/>
      <c r="D782" s="1"/>
      <c r="E782" s="1"/>
      <c r="G782" s="4"/>
      <c r="H782" s="1"/>
    </row>
    <row r="783" spans="1:8" ht="19.5">
      <c r="A783" s="1"/>
      <c r="B783" s="1"/>
      <c r="C783" s="1"/>
      <c r="D783" s="1"/>
      <c r="E783" s="1"/>
      <c r="G783" s="4"/>
      <c r="H783" s="1"/>
    </row>
    <row r="784" spans="1:8" ht="19.5">
      <c r="A784" s="1"/>
      <c r="B784" s="1"/>
      <c r="C784" s="1"/>
      <c r="D784" s="1"/>
      <c r="E784" s="1"/>
      <c r="G784" s="4"/>
      <c r="H784" s="1"/>
    </row>
    <row r="785" spans="1:8" ht="19.5">
      <c r="A785" s="1"/>
      <c r="B785" s="1"/>
      <c r="C785" s="1"/>
      <c r="D785" s="1"/>
      <c r="E785" s="1"/>
      <c r="G785" s="4"/>
      <c r="H785" s="1"/>
    </row>
    <row r="786" spans="1:8" ht="19.5">
      <c r="A786" s="1"/>
      <c r="B786" s="1"/>
      <c r="C786" s="1"/>
      <c r="D786" s="1"/>
      <c r="E786" s="1"/>
      <c r="G786" s="4"/>
      <c r="H786" s="1"/>
    </row>
    <row r="787" spans="1:8" ht="19.5">
      <c r="A787" s="1"/>
      <c r="B787" s="1"/>
      <c r="C787" s="1"/>
      <c r="D787" s="1"/>
      <c r="E787" s="1"/>
      <c r="G787" s="4"/>
      <c r="H787" s="1"/>
    </row>
    <row r="788" spans="1:8" ht="19.5">
      <c r="A788" s="1"/>
      <c r="B788" s="1"/>
      <c r="C788" s="1"/>
      <c r="D788" s="1"/>
      <c r="E788" s="1"/>
      <c r="G788" s="4"/>
      <c r="H788" s="1"/>
    </row>
    <row r="789" spans="1:8" ht="19.5">
      <c r="A789" s="1"/>
      <c r="B789" s="1"/>
      <c r="C789" s="1"/>
      <c r="D789" s="1"/>
      <c r="E789" s="1"/>
      <c r="G789" s="4"/>
      <c r="H789" s="1"/>
    </row>
    <row r="790" spans="1:8" ht="19.5">
      <c r="A790" s="1"/>
      <c r="B790" s="1"/>
      <c r="C790" s="1"/>
      <c r="D790" s="1"/>
      <c r="E790" s="1"/>
      <c r="G790" s="4"/>
      <c r="H790" s="1"/>
    </row>
    <row r="791" spans="1:8" ht="19.5">
      <c r="A791" s="1"/>
      <c r="B791" s="1"/>
      <c r="C791" s="1"/>
      <c r="D791" s="1"/>
      <c r="E791" s="1"/>
      <c r="G791" s="4"/>
      <c r="H791" s="1"/>
    </row>
    <row r="792" spans="1:8" ht="19.5">
      <c r="A792" s="1"/>
      <c r="B792" s="1"/>
      <c r="C792" s="1"/>
      <c r="D792" s="1"/>
      <c r="E792" s="1"/>
      <c r="G792" s="4"/>
      <c r="H792" s="1"/>
    </row>
    <row r="793" spans="1:8" ht="19.5">
      <c r="A793" s="1"/>
      <c r="B793" s="1"/>
      <c r="C793" s="1"/>
      <c r="D793" s="1"/>
      <c r="E793" s="1"/>
      <c r="G793" s="4"/>
      <c r="H793" s="1"/>
    </row>
    <row r="794" spans="1:8" ht="19.5">
      <c r="A794" s="1"/>
      <c r="B794" s="1"/>
      <c r="C794" s="1"/>
      <c r="D794" s="1"/>
      <c r="E794" s="1"/>
      <c r="G794" s="4"/>
      <c r="H794" s="1"/>
    </row>
    <row r="795" spans="1:8" ht="19.5">
      <c r="A795" s="1"/>
      <c r="B795" s="1"/>
      <c r="C795" s="1"/>
      <c r="D795" s="1"/>
      <c r="E795" s="1"/>
      <c r="G795" s="4"/>
      <c r="H795" s="1"/>
    </row>
    <row r="796" spans="1:8" ht="19.5">
      <c r="A796" s="1"/>
      <c r="B796" s="1"/>
      <c r="C796" s="1"/>
      <c r="D796" s="1"/>
      <c r="E796" s="1"/>
      <c r="G796" s="4"/>
      <c r="H796" s="1"/>
    </row>
    <row r="797" spans="1:8" ht="19.5">
      <c r="A797" s="1"/>
      <c r="B797" s="1"/>
      <c r="C797" s="1"/>
      <c r="D797" s="1"/>
      <c r="E797" s="1"/>
      <c r="G797" s="4"/>
      <c r="H797" s="1"/>
    </row>
    <row r="798" spans="1:8" ht="19.5">
      <c r="A798" s="1"/>
      <c r="B798" s="1"/>
      <c r="C798" s="1"/>
      <c r="D798" s="1"/>
      <c r="E798" s="1"/>
      <c r="G798" s="4"/>
      <c r="H798" s="1"/>
    </row>
    <row r="799" spans="1:8" ht="19.5">
      <c r="A799" s="1"/>
      <c r="B799" s="1"/>
      <c r="C799" s="1"/>
      <c r="D799" s="1"/>
      <c r="E799" s="1"/>
      <c r="G799" s="4"/>
      <c r="H799" s="1"/>
    </row>
    <row r="800" spans="1:8" ht="19.5">
      <c r="A800" s="1"/>
      <c r="B800" s="1"/>
      <c r="C800" s="1"/>
      <c r="D800" s="1"/>
      <c r="E800" s="1"/>
      <c r="G800" s="4"/>
      <c r="H800" s="1"/>
    </row>
    <row r="801" spans="1:8" ht="19.5">
      <c r="A801" s="1"/>
      <c r="B801" s="1"/>
      <c r="C801" s="1"/>
      <c r="D801" s="1"/>
      <c r="E801" s="1"/>
      <c r="G801" s="4"/>
      <c r="H801" s="1"/>
    </row>
    <row r="802" spans="1:8" ht="19.5">
      <c r="A802" s="1"/>
      <c r="B802" s="1"/>
      <c r="C802" s="1"/>
      <c r="D802" s="1"/>
      <c r="E802" s="1"/>
      <c r="G802" s="4"/>
      <c r="H802" s="1"/>
    </row>
    <row r="803" spans="1:8" ht="19.5">
      <c r="A803" s="1"/>
      <c r="B803" s="1"/>
      <c r="C803" s="1"/>
      <c r="D803" s="1"/>
      <c r="E803" s="1"/>
      <c r="G803" s="4"/>
      <c r="H803" s="1"/>
    </row>
    <row r="804" spans="1:8" ht="19.5">
      <c r="A804" s="1"/>
      <c r="B804" s="1"/>
      <c r="C804" s="1"/>
      <c r="D804" s="1"/>
      <c r="E804" s="1"/>
      <c r="G804" s="4"/>
      <c r="H804" s="1"/>
    </row>
    <row r="805" spans="1:8" ht="19.5">
      <c r="A805" s="1"/>
      <c r="B805" s="1"/>
      <c r="C805" s="1"/>
      <c r="D805" s="1"/>
      <c r="E805" s="1"/>
      <c r="G805" s="4"/>
      <c r="H805" s="1"/>
    </row>
    <row r="806" spans="1:8" ht="19.5">
      <c r="A806" s="1"/>
      <c r="B806" s="1"/>
      <c r="C806" s="1"/>
      <c r="D806" s="1"/>
      <c r="E806" s="1"/>
      <c r="G806" s="4"/>
      <c r="H806" s="1"/>
    </row>
    <row r="807" spans="1:8" ht="19.5">
      <c r="A807" s="1"/>
      <c r="B807" s="1"/>
      <c r="C807" s="1"/>
      <c r="D807" s="1"/>
      <c r="E807" s="1"/>
      <c r="G807" s="4"/>
      <c r="H807" s="1"/>
    </row>
    <row r="808" spans="1:8" ht="19.5">
      <c r="A808" s="1"/>
      <c r="B808" s="1"/>
      <c r="C808" s="1"/>
      <c r="D808" s="1"/>
      <c r="E808" s="1"/>
      <c r="G808" s="4"/>
      <c r="H808" s="1"/>
    </row>
    <row r="809" spans="1:8" ht="19.5">
      <c r="A809" s="1"/>
      <c r="B809" s="1"/>
      <c r="C809" s="1"/>
      <c r="D809" s="1"/>
      <c r="E809" s="1"/>
      <c r="G809" s="4"/>
      <c r="H809" s="1"/>
    </row>
    <row r="810" spans="1:8" ht="19.5">
      <c r="A810" s="1"/>
      <c r="B810" s="1"/>
      <c r="C810" s="1"/>
      <c r="D810" s="1"/>
      <c r="E810" s="1"/>
      <c r="G810" s="4"/>
      <c r="H810" s="1"/>
    </row>
    <row r="811" spans="1:8" ht="19.5">
      <c r="A811" s="1"/>
      <c r="B811" s="1"/>
      <c r="C811" s="1"/>
      <c r="D811" s="1"/>
      <c r="E811" s="1"/>
      <c r="G811" s="4"/>
      <c r="H811" s="1"/>
    </row>
    <row r="812" spans="1:8" ht="19.5">
      <c r="A812" s="1"/>
      <c r="B812" s="1"/>
      <c r="C812" s="1"/>
      <c r="D812" s="1"/>
      <c r="E812" s="1"/>
      <c r="G812" s="4"/>
      <c r="H812" s="1"/>
    </row>
    <row r="813" spans="1:8" ht="19.5">
      <c r="A813" s="1"/>
      <c r="B813" s="1"/>
      <c r="C813" s="1"/>
      <c r="D813" s="1"/>
      <c r="E813" s="1"/>
      <c r="G813" s="4"/>
      <c r="H813" s="1"/>
    </row>
    <row r="814" spans="1:8" ht="19.5">
      <c r="A814" s="1"/>
      <c r="B814" s="1"/>
      <c r="C814" s="1"/>
      <c r="D814" s="1"/>
      <c r="E814" s="1"/>
      <c r="G814" s="4"/>
      <c r="H814" s="1"/>
    </row>
    <row r="815" spans="1:8" ht="19.5">
      <c r="A815" s="1"/>
      <c r="B815" s="1"/>
      <c r="C815" s="1"/>
      <c r="D815" s="1"/>
      <c r="E815" s="1"/>
      <c r="G815" s="4"/>
      <c r="H815" s="1"/>
    </row>
    <row r="816" spans="1:8" ht="19.5">
      <c r="A816" s="1"/>
      <c r="B816" s="1"/>
      <c r="C816" s="1"/>
      <c r="D816" s="1"/>
      <c r="E816" s="1"/>
      <c r="G816" s="4"/>
      <c r="H816" s="1"/>
    </row>
    <row r="817" spans="1:8" ht="19.5">
      <c r="A817" s="1"/>
      <c r="B817" s="1"/>
      <c r="C817" s="1"/>
      <c r="D817" s="1"/>
      <c r="E817" s="1"/>
      <c r="G817" s="4"/>
      <c r="H817" s="1"/>
    </row>
    <row r="818" spans="1:8" ht="19.5">
      <c r="A818" s="1"/>
      <c r="B818" s="1"/>
      <c r="C818" s="1"/>
      <c r="D818" s="1"/>
      <c r="E818" s="1"/>
      <c r="G818" s="4"/>
      <c r="H818" s="1"/>
    </row>
    <row r="819" spans="1:8" ht="19.5">
      <c r="A819" s="1"/>
      <c r="B819" s="1"/>
      <c r="C819" s="1"/>
      <c r="D819" s="1"/>
      <c r="E819" s="1"/>
      <c r="G819" s="4"/>
      <c r="H819" s="1"/>
    </row>
    <row r="820" spans="1:8" ht="19.5">
      <c r="A820" s="1"/>
      <c r="B820" s="1"/>
      <c r="C820" s="1"/>
      <c r="D820" s="1"/>
      <c r="E820" s="1"/>
      <c r="G820" s="4"/>
      <c r="H820" s="1"/>
    </row>
    <row r="821" spans="1:8" ht="19.5">
      <c r="A821" s="1"/>
      <c r="B821" s="1"/>
      <c r="C821" s="1"/>
      <c r="D821" s="1"/>
      <c r="E821" s="1"/>
      <c r="G821" s="4"/>
      <c r="H821" s="1"/>
    </row>
    <row r="822" spans="1:8" ht="19.5">
      <c r="A822" s="1"/>
      <c r="B822" s="1"/>
      <c r="C822" s="1"/>
      <c r="D822" s="1"/>
      <c r="E822" s="1"/>
      <c r="G822" s="4"/>
      <c r="H822" s="1"/>
    </row>
    <row r="823" spans="1:8" ht="19.5">
      <c r="A823" s="1"/>
      <c r="B823" s="1"/>
      <c r="C823" s="1"/>
      <c r="D823" s="1"/>
      <c r="E823" s="1"/>
      <c r="G823" s="4"/>
      <c r="H823" s="1"/>
    </row>
    <row r="824" spans="1:8" ht="19.5">
      <c r="A824" s="1"/>
      <c r="B824" s="1"/>
      <c r="C824" s="1"/>
      <c r="D824" s="1"/>
      <c r="E824" s="1"/>
      <c r="G824" s="4"/>
      <c r="H824" s="1"/>
    </row>
    <row r="825" spans="1:8" ht="19.5">
      <c r="A825" s="1"/>
      <c r="B825" s="1"/>
      <c r="C825" s="1"/>
      <c r="D825" s="1"/>
      <c r="E825" s="1"/>
      <c r="G825" s="4"/>
      <c r="H825" s="1"/>
    </row>
    <row r="826" spans="1:8" ht="19.5">
      <c r="A826" s="1"/>
      <c r="B826" s="1"/>
      <c r="C826" s="1"/>
      <c r="D826" s="1"/>
      <c r="E826" s="1"/>
      <c r="G826" s="4"/>
      <c r="H826" s="1"/>
    </row>
    <row r="827" spans="1:8" ht="19.5">
      <c r="A827" s="1"/>
      <c r="B827" s="1"/>
      <c r="C827" s="1"/>
      <c r="D827" s="1"/>
      <c r="E827" s="1"/>
      <c r="G827" s="4"/>
      <c r="H827" s="1"/>
    </row>
    <row r="828" spans="1:8" ht="19.5">
      <c r="A828" s="1"/>
      <c r="B828" s="1"/>
      <c r="C828" s="1"/>
      <c r="D828" s="1"/>
      <c r="E828" s="1"/>
      <c r="G828" s="4"/>
      <c r="H828" s="1"/>
    </row>
    <row r="829" spans="1:8" ht="19.5">
      <c r="A829" s="1"/>
      <c r="B829" s="1"/>
      <c r="C829" s="1"/>
      <c r="D829" s="1"/>
      <c r="E829" s="1"/>
      <c r="G829" s="4"/>
      <c r="H829" s="1"/>
    </row>
    <row r="830" spans="1:8" ht="19.5">
      <c r="A830" s="1"/>
      <c r="B830" s="1"/>
      <c r="C830" s="1"/>
      <c r="D830" s="1"/>
      <c r="E830" s="1"/>
      <c r="G830" s="4"/>
      <c r="H830" s="1"/>
    </row>
    <row r="831" spans="1:8" ht="19.5">
      <c r="A831" s="1"/>
      <c r="B831" s="1"/>
      <c r="C831" s="1"/>
      <c r="D831" s="1"/>
      <c r="E831" s="1"/>
      <c r="G831" s="4"/>
      <c r="H831" s="1"/>
    </row>
    <row r="832" spans="1:8" ht="19.5">
      <c r="A832" s="1"/>
      <c r="B832" s="1"/>
      <c r="C832" s="1"/>
      <c r="D832" s="1"/>
      <c r="E832" s="1"/>
      <c r="G832" s="4"/>
      <c r="H832" s="1"/>
    </row>
    <row r="833" spans="1:8" ht="19.5">
      <c r="A833" s="1"/>
      <c r="B833" s="1"/>
      <c r="C833" s="1"/>
      <c r="D833" s="1"/>
      <c r="E833" s="1"/>
      <c r="G833" s="4"/>
      <c r="H833" s="1"/>
    </row>
    <row r="834" spans="1:8" ht="19.5">
      <c r="A834" s="1"/>
      <c r="B834" s="1"/>
      <c r="C834" s="1"/>
      <c r="D834" s="1"/>
      <c r="E834" s="1"/>
      <c r="G834" s="4"/>
      <c r="H834" s="1"/>
    </row>
    <row r="835" spans="1:8" ht="19.5">
      <c r="A835" s="1"/>
      <c r="B835" s="1"/>
      <c r="C835" s="1"/>
      <c r="D835" s="1"/>
      <c r="E835" s="1"/>
      <c r="G835" s="4"/>
      <c r="H835" s="1"/>
    </row>
    <row r="836" spans="1:8" ht="19.5">
      <c r="A836" s="1"/>
      <c r="B836" s="1"/>
      <c r="C836" s="1"/>
      <c r="D836" s="1"/>
      <c r="E836" s="1"/>
      <c r="G836" s="4"/>
      <c r="H836" s="1"/>
    </row>
    <row r="837" spans="1:8" ht="19.5">
      <c r="A837" s="1"/>
      <c r="B837" s="1"/>
      <c r="C837" s="1"/>
      <c r="D837" s="1"/>
      <c r="E837" s="1"/>
      <c r="G837" s="4"/>
      <c r="H837" s="1"/>
    </row>
    <row r="838" spans="1:8" ht="19.5">
      <c r="A838" s="1"/>
      <c r="B838" s="1"/>
      <c r="C838" s="1"/>
      <c r="D838" s="1"/>
      <c r="E838" s="1"/>
      <c r="G838" s="4"/>
      <c r="H838" s="1"/>
    </row>
    <row r="839" spans="1:8" ht="19.5">
      <c r="A839" s="1"/>
      <c r="B839" s="1"/>
      <c r="C839" s="1"/>
      <c r="D839" s="1"/>
      <c r="E839" s="1"/>
      <c r="G839" s="4"/>
      <c r="H839" s="1"/>
    </row>
    <row r="840" spans="1:8" ht="19.5">
      <c r="A840" s="1"/>
      <c r="B840" s="1"/>
      <c r="C840" s="1"/>
      <c r="D840" s="1"/>
      <c r="E840" s="1"/>
      <c r="G840" s="4"/>
      <c r="H840" s="1"/>
    </row>
    <row r="841" spans="1:8" ht="19.5">
      <c r="A841" s="1"/>
      <c r="B841" s="1"/>
      <c r="C841" s="1"/>
      <c r="D841" s="1"/>
      <c r="E841" s="1"/>
      <c r="G841" s="4"/>
      <c r="H841" s="1"/>
    </row>
    <row r="842" spans="1:8" ht="19.5">
      <c r="A842" s="1"/>
      <c r="B842" s="1"/>
      <c r="C842" s="1"/>
      <c r="D842" s="1"/>
      <c r="E842" s="1"/>
      <c r="G842" s="4"/>
      <c r="H842" s="1"/>
    </row>
    <row r="843" spans="1:8" ht="19.5">
      <c r="A843" s="1"/>
      <c r="B843" s="1"/>
      <c r="C843" s="1"/>
      <c r="D843" s="1"/>
      <c r="E843" s="1"/>
      <c r="G843" s="4"/>
      <c r="H843" s="1"/>
    </row>
    <row r="844" spans="1:8" ht="19.5">
      <c r="A844" s="1"/>
      <c r="B844" s="1"/>
      <c r="C844" s="1"/>
      <c r="D844" s="1"/>
      <c r="E844" s="1"/>
      <c r="G844" s="4"/>
      <c r="H844" s="1"/>
    </row>
    <row r="845" spans="1:8" ht="19.5">
      <c r="A845" s="1"/>
      <c r="B845" s="1"/>
      <c r="C845" s="1"/>
      <c r="D845" s="1"/>
      <c r="E845" s="1"/>
      <c r="G845" s="4"/>
      <c r="H845" s="1"/>
    </row>
    <row r="846" spans="1:8" ht="19.5">
      <c r="A846" s="1"/>
      <c r="B846" s="1"/>
      <c r="C846" s="1"/>
      <c r="D846" s="1"/>
      <c r="E846" s="1"/>
      <c r="G846" s="4"/>
      <c r="H846" s="1"/>
    </row>
    <row r="847" spans="1:8" ht="19.5">
      <c r="A847" s="1"/>
      <c r="B847" s="1"/>
      <c r="C847" s="1"/>
      <c r="D847" s="1"/>
      <c r="E847" s="1"/>
      <c r="G847" s="4"/>
      <c r="H847" s="1"/>
    </row>
    <row r="848" spans="1:8" ht="19.5">
      <c r="A848" s="1"/>
      <c r="B848" s="1"/>
      <c r="C848" s="1"/>
      <c r="D848" s="1"/>
      <c r="E848" s="1"/>
      <c r="G848" s="4"/>
      <c r="H848" s="1"/>
    </row>
    <row r="849" spans="1:8" ht="19.5">
      <c r="A849" s="1"/>
      <c r="B849" s="1"/>
      <c r="C849" s="1"/>
      <c r="D849" s="1"/>
      <c r="E849" s="1"/>
      <c r="G849" s="4"/>
      <c r="H849" s="1"/>
    </row>
    <row r="850" spans="1:8" ht="19.5">
      <c r="A850" s="1"/>
      <c r="B850" s="1"/>
      <c r="C850" s="1"/>
      <c r="D850" s="1"/>
      <c r="E850" s="1"/>
      <c r="G850" s="4"/>
      <c r="H850" s="1"/>
    </row>
    <row r="851" spans="1:8" ht="19.5">
      <c r="A851" s="1"/>
      <c r="B851" s="1"/>
      <c r="C851" s="1"/>
      <c r="D851" s="1"/>
      <c r="E851" s="1"/>
      <c r="G851" s="4"/>
      <c r="H851" s="1"/>
    </row>
    <row r="852" spans="1:8" ht="19.5">
      <c r="A852" s="1"/>
      <c r="B852" s="1"/>
      <c r="C852" s="1"/>
      <c r="D852" s="1"/>
      <c r="E852" s="1"/>
      <c r="G852" s="4"/>
      <c r="H852" s="1"/>
    </row>
    <row r="853" spans="1:8" ht="19.5">
      <c r="A853" s="1"/>
      <c r="B853" s="1"/>
      <c r="C853" s="1"/>
      <c r="D853" s="1"/>
      <c r="E853" s="1"/>
      <c r="G853" s="4"/>
      <c r="H853" s="1"/>
    </row>
    <row r="854" spans="1:8" ht="19.5">
      <c r="A854" s="1"/>
      <c r="B854" s="1"/>
      <c r="C854" s="1"/>
      <c r="D854" s="1"/>
      <c r="E854" s="1"/>
      <c r="G854" s="4"/>
      <c r="H854" s="1"/>
    </row>
    <row r="855" spans="1:8" ht="19.5">
      <c r="A855" s="1"/>
      <c r="B855" s="1"/>
      <c r="C855" s="1"/>
      <c r="D855" s="1"/>
      <c r="E855" s="1"/>
      <c r="G855" s="4"/>
      <c r="H855" s="1"/>
    </row>
    <row r="856" spans="1:8" ht="19.5">
      <c r="A856" s="1"/>
      <c r="B856" s="1"/>
      <c r="C856" s="1"/>
      <c r="D856" s="1"/>
      <c r="E856" s="1"/>
      <c r="G856" s="4"/>
      <c r="H856" s="1"/>
    </row>
    <row r="857" spans="1:8" ht="19.5">
      <c r="A857" s="1"/>
      <c r="B857" s="1"/>
      <c r="C857" s="1"/>
      <c r="D857" s="1"/>
      <c r="E857" s="1"/>
      <c r="G857" s="4"/>
      <c r="H857" s="1"/>
    </row>
    <row r="858" spans="1:8" ht="19.5">
      <c r="A858" s="1"/>
      <c r="B858" s="1"/>
      <c r="C858" s="1"/>
      <c r="D858" s="1"/>
      <c r="E858" s="1"/>
      <c r="G858" s="4"/>
      <c r="H858" s="1"/>
    </row>
    <row r="859" spans="1:8" ht="19.5">
      <c r="A859" s="1"/>
      <c r="B859" s="1"/>
      <c r="C859" s="1"/>
      <c r="D859" s="1"/>
      <c r="E859" s="1"/>
      <c r="G859" s="4"/>
      <c r="H859" s="1"/>
    </row>
    <row r="860" spans="1:8" ht="19.5">
      <c r="A860" s="1"/>
      <c r="B860" s="1"/>
      <c r="C860" s="1"/>
      <c r="D860" s="1"/>
      <c r="E860" s="1"/>
      <c r="G860" s="4"/>
      <c r="H860" s="1"/>
    </row>
    <row r="861" spans="1:8" ht="19.5">
      <c r="A861" s="1"/>
      <c r="B861" s="1"/>
      <c r="C861" s="1"/>
      <c r="D861" s="1"/>
      <c r="E861" s="1"/>
      <c r="G861" s="4"/>
      <c r="H861" s="1"/>
    </row>
    <row r="862" spans="1:8" ht="19.5">
      <c r="A862" s="1"/>
      <c r="B862" s="1"/>
      <c r="C862" s="1"/>
      <c r="D862" s="1"/>
      <c r="E862" s="1"/>
      <c r="G862" s="4"/>
      <c r="H862" s="1"/>
    </row>
    <row r="863" spans="1:8" ht="19.5">
      <c r="A863" s="1"/>
      <c r="B863" s="1"/>
      <c r="C863" s="1"/>
      <c r="D863" s="1"/>
      <c r="E863" s="1"/>
      <c r="G863" s="4"/>
      <c r="H863" s="1"/>
    </row>
    <row r="864" spans="1:8" ht="19.5">
      <c r="A864" s="1"/>
      <c r="B864" s="1"/>
      <c r="C864" s="1"/>
      <c r="D864" s="1"/>
      <c r="E864" s="1"/>
      <c r="G864" s="4"/>
      <c r="H864" s="1"/>
    </row>
    <row r="865" spans="1:8" ht="19.5">
      <c r="A865" s="1"/>
      <c r="B865" s="1"/>
      <c r="C865" s="1"/>
      <c r="D865" s="1"/>
      <c r="E865" s="1"/>
      <c r="G865" s="4"/>
      <c r="H865" s="1"/>
    </row>
    <row r="866" spans="1:8" ht="19.5">
      <c r="A866" s="1"/>
      <c r="B866" s="1"/>
      <c r="C866" s="1"/>
      <c r="D866" s="1"/>
      <c r="E866" s="1"/>
      <c r="G866" s="4"/>
      <c r="H866" s="1"/>
    </row>
    <row r="867" spans="1:8" ht="19.5">
      <c r="A867" s="1"/>
      <c r="B867" s="1"/>
      <c r="C867" s="1"/>
      <c r="D867" s="1"/>
      <c r="E867" s="1"/>
      <c r="G867" s="4"/>
      <c r="H867" s="1"/>
    </row>
    <row r="868" spans="1:8" ht="19.5">
      <c r="A868" s="1"/>
      <c r="B868" s="1"/>
      <c r="C868" s="1"/>
      <c r="D868" s="1"/>
      <c r="E868" s="1"/>
      <c r="G868" s="4"/>
      <c r="H868" s="1"/>
    </row>
    <row r="869" spans="1:8" ht="19.5">
      <c r="A869" s="1"/>
      <c r="B869" s="1"/>
      <c r="C869" s="1"/>
      <c r="D869" s="1"/>
      <c r="E869" s="1"/>
      <c r="G869" s="4"/>
      <c r="H869" s="1"/>
    </row>
    <row r="870" spans="1:8" ht="19.5">
      <c r="A870" s="1"/>
      <c r="B870" s="1"/>
      <c r="C870" s="1"/>
      <c r="D870" s="1"/>
      <c r="E870" s="1"/>
      <c r="G870" s="4"/>
      <c r="H870" s="1"/>
    </row>
    <row r="871" spans="1:8" ht="19.5">
      <c r="A871" s="1"/>
      <c r="B871" s="1"/>
      <c r="C871" s="1"/>
      <c r="D871" s="1"/>
      <c r="E871" s="1"/>
      <c r="G871" s="4"/>
      <c r="H871" s="1"/>
    </row>
    <row r="872" spans="1:8" ht="19.5">
      <c r="A872" s="1"/>
      <c r="B872" s="1"/>
      <c r="C872" s="1"/>
      <c r="D872" s="1"/>
      <c r="E872" s="1"/>
      <c r="G872" s="4"/>
      <c r="H872" s="1"/>
    </row>
    <row r="873" spans="1:8" ht="19.5">
      <c r="A873" s="1"/>
      <c r="B873" s="1"/>
      <c r="C873" s="1"/>
      <c r="D873" s="1"/>
      <c r="E873" s="1"/>
      <c r="G873" s="4"/>
      <c r="H873" s="1"/>
    </row>
    <row r="874" spans="1:8" ht="19.5">
      <c r="A874" s="1"/>
      <c r="B874" s="1"/>
      <c r="C874" s="1"/>
      <c r="D874" s="1"/>
      <c r="E874" s="1"/>
      <c r="G874" s="4"/>
      <c r="H874" s="1"/>
    </row>
    <row r="875" spans="1:8" ht="19.5">
      <c r="A875" s="1"/>
      <c r="B875" s="1"/>
      <c r="C875" s="1"/>
      <c r="D875" s="1"/>
      <c r="E875" s="1"/>
      <c r="G875" s="4"/>
      <c r="H875" s="1"/>
    </row>
    <row r="876" spans="1:8" ht="19.5">
      <c r="A876" s="1"/>
      <c r="B876" s="1"/>
      <c r="C876" s="1"/>
      <c r="D876" s="1"/>
      <c r="E876" s="1"/>
      <c r="G876" s="4"/>
      <c r="H876" s="1"/>
    </row>
    <row r="877" spans="1:8" ht="19.5">
      <c r="A877" s="1"/>
      <c r="B877" s="1"/>
      <c r="C877" s="1"/>
      <c r="D877" s="1"/>
      <c r="E877" s="1"/>
      <c r="G877" s="4"/>
      <c r="H877" s="1"/>
    </row>
    <row r="878" spans="1:8" ht="19.5">
      <c r="A878" s="1"/>
      <c r="B878" s="1"/>
      <c r="C878" s="1"/>
      <c r="D878" s="1"/>
      <c r="E878" s="1"/>
      <c r="G878" s="4"/>
      <c r="H878" s="1"/>
    </row>
    <row r="879" spans="1:8" ht="19.5">
      <c r="A879" s="1"/>
      <c r="B879" s="1"/>
      <c r="C879" s="1"/>
      <c r="D879" s="1"/>
      <c r="E879" s="1"/>
      <c r="G879" s="4"/>
      <c r="H879" s="1"/>
    </row>
    <row r="880" spans="1:8" ht="19.5">
      <c r="A880" s="1"/>
      <c r="B880" s="1"/>
      <c r="C880" s="1"/>
      <c r="D880" s="1"/>
      <c r="E880" s="1"/>
      <c r="G880" s="4"/>
      <c r="H880" s="1"/>
    </row>
    <row r="881" spans="1:8" ht="19.5">
      <c r="A881" s="1"/>
      <c r="B881" s="1"/>
      <c r="C881" s="1"/>
      <c r="D881" s="1"/>
      <c r="E881" s="1"/>
      <c r="G881" s="4"/>
      <c r="H881" s="1"/>
    </row>
    <row r="882" spans="1:8" ht="19.5">
      <c r="A882" s="1"/>
      <c r="B882" s="1"/>
      <c r="C882" s="1"/>
      <c r="D882" s="1"/>
      <c r="E882" s="1"/>
      <c r="G882" s="4"/>
      <c r="H882" s="1"/>
    </row>
    <row r="883" spans="1:8" ht="19.5">
      <c r="A883" s="1"/>
      <c r="B883" s="1"/>
      <c r="C883" s="1"/>
      <c r="D883" s="1"/>
      <c r="E883" s="1"/>
      <c r="G883" s="4"/>
      <c r="H883" s="1"/>
    </row>
    <row r="884" spans="1:8" ht="19.5">
      <c r="A884" s="1"/>
      <c r="B884" s="1"/>
      <c r="C884" s="1"/>
      <c r="D884" s="1"/>
      <c r="E884" s="1"/>
      <c r="G884" s="4"/>
      <c r="H884" s="1"/>
    </row>
    <row r="885" spans="1:8" ht="19.5">
      <c r="A885" s="1"/>
      <c r="B885" s="1"/>
      <c r="C885" s="1"/>
      <c r="D885" s="1"/>
      <c r="E885" s="1"/>
      <c r="G885" s="4"/>
      <c r="H885" s="1"/>
    </row>
    <row r="886" spans="1:8" ht="19.5">
      <c r="A886" s="1"/>
      <c r="B886" s="1"/>
      <c r="C886" s="1"/>
      <c r="D886" s="1"/>
      <c r="E886" s="1"/>
      <c r="G886" s="4"/>
      <c r="H886" s="1"/>
    </row>
    <row r="887" spans="1:8" ht="19.5">
      <c r="A887" s="1"/>
      <c r="B887" s="1"/>
      <c r="C887" s="1"/>
      <c r="D887" s="1"/>
      <c r="E887" s="1"/>
      <c r="G887" s="4"/>
      <c r="H887" s="1"/>
    </row>
    <row r="888" spans="1:8" ht="19.5">
      <c r="A888" s="1"/>
      <c r="B888" s="1"/>
      <c r="C888" s="1"/>
      <c r="D888" s="1"/>
      <c r="E888" s="1"/>
      <c r="G888" s="4"/>
      <c r="H888" s="1"/>
    </row>
    <row r="889" spans="1:8" ht="19.5">
      <c r="A889" s="1"/>
      <c r="B889" s="1"/>
      <c r="C889" s="1"/>
      <c r="D889" s="1"/>
      <c r="E889" s="1"/>
      <c r="G889" s="4"/>
      <c r="H889" s="1"/>
    </row>
    <row r="890" spans="1:8" ht="19.5">
      <c r="A890" s="1"/>
      <c r="B890" s="1"/>
      <c r="C890" s="1"/>
      <c r="D890" s="1"/>
      <c r="E890" s="1"/>
      <c r="G890" s="4"/>
      <c r="H890" s="1"/>
    </row>
    <row r="891" spans="1:8" ht="19.5">
      <c r="A891" s="1"/>
      <c r="B891" s="1"/>
      <c r="C891" s="1"/>
      <c r="D891" s="1"/>
      <c r="E891" s="1"/>
      <c r="G891" s="4"/>
      <c r="H891" s="1"/>
    </row>
    <row r="892" spans="1:8" ht="19.5">
      <c r="A892" s="1"/>
      <c r="B892" s="1"/>
      <c r="C892" s="1"/>
      <c r="D892" s="1"/>
      <c r="E892" s="1"/>
      <c r="G892" s="4"/>
      <c r="H892" s="1"/>
    </row>
    <row r="893" spans="1:8" ht="19.5">
      <c r="A893" s="1"/>
      <c r="B893" s="1"/>
      <c r="C893" s="1"/>
      <c r="D893" s="1"/>
      <c r="E893" s="1"/>
      <c r="G893" s="4"/>
      <c r="H893" s="1"/>
    </row>
    <row r="894" spans="1:8" ht="19.5">
      <c r="A894" s="1"/>
      <c r="B894" s="1"/>
      <c r="C894" s="1"/>
      <c r="D894" s="1"/>
      <c r="E894" s="1"/>
      <c r="G894" s="4"/>
      <c r="H894" s="1"/>
    </row>
    <row r="895" spans="1:8" ht="19.5">
      <c r="A895" s="1"/>
      <c r="B895" s="1"/>
      <c r="C895" s="1"/>
      <c r="D895" s="1"/>
      <c r="E895" s="1"/>
      <c r="G895" s="4"/>
      <c r="H895" s="1"/>
    </row>
    <row r="896" spans="1:8" ht="19.5">
      <c r="A896" s="1"/>
      <c r="B896" s="1"/>
      <c r="C896" s="1"/>
      <c r="D896" s="1"/>
      <c r="E896" s="1"/>
      <c r="G896" s="4"/>
      <c r="H896" s="1"/>
    </row>
    <row r="897" spans="1:8" ht="19.5">
      <c r="A897" s="1"/>
      <c r="B897" s="1"/>
      <c r="C897" s="1"/>
      <c r="D897" s="1"/>
      <c r="E897" s="1"/>
      <c r="G897" s="4"/>
      <c r="H897" s="1"/>
    </row>
    <row r="898" spans="1:8" ht="19.5">
      <c r="A898" s="1"/>
      <c r="B898" s="1"/>
      <c r="C898" s="1"/>
      <c r="D898" s="1"/>
      <c r="E898" s="1"/>
      <c r="G898" s="4"/>
      <c r="H898" s="1"/>
    </row>
    <row r="899" spans="1:8" ht="19.5">
      <c r="A899" s="1"/>
      <c r="B899" s="1"/>
      <c r="C899" s="1"/>
      <c r="D899" s="1"/>
      <c r="E899" s="1"/>
      <c r="G899" s="4"/>
      <c r="H899" s="1"/>
    </row>
    <row r="900" spans="1:8" ht="19.5">
      <c r="A900" s="1"/>
      <c r="B900" s="1"/>
      <c r="C900" s="1"/>
      <c r="D900" s="1"/>
      <c r="E900" s="1"/>
      <c r="G900" s="4"/>
      <c r="H900" s="1"/>
    </row>
    <row r="901" spans="1:8" ht="19.5">
      <c r="A901" s="1"/>
      <c r="B901" s="1"/>
      <c r="C901" s="1"/>
      <c r="D901" s="1"/>
      <c r="E901" s="1"/>
      <c r="G901" s="4"/>
      <c r="H901" s="1"/>
    </row>
    <row r="902" spans="1:8" ht="19.5">
      <c r="A902" s="1"/>
      <c r="B902" s="1"/>
      <c r="C902" s="1"/>
      <c r="D902" s="1"/>
      <c r="E902" s="1"/>
      <c r="G902" s="4"/>
      <c r="H902" s="1"/>
    </row>
    <row r="903" spans="1:8" ht="19.5">
      <c r="A903" s="1"/>
      <c r="B903" s="1"/>
      <c r="C903" s="1"/>
      <c r="D903" s="1"/>
      <c r="E903" s="1"/>
      <c r="G903" s="4"/>
      <c r="H903" s="1"/>
    </row>
    <row r="904" spans="1:8" ht="19.5">
      <c r="A904" s="1"/>
      <c r="B904" s="1"/>
      <c r="C904" s="1"/>
      <c r="D904" s="1"/>
      <c r="E904" s="1"/>
      <c r="G904" s="4"/>
      <c r="H904" s="1"/>
    </row>
    <row r="905" spans="1:8" ht="19.5">
      <c r="A905" s="1"/>
      <c r="B905" s="1"/>
      <c r="C905" s="1"/>
      <c r="D905" s="1"/>
      <c r="E905" s="1"/>
      <c r="G905" s="4"/>
      <c r="H905" s="1"/>
    </row>
    <row r="906" spans="1:8" ht="19.5">
      <c r="A906" s="1"/>
      <c r="B906" s="1"/>
      <c r="C906" s="1"/>
      <c r="D906" s="1"/>
      <c r="E906" s="1"/>
      <c r="G906" s="4"/>
      <c r="H906" s="1"/>
    </row>
    <row r="907" spans="1:8" ht="19.5">
      <c r="A907" s="1"/>
      <c r="B907" s="1"/>
      <c r="C907" s="1"/>
      <c r="D907" s="1"/>
      <c r="E907" s="1"/>
      <c r="G907" s="4"/>
      <c r="H907" s="1"/>
    </row>
    <row r="908" spans="1:8" ht="19.5">
      <c r="A908" s="1"/>
      <c r="B908" s="1"/>
      <c r="C908" s="1"/>
      <c r="D908" s="1"/>
      <c r="E908" s="1"/>
      <c r="G908" s="4"/>
      <c r="H908" s="1"/>
    </row>
    <row r="909" spans="1:8" ht="19.5">
      <c r="A909" s="1"/>
      <c r="B909" s="1"/>
      <c r="C909" s="1"/>
      <c r="D909" s="1"/>
      <c r="E909" s="1"/>
      <c r="G909" s="4"/>
      <c r="H909" s="1"/>
    </row>
    <row r="910" spans="1:8" ht="19.5">
      <c r="A910" s="1"/>
      <c r="B910" s="1"/>
      <c r="C910" s="1"/>
      <c r="D910" s="1"/>
      <c r="E910" s="1"/>
      <c r="G910" s="4"/>
      <c r="H910" s="1"/>
    </row>
    <row r="911" spans="1:8" ht="19.5">
      <c r="A911" s="1"/>
      <c r="B911" s="1"/>
      <c r="C911" s="1"/>
      <c r="D911" s="1"/>
      <c r="E911" s="1"/>
      <c r="G911" s="4"/>
      <c r="H911" s="1"/>
    </row>
    <row r="912" spans="1:8" ht="19.5">
      <c r="A912" s="1"/>
      <c r="B912" s="1"/>
      <c r="C912" s="1"/>
      <c r="D912" s="1"/>
      <c r="E912" s="1"/>
      <c r="G912" s="4"/>
      <c r="H912" s="1"/>
    </row>
    <row r="913" spans="1:8" ht="19.5">
      <c r="A913" s="1"/>
      <c r="B913" s="1"/>
      <c r="C913" s="1"/>
      <c r="D913" s="1"/>
      <c r="E913" s="1"/>
      <c r="G913" s="4"/>
      <c r="H913" s="1"/>
    </row>
    <row r="914" spans="1:8" ht="19.5">
      <c r="A914" s="1"/>
      <c r="B914" s="1"/>
      <c r="C914" s="1"/>
      <c r="D914" s="1"/>
      <c r="E914" s="1"/>
      <c r="G914" s="4"/>
      <c r="H914" s="1"/>
    </row>
    <row r="915" spans="1:8" ht="19.5">
      <c r="A915" s="1"/>
      <c r="B915" s="1"/>
      <c r="C915" s="1"/>
      <c r="D915" s="1"/>
      <c r="E915" s="1"/>
      <c r="G915" s="4"/>
      <c r="H915" s="1"/>
    </row>
    <row r="916" spans="1:8" ht="19.5">
      <c r="A916" s="1"/>
      <c r="B916" s="1"/>
      <c r="C916" s="1"/>
      <c r="D916" s="1"/>
      <c r="E916" s="1"/>
      <c r="G916" s="4"/>
      <c r="H916" s="1"/>
    </row>
    <row r="917" spans="1:8" ht="19.5">
      <c r="A917" s="1"/>
      <c r="B917" s="1"/>
      <c r="C917" s="1"/>
      <c r="D917" s="1"/>
      <c r="E917" s="1"/>
      <c r="G917" s="4"/>
      <c r="H917" s="1"/>
    </row>
    <row r="918" spans="1:8" ht="19.5">
      <c r="A918" s="1"/>
      <c r="B918" s="1"/>
      <c r="C918" s="1"/>
      <c r="D918" s="1"/>
      <c r="E918" s="1"/>
      <c r="G918" s="4"/>
      <c r="H918" s="1"/>
    </row>
    <row r="919" spans="1:8" ht="19.5">
      <c r="A919" s="1"/>
      <c r="B919" s="1"/>
      <c r="C919" s="1"/>
      <c r="D919" s="1"/>
      <c r="E919" s="1"/>
      <c r="G919" s="4"/>
      <c r="H919" s="1"/>
    </row>
    <row r="920" spans="1:8" ht="19.5">
      <c r="A920" s="1"/>
      <c r="B920" s="1"/>
      <c r="C920" s="1"/>
      <c r="D920" s="1"/>
      <c r="E920" s="1"/>
      <c r="G920" s="4"/>
      <c r="H920" s="1"/>
    </row>
    <row r="921" spans="1:8" ht="19.5">
      <c r="A921" s="1"/>
      <c r="B921" s="1"/>
      <c r="C921" s="1"/>
      <c r="D921" s="1"/>
      <c r="E921" s="1"/>
      <c r="G921" s="4"/>
      <c r="H921" s="1"/>
    </row>
    <row r="922" spans="1:8" ht="19.5">
      <c r="A922" s="1"/>
      <c r="B922" s="1"/>
      <c r="C922" s="1"/>
      <c r="D922" s="1"/>
      <c r="E922" s="1"/>
      <c r="G922" s="4"/>
      <c r="H922" s="1"/>
    </row>
    <row r="923" spans="1:8" ht="19.5">
      <c r="A923" s="1"/>
      <c r="B923" s="1"/>
      <c r="C923" s="1"/>
      <c r="D923" s="1"/>
      <c r="E923" s="1"/>
      <c r="G923" s="4"/>
      <c r="H923" s="1"/>
    </row>
    <row r="924" spans="1:8" ht="19.5">
      <c r="A924" s="1"/>
      <c r="B924" s="1"/>
      <c r="C924" s="1"/>
      <c r="D924" s="1"/>
      <c r="E924" s="1"/>
      <c r="G924" s="4"/>
      <c r="H924" s="1"/>
    </row>
    <row r="925" spans="1:8" ht="19.5">
      <c r="A925" s="1"/>
      <c r="B925" s="1"/>
      <c r="C925" s="1"/>
      <c r="D925" s="1"/>
      <c r="E925" s="1"/>
      <c r="G925" s="4"/>
      <c r="H925" s="1"/>
    </row>
    <row r="926" spans="1:8" ht="19.5">
      <c r="A926" s="1"/>
      <c r="B926" s="1"/>
      <c r="C926" s="1"/>
      <c r="D926" s="1"/>
      <c r="E926" s="1"/>
      <c r="G926" s="4"/>
      <c r="H926" s="1"/>
    </row>
    <row r="927" spans="1:8" ht="19.5">
      <c r="A927" s="1"/>
      <c r="B927" s="1"/>
      <c r="C927" s="1"/>
      <c r="D927" s="1"/>
      <c r="E927" s="1"/>
      <c r="G927" s="4"/>
      <c r="H927" s="1"/>
    </row>
    <row r="928" spans="1:8" ht="19.5">
      <c r="A928" s="1"/>
      <c r="B928" s="1"/>
      <c r="C928" s="1"/>
      <c r="D928" s="1"/>
      <c r="E928" s="1"/>
      <c r="G928" s="4"/>
      <c r="H928" s="1"/>
    </row>
    <row r="929" spans="1:8" ht="19.5">
      <c r="A929" s="1"/>
      <c r="B929" s="1"/>
      <c r="C929" s="1"/>
      <c r="D929" s="1"/>
      <c r="E929" s="1"/>
      <c r="G929" s="4"/>
      <c r="H929" s="1"/>
    </row>
    <row r="930" spans="1:8" ht="19.5">
      <c r="A930" s="1"/>
      <c r="B930" s="1"/>
      <c r="C930" s="1"/>
      <c r="D930" s="1"/>
      <c r="E930" s="1"/>
      <c r="G930" s="4"/>
      <c r="H930" s="1"/>
    </row>
    <row r="931" spans="1:8" ht="19.5">
      <c r="A931" s="1"/>
      <c r="B931" s="1"/>
      <c r="C931" s="1"/>
      <c r="D931" s="1"/>
      <c r="E931" s="1"/>
      <c r="G931" s="4"/>
      <c r="H931" s="1"/>
    </row>
    <row r="932" spans="1:8" ht="19.5">
      <c r="A932" s="1"/>
      <c r="B932" s="1"/>
      <c r="C932" s="1"/>
      <c r="D932" s="1"/>
      <c r="E932" s="1"/>
      <c r="G932" s="4"/>
      <c r="H932" s="1"/>
    </row>
    <row r="933" spans="1:8" ht="19.5">
      <c r="A933" s="1"/>
      <c r="B933" s="1"/>
      <c r="C933" s="1"/>
      <c r="D933" s="1"/>
      <c r="E933" s="1"/>
      <c r="G933" s="4"/>
      <c r="H933" s="1"/>
    </row>
    <row r="934" spans="1:8" ht="19.5">
      <c r="A934" s="1"/>
      <c r="B934" s="1"/>
      <c r="C934" s="1"/>
      <c r="D934" s="1"/>
      <c r="E934" s="1"/>
      <c r="G934" s="4"/>
      <c r="H934" s="1"/>
    </row>
    <row r="935" spans="1:8" ht="19.5">
      <c r="A935" s="1"/>
      <c r="B935" s="1"/>
      <c r="C935" s="1"/>
      <c r="D935" s="1"/>
      <c r="E935" s="1"/>
      <c r="G935" s="4"/>
      <c r="H935" s="1"/>
    </row>
    <row r="936" spans="1:8" ht="19.5">
      <c r="A936" s="1"/>
      <c r="B936" s="1"/>
      <c r="C936" s="1"/>
      <c r="D936" s="1"/>
      <c r="E936" s="1"/>
      <c r="G936" s="4"/>
      <c r="H936" s="1"/>
    </row>
    <row r="937" spans="1:8" ht="19.5">
      <c r="A937" s="1"/>
      <c r="B937" s="1"/>
      <c r="C937" s="1"/>
      <c r="D937" s="1"/>
      <c r="E937" s="1"/>
      <c r="G937" s="4"/>
      <c r="H937" s="1"/>
    </row>
    <row r="938" spans="1:8" ht="19.5">
      <c r="A938" s="1"/>
      <c r="B938" s="1"/>
      <c r="C938" s="1"/>
      <c r="D938" s="1"/>
      <c r="E938" s="1"/>
      <c r="G938" s="4"/>
      <c r="H938" s="1"/>
    </row>
    <row r="939" spans="1:8" ht="19.5">
      <c r="A939" s="1"/>
      <c r="B939" s="1"/>
      <c r="C939" s="1"/>
      <c r="D939" s="1"/>
      <c r="E939" s="1"/>
      <c r="G939" s="4"/>
      <c r="H939" s="1"/>
    </row>
    <row r="940" spans="1:8" ht="19.5">
      <c r="A940" s="1"/>
      <c r="B940" s="1"/>
      <c r="C940" s="1"/>
      <c r="D940" s="1"/>
      <c r="E940" s="1"/>
      <c r="G940" s="4"/>
      <c r="H940" s="1"/>
    </row>
    <row r="941" spans="1:8" ht="19.5">
      <c r="A941" s="1"/>
      <c r="B941" s="1"/>
      <c r="C941" s="1"/>
      <c r="D941" s="1"/>
      <c r="E941" s="1"/>
      <c r="G941" s="4"/>
      <c r="H941" s="1"/>
    </row>
    <row r="942" spans="1:8" ht="19.5">
      <c r="A942" s="1"/>
      <c r="B942" s="1"/>
      <c r="C942" s="1"/>
      <c r="D942" s="1"/>
      <c r="E942" s="1"/>
      <c r="G942" s="4"/>
      <c r="H942" s="1"/>
    </row>
    <row r="943" spans="1:8" ht="19.5">
      <c r="A943" s="1"/>
      <c r="B943" s="1"/>
      <c r="C943" s="1"/>
      <c r="D943" s="1"/>
      <c r="E943" s="1"/>
      <c r="G943" s="4"/>
      <c r="H943" s="1"/>
    </row>
    <row r="944" spans="1:8" ht="19.5">
      <c r="A944" s="1"/>
      <c r="B944" s="1"/>
      <c r="C944" s="1"/>
      <c r="D944" s="1"/>
      <c r="E944" s="1"/>
      <c r="G944" s="4"/>
      <c r="H944" s="1"/>
    </row>
    <row r="945" spans="1:8" ht="19.5">
      <c r="A945" s="1"/>
      <c r="B945" s="1"/>
      <c r="C945" s="1"/>
      <c r="D945" s="1"/>
      <c r="E945" s="1"/>
      <c r="G945" s="4"/>
      <c r="H945" s="1"/>
    </row>
    <row r="946" spans="1:8" ht="19.5">
      <c r="A946" s="1"/>
      <c r="B946" s="1"/>
      <c r="C946" s="1"/>
      <c r="D946" s="1"/>
      <c r="E946" s="1"/>
      <c r="G946" s="4"/>
      <c r="H946" s="1"/>
    </row>
    <row r="947" spans="1:8" ht="19.5">
      <c r="A947" s="1"/>
      <c r="B947" s="1"/>
      <c r="C947" s="1"/>
      <c r="D947" s="1"/>
      <c r="E947" s="1"/>
      <c r="G947" s="4"/>
      <c r="H947" s="1"/>
    </row>
    <row r="948" spans="1:8" ht="19.5">
      <c r="A948" s="1"/>
      <c r="B948" s="1"/>
      <c r="C948" s="1"/>
      <c r="D948" s="1"/>
      <c r="E948" s="1"/>
      <c r="G948" s="4"/>
      <c r="H948" s="1"/>
    </row>
    <row r="949" spans="1:8" ht="19.5">
      <c r="A949" s="1"/>
      <c r="B949" s="1"/>
      <c r="C949" s="1"/>
      <c r="D949" s="1"/>
      <c r="E949" s="1"/>
      <c r="G949" s="4"/>
      <c r="H949" s="1"/>
    </row>
    <row r="950" spans="1:8" ht="19.5">
      <c r="A950" s="1"/>
      <c r="B950" s="1"/>
      <c r="C950" s="1"/>
      <c r="D950" s="1"/>
      <c r="E950" s="1"/>
      <c r="G950" s="4"/>
      <c r="H950" s="1"/>
    </row>
    <row r="951" spans="1:8" ht="19.5">
      <c r="A951" s="1"/>
      <c r="B951" s="1"/>
      <c r="C951" s="1"/>
      <c r="D951" s="1"/>
      <c r="E951" s="1"/>
      <c r="G951" s="4"/>
      <c r="H951" s="1"/>
    </row>
    <row r="952" spans="1:8" ht="19.5">
      <c r="A952" s="1"/>
      <c r="B952" s="1"/>
      <c r="C952" s="1"/>
      <c r="D952" s="1"/>
      <c r="E952" s="1"/>
      <c r="G952" s="4"/>
      <c r="H952" s="1"/>
    </row>
    <row r="953" spans="1:8" ht="19.5">
      <c r="A953" s="1"/>
      <c r="B953" s="1"/>
      <c r="C953" s="1"/>
      <c r="D953" s="1"/>
      <c r="E953" s="1"/>
      <c r="G953" s="4"/>
      <c r="H953" s="1"/>
    </row>
    <row r="954" spans="1:8" ht="19.5">
      <c r="A954" s="1"/>
      <c r="B954" s="1"/>
      <c r="C954" s="1"/>
      <c r="D954" s="1"/>
      <c r="E954" s="1"/>
      <c r="G954" s="4"/>
      <c r="H954" s="1"/>
    </row>
    <row r="955" spans="1:8" ht="19.5">
      <c r="A955" s="1"/>
      <c r="B955" s="1"/>
      <c r="C955" s="1"/>
      <c r="D955" s="1"/>
      <c r="E955" s="1"/>
      <c r="G955" s="4"/>
      <c r="H955" s="1"/>
    </row>
    <row r="956" spans="1:8" ht="19.5">
      <c r="A956" s="1"/>
      <c r="B956" s="1"/>
      <c r="C956" s="1"/>
      <c r="D956" s="1"/>
      <c r="E956" s="1"/>
      <c r="G956" s="4"/>
      <c r="H956" s="1"/>
    </row>
    <row r="957" spans="1:8" ht="19.5">
      <c r="A957" s="1"/>
      <c r="B957" s="1"/>
      <c r="C957" s="1"/>
      <c r="D957" s="1"/>
      <c r="E957" s="1"/>
      <c r="G957" s="4"/>
      <c r="H957" s="1"/>
    </row>
    <row r="958" spans="1:8" ht="19.5">
      <c r="A958" s="1"/>
      <c r="B958" s="1"/>
      <c r="C958" s="1"/>
      <c r="D958" s="1"/>
      <c r="E958" s="1"/>
      <c r="G958" s="4"/>
      <c r="H958" s="1"/>
    </row>
    <row r="959" spans="1:8" ht="19.5">
      <c r="A959" s="1"/>
      <c r="B959" s="1"/>
      <c r="C959" s="1"/>
      <c r="D959" s="1"/>
      <c r="E959" s="1"/>
      <c r="G959" s="4"/>
      <c r="H959" s="1"/>
    </row>
    <row r="960" spans="1:8" ht="19.5">
      <c r="A960" s="1"/>
      <c r="B960" s="1"/>
      <c r="C960" s="1"/>
      <c r="D960" s="1"/>
      <c r="E960" s="1"/>
      <c r="G960" s="4"/>
      <c r="H960" s="1"/>
    </row>
    <row r="961" spans="1:8" ht="19.5">
      <c r="A961" s="1"/>
      <c r="B961" s="1"/>
      <c r="C961" s="1"/>
      <c r="D961" s="1"/>
      <c r="E961" s="1"/>
      <c r="G961" s="4"/>
      <c r="H961" s="1"/>
    </row>
    <row r="962" spans="1:8" ht="19.5">
      <c r="A962" s="1"/>
      <c r="B962" s="1"/>
      <c r="C962" s="1"/>
      <c r="D962" s="1"/>
      <c r="E962" s="1"/>
      <c r="G962" s="4"/>
      <c r="H962" s="1"/>
    </row>
    <row r="963" spans="1:8" ht="19.5">
      <c r="A963" s="1"/>
      <c r="B963" s="1"/>
      <c r="C963" s="1"/>
      <c r="D963" s="1"/>
      <c r="E963" s="1"/>
      <c r="G963" s="4"/>
      <c r="H963" s="1"/>
    </row>
    <row r="964" spans="1:8" ht="19.5">
      <c r="A964" s="1"/>
      <c r="B964" s="1"/>
      <c r="C964" s="1"/>
      <c r="D964" s="1"/>
      <c r="E964" s="1"/>
      <c r="G964" s="4"/>
      <c r="H964" s="1"/>
    </row>
    <row r="965" spans="1:8" ht="19.5">
      <c r="A965" s="1"/>
      <c r="B965" s="1"/>
      <c r="C965" s="1"/>
      <c r="D965" s="1"/>
      <c r="E965" s="1"/>
      <c r="G965" s="4"/>
      <c r="H965" s="1"/>
    </row>
    <row r="966" spans="1:8" ht="19.5">
      <c r="A966" s="1"/>
      <c r="B966" s="1"/>
      <c r="C966" s="1"/>
      <c r="D966" s="1"/>
      <c r="E966" s="1"/>
      <c r="G966" s="4"/>
      <c r="H966" s="1"/>
    </row>
    <row r="967" spans="1:8" ht="19.5">
      <c r="A967" s="1"/>
      <c r="B967" s="1"/>
      <c r="C967" s="1"/>
      <c r="D967" s="1"/>
      <c r="E967" s="1"/>
      <c r="G967" s="4"/>
      <c r="H967" s="1"/>
    </row>
    <row r="968" spans="1:8" ht="19.5">
      <c r="A968" s="1"/>
      <c r="B968" s="1"/>
      <c r="C968" s="1"/>
      <c r="D968" s="1"/>
      <c r="E968" s="1"/>
      <c r="G968" s="4"/>
      <c r="H968" s="1"/>
    </row>
    <row r="969" spans="1:8" ht="19.5">
      <c r="A969" s="1"/>
      <c r="B969" s="1"/>
      <c r="C969" s="1"/>
      <c r="D969" s="1"/>
      <c r="E969" s="1"/>
      <c r="G969" s="4"/>
      <c r="H969" s="1"/>
    </row>
    <row r="970" spans="1:8" ht="19.5">
      <c r="A970" s="1"/>
      <c r="B970" s="1"/>
      <c r="C970" s="1"/>
      <c r="D970" s="1"/>
      <c r="E970" s="1"/>
      <c r="G970" s="4"/>
      <c r="H970" s="1"/>
    </row>
    <row r="971" spans="1:8" ht="19.5">
      <c r="A971" s="1"/>
      <c r="B971" s="1"/>
      <c r="C971" s="1"/>
      <c r="D971" s="1"/>
      <c r="E971" s="1"/>
      <c r="G971" s="4"/>
      <c r="H971" s="1"/>
    </row>
    <row r="972" spans="1:8" ht="19.5">
      <c r="A972" s="1"/>
      <c r="B972" s="1"/>
      <c r="C972" s="1"/>
      <c r="D972" s="1"/>
      <c r="E972" s="1"/>
      <c r="G972" s="4"/>
      <c r="H972" s="1"/>
    </row>
    <row r="973" spans="1:8" ht="19.5">
      <c r="A973" s="1"/>
      <c r="B973" s="1"/>
      <c r="C973" s="1"/>
      <c r="D973" s="1"/>
      <c r="E973" s="1"/>
      <c r="G973" s="4"/>
      <c r="H973" s="1"/>
    </row>
    <row r="974" spans="1:8" ht="19.5">
      <c r="A974" s="1"/>
      <c r="B974" s="1"/>
      <c r="C974" s="1"/>
      <c r="D974" s="1"/>
      <c r="E974" s="1"/>
      <c r="G974" s="4"/>
      <c r="H974" s="1"/>
    </row>
    <row r="975" spans="1:8" ht="19.5">
      <c r="A975" s="1"/>
      <c r="B975" s="1"/>
      <c r="C975" s="1"/>
      <c r="D975" s="1"/>
      <c r="E975" s="1"/>
      <c r="G975" s="4"/>
      <c r="H975" s="1"/>
    </row>
    <row r="976" spans="1:8" ht="19.5">
      <c r="A976" s="1"/>
      <c r="B976" s="1"/>
      <c r="C976" s="1"/>
      <c r="D976" s="1"/>
      <c r="E976" s="1"/>
      <c r="G976" s="4"/>
      <c r="H976" s="1"/>
    </row>
    <row r="977" spans="1:8" ht="19.5">
      <c r="A977" s="1"/>
      <c r="B977" s="1"/>
      <c r="C977" s="1"/>
      <c r="D977" s="1"/>
      <c r="E977" s="1"/>
      <c r="G977" s="4"/>
      <c r="H977" s="1"/>
    </row>
    <row r="978" spans="1:8" ht="19.5">
      <c r="A978" s="1"/>
      <c r="B978" s="1"/>
      <c r="C978" s="1"/>
      <c r="D978" s="1"/>
      <c r="E978" s="1"/>
      <c r="G978" s="4"/>
      <c r="H978" s="1"/>
    </row>
    <row r="979" spans="1:8" ht="19.5">
      <c r="A979" s="1"/>
      <c r="B979" s="1"/>
      <c r="C979" s="1"/>
      <c r="D979" s="1"/>
      <c r="E979" s="1"/>
      <c r="G979" s="4"/>
      <c r="H979" s="1"/>
    </row>
    <row r="980" spans="1:8" ht="19.5">
      <c r="A980" s="1"/>
      <c r="B980" s="1"/>
      <c r="C980" s="1"/>
      <c r="D980" s="1"/>
      <c r="E980" s="1"/>
      <c r="G980" s="4"/>
      <c r="H980" s="1"/>
    </row>
    <row r="981" spans="1:8" ht="19.5">
      <c r="A981" s="1"/>
      <c r="B981" s="1"/>
      <c r="C981" s="1"/>
      <c r="D981" s="1"/>
      <c r="E981" s="1"/>
      <c r="G981" s="4"/>
      <c r="H981" s="1"/>
    </row>
    <row r="982" spans="1:8" ht="19.5">
      <c r="A982" s="1"/>
      <c r="B982" s="1"/>
      <c r="C982" s="1"/>
      <c r="D982" s="1"/>
      <c r="E982" s="1"/>
      <c r="G982" s="4"/>
      <c r="H982" s="1"/>
    </row>
    <row r="983" spans="1:8" ht="19.5">
      <c r="A983" s="1"/>
      <c r="B983" s="1"/>
      <c r="C983" s="1"/>
      <c r="D983" s="1"/>
      <c r="E983" s="1"/>
      <c r="G983" s="4"/>
      <c r="H983" s="1"/>
    </row>
    <row r="984" spans="1:8" ht="19.5">
      <c r="A984" s="1"/>
      <c r="B984" s="1"/>
      <c r="C984" s="1"/>
      <c r="D984" s="1"/>
      <c r="E984" s="1"/>
      <c r="G984" s="4"/>
      <c r="H984" s="1"/>
    </row>
    <row r="985" spans="1:8" ht="19.5">
      <c r="A985" s="1"/>
      <c r="B985" s="1"/>
      <c r="C985" s="1"/>
      <c r="D985" s="1"/>
      <c r="E985" s="1"/>
      <c r="G985" s="4"/>
      <c r="H985" s="1"/>
    </row>
    <row r="986" spans="1:8" ht="19.5">
      <c r="A986" s="1"/>
      <c r="B986" s="1"/>
      <c r="C986" s="1"/>
      <c r="D986" s="1"/>
      <c r="E986" s="1"/>
      <c r="G986" s="4"/>
      <c r="H986" s="1"/>
    </row>
    <row r="987" spans="1:8" ht="19.5">
      <c r="A987" s="1"/>
      <c r="B987" s="1"/>
      <c r="C987" s="1"/>
      <c r="D987" s="1"/>
      <c r="E987" s="1"/>
      <c r="G987" s="4"/>
      <c r="H987" s="1"/>
    </row>
    <row r="988" spans="1:8" ht="19.5">
      <c r="A988" s="1"/>
      <c r="B988" s="1"/>
      <c r="C988" s="1"/>
      <c r="D988" s="1"/>
      <c r="E988" s="1"/>
      <c r="G988" s="4"/>
      <c r="H988" s="1"/>
    </row>
    <row r="989" spans="1:8" ht="19.5">
      <c r="A989" s="1"/>
      <c r="B989" s="1"/>
      <c r="C989" s="1"/>
      <c r="D989" s="1"/>
      <c r="E989" s="1"/>
      <c r="G989" s="4"/>
      <c r="H989" s="1"/>
    </row>
    <row r="990" spans="1:8" ht="19.5">
      <c r="A990" s="1"/>
      <c r="B990" s="1"/>
      <c r="C990" s="1"/>
      <c r="D990" s="1"/>
      <c r="E990" s="1"/>
      <c r="G990" s="4"/>
      <c r="H990" s="1"/>
    </row>
    <row r="991" spans="1:8" ht="19.5">
      <c r="A991" s="1"/>
      <c r="B991" s="1"/>
      <c r="C991" s="1"/>
      <c r="D991" s="1"/>
      <c r="E991" s="1"/>
      <c r="G991" s="4"/>
      <c r="H991" s="1"/>
    </row>
    <row r="992" spans="1:8" ht="19.5">
      <c r="A992" s="1"/>
      <c r="B992" s="1"/>
      <c r="C992" s="1"/>
      <c r="D992" s="1"/>
      <c r="E992" s="1"/>
      <c r="G992" s="4"/>
      <c r="H992" s="1"/>
    </row>
    <row r="993" spans="1:8" ht="19.5">
      <c r="A993" s="1"/>
      <c r="B993" s="1"/>
      <c r="C993" s="1"/>
      <c r="D993" s="1"/>
      <c r="E993" s="1"/>
      <c r="G993" s="4"/>
      <c r="H993" s="1"/>
    </row>
    <row r="994" spans="1:8" ht="19.5">
      <c r="A994" s="1"/>
      <c r="B994" s="1"/>
      <c r="C994" s="1"/>
      <c r="D994" s="1"/>
      <c r="E994" s="1"/>
      <c r="G994" s="4"/>
      <c r="H994" s="1"/>
    </row>
    <row r="995" spans="1:8" ht="19.5">
      <c r="A995" s="1"/>
      <c r="B995" s="1"/>
      <c r="C995" s="1"/>
      <c r="D995" s="1"/>
      <c r="E995" s="1"/>
      <c r="G995" s="4"/>
      <c r="H995" s="1"/>
    </row>
    <row r="996" spans="1:8" ht="19.5">
      <c r="A996" s="1"/>
      <c r="B996" s="1"/>
      <c r="C996" s="1"/>
      <c r="D996" s="1"/>
      <c r="E996" s="1"/>
      <c r="G996" s="4"/>
      <c r="H996" s="1"/>
    </row>
    <row r="997" spans="1:8" ht="19.5">
      <c r="A997" s="1"/>
      <c r="B997" s="1"/>
      <c r="C997" s="1"/>
      <c r="D997" s="1"/>
      <c r="E997" s="1"/>
      <c r="G997" s="4"/>
      <c r="H997" s="1"/>
    </row>
    <row r="998" spans="1:8" ht="19.5">
      <c r="A998" s="1"/>
      <c r="B998" s="1"/>
      <c r="C998" s="1"/>
      <c r="D998" s="1"/>
      <c r="E998" s="1"/>
      <c r="G998" s="4"/>
      <c r="H998" s="1"/>
    </row>
    <row r="999" spans="1:8" ht="19.5">
      <c r="A999" s="1"/>
      <c r="B999" s="1"/>
      <c r="C999" s="1"/>
      <c r="D999" s="1"/>
      <c r="E999" s="1"/>
      <c r="G999" s="4"/>
      <c r="H999" s="1"/>
    </row>
    <row r="1000" spans="1:8" ht="19.5">
      <c r="A1000" s="1"/>
      <c r="B1000" s="1"/>
      <c r="C1000" s="1"/>
      <c r="D1000" s="1"/>
      <c r="E1000" s="1"/>
      <c r="G1000" s="4"/>
      <c r="H1000" s="1"/>
    </row>
    <row r="1001" spans="1:8" ht="19.5">
      <c r="A1001" s="1"/>
      <c r="B1001" s="1"/>
      <c r="C1001" s="1"/>
      <c r="D1001" s="1"/>
      <c r="E1001" s="1"/>
      <c r="G1001" s="4"/>
      <c r="H1001" s="1"/>
    </row>
    <row r="1002" spans="1:8" ht="19.5">
      <c r="A1002" s="1"/>
      <c r="B1002" s="1"/>
      <c r="C1002" s="1"/>
      <c r="D1002" s="1"/>
      <c r="E1002" s="1"/>
      <c r="G1002" s="4"/>
      <c r="H1002" s="1"/>
    </row>
    <row r="1003" spans="1:8" ht="19.5">
      <c r="A1003" s="1"/>
      <c r="B1003" s="1"/>
      <c r="C1003" s="1"/>
      <c r="D1003" s="1"/>
      <c r="E1003" s="1"/>
      <c r="G1003" s="4"/>
      <c r="H1003" s="1"/>
    </row>
    <row r="1004" spans="1:8" ht="19.5">
      <c r="A1004" s="1"/>
      <c r="B1004" s="1"/>
      <c r="C1004" s="1"/>
      <c r="D1004" s="1"/>
      <c r="E1004" s="1"/>
      <c r="G1004" s="4"/>
      <c r="H1004" s="1"/>
    </row>
    <row r="1005" spans="1:8" ht="19.5">
      <c r="A1005" s="1"/>
      <c r="B1005" s="1"/>
      <c r="C1005" s="1"/>
      <c r="D1005" s="1"/>
      <c r="E1005" s="1"/>
      <c r="G1005" s="4"/>
      <c r="H1005" s="1"/>
    </row>
    <row r="1006" spans="1:8" ht="19.5">
      <c r="A1006" s="1"/>
      <c r="B1006" s="1"/>
      <c r="C1006" s="1"/>
      <c r="D1006" s="1"/>
      <c r="E1006" s="1"/>
      <c r="G1006" s="4"/>
      <c r="H1006" s="1"/>
    </row>
  </sheetData>
  <mergeCells count="2">
    <mergeCell ref="D1:E1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/>
  <cols>
    <col min="1" max="1" width="5.140625" customWidth="1"/>
    <col min="2" max="2" width="32" customWidth="1"/>
    <col min="3" max="3" width="24.5703125" customWidth="1"/>
    <col min="4" max="4" width="110.42578125" customWidth="1"/>
    <col min="5" max="5" width="26.140625" customWidth="1"/>
    <col min="6" max="6" width="23.5703125" customWidth="1"/>
    <col min="7" max="7" width="21.7109375" customWidth="1"/>
    <col min="8" max="8" width="19" customWidth="1"/>
    <col min="9" max="9" width="22.28515625" customWidth="1"/>
    <col min="10" max="10" width="34.5703125" customWidth="1"/>
    <col min="11" max="11" width="31.28515625" customWidth="1"/>
    <col min="12" max="12" width="22.140625" customWidth="1"/>
    <col min="13" max="13" width="30.42578125" customWidth="1"/>
    <col min="14" max="14" width="14.140625" customWidth="1"/>
    <col min="15" max="15" width="27" customWidth="1"/>
    <col min="16" max="16" width="30.42578125" customWidth="1"/>
    <col min="17" max="17" width="31.5703125" customWidth="1"/>
    <col min="18" max="18" width="21.85546875" customWidth="1"/>
    <col min="19" max="19" width="122.42578125" customWidth="1"/>
    <col min="20" max="20" width="28" customWidth="1"/>
    <col min="21" max="21" width="27" customWidth="1"/>
    <col min="22" max="22" width="22.7109375" customWidth="1"/>
    <col min="23" max="26" width="11.5703125" customWidth="1"/>
  </cols>
  <sheetData>
    <row r="1" spans="1:26" ht="51" customHeight="1">
      <c r="A1" s="406"/>
      <c r="B1" s="534" t="s">
        <v>2</v>
      </c>
      <c r="C1" s="536" t="s">
        <v>3</v>
      </c>
      <c r="D1" s="537"/>
      <c r="E1" s="407">
        <f>SUM(E4:E93)</f>
        <v>6270600</v>
      </c>
      <c r="F1" s="408">
        <f>SUM(F3:F89)</f>
        <v>2612497</v>
      </c>
      <c r="G1" s="409">
        <f t="shared" ref="G1:H1" si="0">SUM(G3:G99)</f>
        <v>384000</v>
      </c>
      <c r="H1" s="409">
        <f t="shared" si="0"/>
        <v>1130114</v>
      </c>
      <c r="I1" s="409">
        <f>SUM(I3:I97)</f>
        <v>1761720</v>
      </c>
      <c r="J1" s="410">
        <f>SUM(J3:J98)</f>
        <v>757011</v>
      </c>
      <c r="K1" s="411">
        <f>SUM(F1:H1)</f>
        <v>4126611</v>
      </c>
      <c r="L1" s="412">
        <f>SUM(F1:J1)</f>
        <v>6645342</v>
      </c>
      <c r="M1" s="413">
        <f>SUM(L1-E1)</f>
        <v>374742</v>
      </c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</row>
    <row r="2" spans="1:26" ht="58.5" customHeight="1">
      <c r="A2" s="406"/>
      <c r="B2" s="535"/>
      <c r="C2" s="538"/>
      <c r="D2" s="539"/>
      <c r="E2" s="414" t="s">
        <v>243</v>
      </c>
      <c r="F2" s="415" t="s">
        <v>244</v>
      </c>
      <c r="G2" s="415" t="s">
        <v>245</v>
      </c>
      <c r="H2" s="415" t="s">
        <v>246</v>
      </c>
      <c r="I2" s="416" t="s">
        <v>247</v>
      </c>
      <c r="J2" s="417" t="s">
        <v>248</v>
      </c>
      <c r="K2" s="418" t="s">
        <v>249</v>
      </c>
      <c r="L2" s="419" t="s">
        <v>250</v>
      </c>
      <c r="M2" s="419" t="s">
        <v>251</v>
      </c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</row>
    <row r="3" spans="1:26" ht="24.75" customHeight="1">
      <c r="A3" s="406"/>
      <c r="B3" s="540"/>
      <c r="C3" s="541"/>
      <c r="D3" s="542"/>
      <c r="E3" s="420"/>
      <c r="F3" s="421"/>
      <c r="G3" s="421"/>
      <c r="H3" s="422"/>
      <c r="I3" s="422"/>
      <c r="J3" s="422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</row>
    <row r="4" spans="1:26" ht="24.75" customHeight="1">
      <c r="A4" s="406"/>
      <c r="B4" s="423">
        <v>44947</v>
      </c>
      <c r="C4" s="531" t="s">
        <v>252</v>
      </c>
      <c r="D4" s="532"/>
      <c r="E4" s="424">
        <v>280000</v>
      </c>
      <c r="F4" s="425"/>
      <c r="G4" s="425"/>
      <c r="H4" s="426"/>
      <c r="I4" s="426"/>
      <c r="J4" s="42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</row>
    <row r="5" spans="1:26" ht="51" customHeight="1">
      <c r="A5" s="406"/>
      <c r="B5" s="427">
        <v>44947</v>
      </c>
      <c r="C5" s="523" t="s">
        <v>253</v>
      </c>
      <c r="D5" s="510"/>
      <c r="E5" s="424"/>
      <c r="F5" s="425"/>
      <c r="G5" s="428">
        <v>14000</v>
      </c>
      <c r="H5" s="426"/>
      <c r="I5" s="426"/>
      <c r="J5" s="425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</row>
    <row r="6" spans="1:26" ht="24.75" customHeight="1">
      <c r="A6" s="406"/>
      <c r="B6" s="427">
        <v>44947</v>
      </c>
      <c r="C6" s="524" t="s">
        <v>254</v>
      </c>
      <c r="D6" s="510"/>
      <c r="E6" s="424"/>
      <c r="F6" s="428">
        <v>26490</v>
      </c>
      <c r="G6" s="406"/>
      <c r="H6" s="426"/>
      <c r="I6" s="426"/>
      <c r="J6" s="425"/>
      <c r="K6" s="429"/>
      <c r="L6" s="406"/>
      <c r="M6" s="406"/>
      <c r="N6" s="406"/>
      <c r="O6" s="406"/>
      <c r="P6" s="406"/>
      <c r="Q6" s="406"/>
      <c r="R6" s="406"/>
      <c r="S6" s="406"/>
      <c r="T6" s="406"/>
      <c r="U6" s="406"/>
      <c r="V6" s="406"/>
      <c r="W6" s="406"/>
      <c r="X6" s="406"/>
      <c r="Y6" s="406"/>
      <c r="Z6" s="406"/>
    </row>
    <row r="7" spans="1:26" ht="51.75" customHeight="1">
      <c r="A7" s="406"/>
      <c r="B7" s="427">
        <v>44949</v>
      </c>
      <c r="C7" s="523" t="s">
        <v>255</v>
      </c>
      <c r="D7" s="510"/>
      <c r="E7" s="424"/>
      <c r="F7" s="425"/>
      <c r="G7" s="425"/>
      <c r="H7" s="426"/>
      <c r="I7" s="428">
        <v>67220</v>
      </c>
      <c r="J7" s="426"/>
      <c r="K7" s="406"/>
      <c r="L7" s="406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6"/>
    </row>
    <row r="8" spans="1:26" ht="24.75" customHeight="1">
      <c r="A8" s="406"/>
      <c r="B8" s="423">
        <v>44949</v>
      </c>
      <c r="C8" s="531" t="s">
        <v>256</v>
      </c>
      <c r="D8" s="532"/>
      <c r="E8" s="430">
        <v>800000</v>
      </c>
      <c r="F8" s="431"/>
      <c r="G8" s="431"/>
      <c r="H8" s="432"/>
      <c r="I8" s="432"/>
      <c r="J8" s="432"/>
      <c r="K8" s="433">
        <v>250000</v>
      </c>
      <c r="L8" s="533" t="s">
        <v>257</v>
      </c>
      <c r="M8" s="516"/>
      <c r="N8" s="516"/>
      <c r="O8" s="516"/>
      <c r="P8" s="516"/>
      <c r="Q8" s="516"/>
      <c r="R8" s="406"/>
      <c r="S8" s="406"/>
      <c r="T8" s="406"/>
      <c r="U8" s="406"/>
      <c r="V8" s="406"/>
      <c r="W8" s="406"/>
      <c r="X8" s="406"/>
      <c r="Y8" s="406"/>
      <c r="Z8" s="406"/>
    </row>
    <row r="9" spans="1:26" ht="24.75" customHeight="1">
      <c r="A9" s="406"/>
      <c r="B9" s="434">
        <v>44950</v>
      </c>
      <c r="C9" s="543" t="s">
        <v>258</v>
      </c>
      <c r="D9" s="510"/>
      <c r="E9" s="435">
        <v>250000</v>
      </c>
      <c r="F9" s="431"/>
      <c r="G9" s="431"/>
      <c r="H9" s="432"/>
      <c r="I9" s="432"/>
      <c r="J9" s="432"/>
      <c r="K9" s="436"/>
      <c r="L9" s="436"/>
      <c r="M9" s="436"/>
      <c r="N9" s="436"/>
      <c r="O9" s="436"/>
      <c r="P9" s="436"/>
      <c r="Q9" s="436"/>
      <c r="R9" s="406"/>
      <c r="S9" s="406"/>
      <c r="T9" s="406"/>
      <c r="U9" s="406"/>
      <c r="V9" s="406"/>
      <c r="W9" s="406"/>
      <c r="X9" s="406"/>
      <c r="Y9" s="406"/>
      <c r="Z9" s="406"/>
    </row>
    <row r="10" spans="1:26" ht="24.75" customHeight="1">
      <c r="A10" s="406"/>
      <c r="B10" s="434">
        <v>44950</v>
      </c>
      <c r="C10" s="425" t="s">
        <v>259</v>
      </c>
      <c r="D10" s="425"/>
      <c r="E10" s="437"/>
      <c r="F10" s="438">
        <v>474992</v>
      </c>
      <c r="G10" s="426"/>
      <c r="H10" s="426"/>
      <c r="I10" s="426"/>
      <c r="J10" s="426"/>
      <c r="K10" s="439">
        <f>SUM(F10+F11+F12+F13+F15+F18+F19+F21+F22+F23+F33+F34+F35+F36+F37+F38+F39+F41+F42)</f>
        <v>980207</v>
      </c>
      <c r="L10" s="436" t="s">
        <v>260</v>
      </c>
      <c r="M10" s="436"/>
      <c r="N10" s="436"/>
      <c r="O10" s="436"/>
      <c r="P10" s="436"/>
      <c r="Q10" s="436"/>
      <c r="R10" s="406"/>
      <c r="S10" s="406"/>
      <c r="T10" s="406"/>
      <c r="U10" s="406"/>
      <c r="V10" s="406"/>
      <c r="W10" s="406"/>
      <c r="X10" s="406"/>
      <c r="Y10" s="406"/>
      <c r="Z10" s="406"/>
    </row>
    <row r="11" spans="1:26" ht="24.75" customHeight="1">
      <c r="A11" s="406"/>
      <c r="B11" s="434">
        <v>44950</v>
      </c>
      <c r="C11" s="425" t="s">
        <v>261</v>
      </c>
      <c r="D11" s="440"/>
      <c r="E11" s="437"/>
      <c r="F11" s="438">
        <v>35700</v>
      </c>
      <c r="G11" s="426"/>
      <c r="H11" s="426"/>
      <c r="I11" s="426"/>
      <c r="J11" s="426"/>
      <c r="K11" s="441">
        <f>SUM(G5+F6+I7+H14+H20+H24+H25+H26+F29+I30+I31+I32+H40+F43)</f>
        <v>819824</v>
      </c>
      <c r="L11" s="436" t="s">
        <v>262</v>
      </c>
      <c r="M11" s="436"/>
      <c r="N11" s="436"/>
      <c r="O11" s="436"/>
      <c r="P11" s="436"/>
      <c r="Q11" s="436"/>
      <c r="R11" s="406"/>
      <c r="S11" s="406"/>
      <c r="T11" s="406"/>
      <c r="U11" s="406"/>
      <c r="V11" s="406"/>
      <c r="W11" s="406"/>
      <c r="X11" s="406"/>
      <c r="Y11" s="406"/>
      <c r="Z11" s="406"/>
    </row>
    <row r="12" spans="1:26" ht="24.75" customHeight="1">
      <c r="A12" s="406"/>
      <c r="B12" s="434">
        <v>44950</v>
      </c>
      <c r="C12" s="425" t="s">
        <v>263</v>
      </c>
      <c r="D12" s="440"/>
      <c r="E12" s="437"/>
      <c r="F12" s="438">
        <v>21800</v>
      </c>
      <c r="G12" s="426"/>
      <c r="H12" s="426"/>
      <c r="I12" s="426"/>
      <c r="J12" s="426"/>
      <c r="K12" s="442">
        <f>SUM(K10:K11)</f>
        <v>1800031</v>
      </c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</row>
    <row r="13" spans="1:26" ht="24.75" customHeight="1">
      <c r="A13" s="406"/>
      <c r="B13" s="434">
        <v>44950</v>
      </c>
      <c r="C13" s="544" t="s">
        <v>264</v>
      </c>
      <c r="D13" s="510"/>
      <c r="E13" s="443"/>
      <c r="F13" s="438">
        <v>10000</v>
      </c>
      <c r="G13" s="426"/>
      <c r="H13" s="426"/>
      <c r="I13" s="426"/>
      <c r="J13" s="426"/>
      <c r="K13" s="429"/>
      <c r="L13" s="406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</row>
    <row r="14" spans="1:26" ht="24.75" customHeight="1">
      <c r="A14" s="406"/>
      <c r="B14" s="434">
        <v>44952</v>
      </c>
      <c r="C14" s="544" t="s">
        <v>265</v>
      </c>
      <c r="D14" s="510"/>
      <c r="E14" s="443"/>
      <c r="F14" s="429"/>
      <c r="G14" s="426"/>
      <c r="H14" s="444">
        <v>60114</v>
      </c>
      <c r="I14" s="426"/>
      <c r="J14" s="426"/>
      <c r="K14" s="545" t="s">
        <v>266</v>
      </c>
      <c r="L14" s="516"/>
      <c r="M14" s="516"/>
      <c r="N14" s="516"/>
      <c r="O14" s="516"/>
      <c r="P14" s="516"/>
      <c r="Q14" s="516"/>
      <c r="R14" s="516"/>
      <c r="S14" s="406"/>
      <c r="T14" s="406"/>
      <c r="U14" s="406"/>
      <c r="V14" s="406"/>
      <c r="W14" s="406"/>
      <c r="X14" s="406"/>
      <c r="Y14" s="406"/>
      <c r="Z14" s="406"/>
    </row>
    <row r="15" spans="1:26" ht="24.75" customHeight="1">
      <c r="A15" s="406"/>
      <c r="B15" s="434">
        <v>44952</v>
      </c>
      <c r="C15" s="544" t="s">
        <v>267</v>
      </c>
      <c r="D15" s="510"/>
      <c r="E15" s="443"/>
      <c r="F15" s="438">
        <v>21400</v>
      </c>
      <c r="G15" s="426"/>
      <c r="H15" s="426"/>
      <c r="I15" s="426"/>
      <c r="J15" s="426"/>
      <c r="K15" s="406"/>
      <c r="L15" s="406"/>
      <c r="M15" s="429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</row>
    <row r="16" spans="1:26" ht="24.75" customHeight="1">
      <c r="A16" s="406"/>
      <c r="B16" s="434">
        <v>44952</v>
      </c>
      <c r="C16" s="544" t="s">
        <v>268</v>
      </c>
      <c r="D16" s="510"/>
      <c r="E16" s="443"/>
      <c r="F16" s="445">
        <v>4800</v>
      </c>
      <c r="G16" s="426"/>
      <c r="H16" s="426"/>
      <c r="I16" s="426"/>
      <c r="J16" s="426"/>
      <c r="K16" s="429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</row>
    <row r="17" spans="1:26" ht="24.75" customHeight="1">
      <c r="A17" s="406"/>
      <c r="B17" s="434">
        <v>44952</v>
      </c>
      <c r="C17" s="544" t="s">
        <v>269</v>
      </c>
      <c r="D17" s="510"/>
      <c r="E17" s="443"/>
      <c r="F17" s="445">
        <v>15000</v>
      </c>
      <c r="G17" s="426"/>
      <c r="H17" s="426"/>
      <c r="I17" s="426"/>
      <c r="J17" s="426"/>
      <c r="K17" s="406"/>
      <c r="L17" s="406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</row>
    <row r="18" spans="1:26" ht="24.75" customHeight="1">
      <c r="A18" s="406"/>
      <c r="B18" s="434">
        <v>44952</v>
      </c>
      <c r="C18" s="544" t="s">
        <v>270</v>
      </c>
      <c r="D18" s="510"/>
      <c r="E18" s="443"/>
      <c r="F18" s="438">
        <v>22000</v>
      </c>
      <c r="G18" s="426"/>
      <c r="H18" s="426"/>
      <c r="I18" s="426"/>
      <c r="J18" s="426"/>
      <c r="K18" s="406"/>
      <c r="L18" s="446"/>
      <c r="M18" s="446"/>
      <c r="N18" s="446"/>
      <c r="O18" s="446"/>
      <c r="P18" s="446"/>
      <c r="Q18" s="446"/>
      <c r="R18" s="446"/>
      <c r="S18" s="446"/>
      <c r="T18" s="406"/>
      <c r="U18" s="406"/>
      <c r="V18" s="406"/>
      <c r="W18" s="406"/>
      <c r="X18" s="406"/>
      <c r="Y18" s="406"/>
      <c r="Z18" s="406"/>
    </row>
    <row r="19" spans="1:26" ht="24.75" customHeight="1">
      <c r="A19" s="406"/>
      <c r="B19" s="434">
        <v>44952</v>
      </c>
      <c r="C19" s="544" t="s">
        <v>271</v>
      </c>
      <c r="D19" s="510"/>
      <c r="E19" s="443"/>
      <c r="F19" s="438">
        <v>5500</v>
      </c>
      <c r="G19" s="426"/>
      <c r="H19" s="426"/>
      <c r="I19" s="426"/>
      <c r="J19" s="426"/>
      <c r="K19" s="406"/>
      <c r="L19" s="447"/>
      <c r="M19" s="448"/>
      <c r="N19" s="448"/>
      <c r="O19" s="448"/>
      <c r="P19" s="448"/>
      <c r="Q19" s="448"/>
      <c r="R19" s="446"/>
      <c r="S19" s="446"/>
      <c r="T19" s="406"/>
      <c r="U19" s="406"/>
      <c r="V19" s="406"/>
      <c r="W19" s="406"/>
      <c r="X19" s="406"/>
      <c r="Y19" s="406"/>
      <c r="Z19" s="406"/>
    </row>
    <row r="20" spans="1:26" ht="24.75" customHeight="1">
      <c r="A20" s="406"/>
      <c r="B20" s="434">
        <v>44952</v>
      </c>
      <c r="C20" s="425" t="s">
        <v>272</v>
      </c>
      <c r="D20" s="440"/>
      <c r="E20" s="437"/>
      <c r="F20" s="429"/>
      <c r="G20" s="426"/>
      <c r="H20" s="444">
        <v>100000</v>
      </c>
      <c r="I20" s="426"/>
      <c r="J20" s="426"/>
      <c r="K20" s="406"/>
      <c r="L20" s="447"/>
      <c r="M20" s="448"/>
      <c r="N20" s="448"/>
      <c r="O20" s="448"/>
      <c r="P20" s="448"/>
      <c r="Q20" s="448"/>
      <c r="R20" s="446"/>
      <c r="S20" s="446"/>
      <c r="T20" s="406"/>
      <c r="U20" s="406"/>
      <c r="V20" s="406"/>
      <c r="W20" s="406"/>
      <c r="X20" s="406"/>
      <c r="Y20" s="406"/>
      <c r="Z20" s="406"/>
    </row>
    <row r="21" spans="1:26" ht="24.75" customHeight="1">
      <c r="A21" s="406"/>
      <c r="B21" s="434">
        <v>44953</v>
      </c>
      <c r="C21" s="523" t="s">
        <v>273</v>
      </c>
      <c r="D21" s="510"/>
      <c r="E21" s="443"/>
      <c r="F21" s="438">
        <v>9600</v>
      </c>
      <c r="G21" s="426"/>
      <c r="H21" s="426"/>
      <c r="I21" s="426"/>
      <c r="J21" s="426"/>
      <c r="K21" s="429"/>
      <c r="L21" s="447"/>
      <c r="M21" s="448"/>
      <c r="N21" s="446"/>
      <c r="O21" s="448"/>
      <c r="P21" s="448"/>
      <c r="Q21" s="448"/>
      <c r="R21" s="446"/>
      <c r="S21" s="446"/>
      <c r="T21" s="406"/>
      <c r="U21" s="406"/>
      <c r="V21" s="406"/>
      <c r="W21" s="406"/>
      <c r="X21" s="406"/>
      <c r="Y21" s="406"/>
      <c r="Z21" s="406"/>
    </row>
    <row r="22" spans="1:26" ht="24.75" customHeight="1">
      <c r="A22" s="406"/>
      <c r="B22" s="434">
        <v>44953</v>
      </c>
      <c r="C22" s="523" t="s">
        <v>274</v>
      </c>
      <c r="D22" s="510"/>
      <c r="E22" s="443"/>
      <c r="F22" s="438">
        <v>19300</v>
      </c>
      <c r="G22" s="426"/>
      <c r="H22" s="426"/>
      <c r="I22" s="426"/>
      <c r="J22" s="426"/>
      <c r="K22" s="406"/>
      <c r="L22" s="447"/>
      <c r="M22" s="448"/>
      <c r="N22" s="448"/>
      <c r="O22" s="448"/>
      <c r="P22" s="448"/>
      <c r="Q22" s="448"/>
      <c r="R22" s="446"/>
      <c r="S22" s="448"/>
      <c r="T22" s="406"/>
      <c r="U22" s="406"/>
      <c r="V22" s="406"/>
      <c r="W22" s="406"/>
      <c r="X22" s="406"/>
      <c r="Y22" s="406"/>
      <c r="Z22" s="406"/>
    </row>
    <row r="23" spans="1:26" ht="24.75" customHeight="1">
      <c r="A23" s="406"/>
      <c r="B23" s="434">
        <v>44957</v>
      </c>
      <c r="C23" s="524" t="s">
        <v>275</v>
      </c>
      <c r="D23" s="510"/>
      <c r="E23" s="437"/>
      <c r="F23" s="438">
        <v>58500</v>
      </c>
      <c r="G23" s="426"/>
      <c r="H23" s="426"/>
      <c r="I23" s="426"/>
      <c r="J23" s="426"/>
      <c r="K23" s="406"/>
      <c r="L23" s="447"/>
      <c r="M23" s="448"/>
      <c r="N23" s="448"/>
      <c r="O23" s="448"/>
      <c r="P23" s="448"/>
      <c r="Q23" s="448"/>
      <c r="R23" s="446"/>
      <c r="S23" s="446"/>
      <c r="T23" s="406"/>
      <c r="U23" s="406"/>
      <c r="V23" s="406"/>
      <c r="W23" s="406"/>
      <c r="X23" s="406"/>
      <c r="Y23" s="406"/>
      <c r="Z23" s="406"/>
    </row>
    <row r="24" spans="1:26" ht="49.5" customHeight="1">
      <c r="A24" s="406"/>
      <c r="B24" s="434">
        <v>44957</v>
      </c>
      <c r="C24" s="523" t="s">
        <v>276</v>
      </c>
      <c r="D24" s="510"/>
      <c r="E24" s="443"/>
      <c r="F24" s="426"/>
      <c r="G24" s="426"/>
      <c r="H24" s="444">
        <v>12000</v>
      </c>
      <c r="I24" s="426"/>
      <c r="J24" s="445"/>
      <c r="K24" s="406"/>
      <c r="L24" s="447"/>
      <c r="M24" s="448"/>
      <c r="N24" s="448"/>
      <c r="O24" s="448"/>
      <c r="P24" s="448"/>
      <c r="Q24" s="448"/>
      <c r="R24" s="446"/>
      <c r="S24" s="448"/>
      <c r="T24" s="406"/>
      <c r="U24" s="406"/>
      <c r="V24" s="406"/>
      <c r="W24" s="406"/>
      <c r="X24" s="406"/>
      <c r="Y24" s="406"/>
      <c r="Z24" s="406"/>
    </row>
    <row r="25" spans="1:26" ht="51.75" customHeight="1">
      <c r="A25" s="406"/>
      <c r="B25" s="434">
        <v>44957</v>
      </c>
      <c r="C25" s="523" t="s">
        <v>277</v>
      </c>
      <c r="D25" s="510"/>
      <c r="E25" s="443"/>
      <c r="F25" s="426"/>
      <c r="G25" s="426"/>
      <c r="H25" s="444">
        <v>4000</v>
      </c>
      <c r="I25" s="426"/>
      <c r="J25" s="445"/>
      <c r="K25" s="406"/>
      <c r="L25" s="447"/>
      <c r="M25" s="447"/>
      <c r="N25" s="448"/>
      <c r="O25" s="448"/>
      <c r="P25" s="448"/>
      <c r="Q25" s="448"/>
      <c r="R25" s="446"/>
      <c r="S25" s="448"/>
      <c r="T25" s="406"/>
      <c r="U25" s="406"/>
      <c r="V25" s="406"/>
      <c r="W25" s="406"/>
      <c r="X25" s="406"/>
      <c r="Y25" s="406"/>
      <c r="Z25" s="406"/>
    </row>
    <row r="26" spans="1:26" ht="48" customHeight="1">
      <c r="A26" s="406"/>
      <c r="B26" s="434">
        <v>44957</v>
      </c>
      <c r="C26" s="523" t="s">
        <v>278</v>
      </c>
      <c r="D26" s="510"/>
      <c r="E26" s="443"/>
      <c r="F26" s="426"/>
      <c r="G26" s="426"/>
      <c r="H26" s="444">
        <v>16000</v>
      </c>
      <c r="I26" s="426"/>
      <c r="J26" s="445"/>
      <c r="K26" s="449"/>
      <c r="L26" s="447"/>
      <c r="M26" s="447"/>
      <c r="N26" s="448"/>
      <c r="O26" s="448"/>
      <c r="P26" s="448"/>
      <c r="Q26" s="448"/>
      <c r="R26" s="446"/>
      <c r="S26" s="446"/>
      <c r="T26" s="406"/>
      <c r="U26" s="406"/>
      <c r="V26" s="406"/>
      <c r="W26" s="406"/>
      <c r="X26" s="406"/>
      <c r="Y26" s="406"/>
      <c r="Z26" s="406"/>
    </row>
    <row r="27" spans="1:26" ht="48" customHeight="1">
      <c r="A27" s="406"/>
      <c r="B27" s="450"/>
      <c r="C27" s="451"/>
      <c r="D27" s="451"/>
      <c r="E27" s="452"/>
      <c r="F27" s="448"/>
      <c r="G27" s="448"/>
      <c r="H27" s="447"/>
      <c r="I27" s="448"/>
      <c r="J27" s="447"/>
      <c r="K27" s="453"/>
      <c r="L27" s="447"/>
      <c r="M27" s="447"/>
      <c r="N27" s="448"/>
      <c r="O27" s="448"/>
      <c r="P27" s="448"/>
      <c r="Q27" s="448"/>
      <c r="R27" s="446"/>
      <c r="S27" s="446"/>
      <c r="T27" s="406"/>
      <c r="U27" s="406"/>
      <c r="V27" s="406"/>
      <c r="W27" s="406"/>
      <c r="X27" s="406"/>
      <c r="Y27" s="406"/>
      <c r="Z27" s="406"/>
    </row>
    <row r="28" spans="1:26" ht="30" customHeight="1">
      <c r="A28" s="406"/>
      <c r="B28" s="454">
        <v>44959</v>
      </c>
      <c r="C28" s="455" t="s">
        <v>279</v>
      </c>
      <c r="D28" s="455"/>
      <c r="E28" s="437">
        <v>285000</v>
      </c>
      <c r="F28" s="425"/>
      <c r="G28" s="440"/>
      <c r="H28" s="440"/>
      <c r="I28" s="440"/>
      <c r="J28" s="437"/>
      <c r="K28" s="446"/>
      <c r="L28" s="452"/>
      <c r="M28" s="447"/>
      <c r="N28" s="448"/>
      <c r="O28" s="448"/>
      <c r="P28" s="448"/>
      <c r="Q28" s="448"/>
      <c r="R28" s="446"/>
      <c r="S28" s="446"/>
      <c r="T28" s="406"/>
      <c r="U28" s="406"/>
      <c r="V28" s="406"/>
      <c r="W28" s="406"/>
      <c r="X28" s="406"/>
      <c r="Y28" s="406"/>
      <c r="Z28" s="406"/>
    </row>
    <row r="29" spans="1:26" ht="24.75" customHeight="1">
      <c r="A29" s="406"/>
      <c r="B29" s="456">
        <v>44959</v>
      </c>
      <c r="C29" s="524" t="s">
        <v>280</v>
      </c>
      <c r="D29" s="510"/>
      <c r="E29" s="457"/>
      <c r="F29" s="428">
        <v>150000</v>
      </c>
      <c r="G29" s="440"/>
      <c r="H29" s="440"/>
      <c r="I29" s="440"/>
      <c r="J29" s="440"/>
      <c r="K29" s="446"/>
      <c r="L29" s="452"/>
      <c r="M29" s="448"/>
      <c r="N29" s="448"/>
      <c r="O29" s="447"/>
      <c r="P29" s="448"/>
      <c r="Q29" s="448"/>
      <c r="R29" s="446"/>
      <c r="S29" s="446"/>
      <c r="T29" s="406"/>
      <c r="U29" s="406"/>
      <c r="V29" s="406"/>
      <c r="W29" s="406"/>
      <c r="X29" s="406"/>
      <c r="Y29" s="406"/>
      <c r="Z29" s="406"/>
    </row>
    <row r="30" spans="1:26" ht="49.5" customHeight="1">
      <c r="A30" s="406"/>
      <c r="B30" s="458">
        <v>44959</v>
      </c>
      <c r="C30" s="459" t="s">
        <v>281</v>
      </c>
      <c r="D30" s="460"/>
      <c r="E30" s="461"/>
      <c r="F30" s="425"/>
      <c r="G30" s="440"/>
      <c r="H30" s="440"/>
      <c r="I30" s="462">
        <v>65000</v>
      </c>
      <c r="J30" s="440"/>
      <c r="K30" s="446"/>
      <c r="L30" s="452"/>
      <c r="M30" s="447"/>
      <c r="N30" s="448"/>
      <c r="O30" s="448"/>
      <c r="P30" s="448"/>
      <c r="Q30" s="448"/>
      <c r="R30" s="446"/>
      <c r="S30" s="446"/>
      <c r="T30" s="406"/>
      <c r="U30" s="406"/>
      <c r="V30" s="406"/>
      <c r="W30" s="406"/>
      <c r="X30" s="406"/>
      <c r="Y30" s="406"/>
      <c r="Z30" s="406"/>
    </row>
    <row r="31" spans="1:26" ht="42" customHeight="1">
      <c r="A31" s="406"/>
      <c r="B31" s="458">
        <v>44959</v>
      </c>
      <c r="C31" s="459" t="s">
        <v>282</v>
      </c>
      <c r="D31" s="460"/>
      <c r="E31" s="461"/>
      <c r="F31" s="425"/>
      <c r="G31" s="440"/>
      <c r="H31" s="440"/>
      <c r="I31" s="462">
        <v>20000</v>
      </c>
      <c r="J31" s="440"/>
      <c r="K31" s="446"/>
      <c r="L31" s="452"/>
      <c r="M31" s="447"/>
      <c r="N31" s="448"/>
      <c r="O31" s="448"/>
      <c r="P31" s="448"/>
      <c r="Q31" s="448"/>
      <c r="R31" s="446"/>
      <c r="S31" s="446"/>
      <c r="T31" s="406"/>
      <c r="U31" s="406"/>
      <c r="V31" s="406"/>
      <c r="W31" s="406"/>
      <c r="X31" s="406"/>
      <c r="Y31" s="406"/>
      <c r="Z31" s="406"/>
    </row>
    <row r="32" spans="1:26" ht="42" customHeight="1">
      <c r="A32" s="406"/>
      <c r="B32" s="458">
        <v>44959</v>
      </c>
      <c r="C32" s="459" t="s">
        <v>283</v>
      </c>
      <c r="D32" s="460"/>
      <c r="E32" s="461"/>
      <c r="F32" s="425"/>
      <c r="G32" s="440"/>
      <c r="H32" s="440"/>
      <c r="I32" s="462">
        <v>25000</v>
      </c>
      <c r="J32" s="440"/>
      <c r="K32" s="446"/>
      <c r="L32" s="452"/>
      <c r="M32" s="447"/>
      <c r="N32" s="448"/>
      <c r="O32" s="448"/>
      <c r="P32" s="448"/>
      <c r="Q32" s="448"/>
      <c r="R32" s="446"/>
      <c r="S32" s="446"/>
      <c r="T32" s="406"/>
      <c r="U32" s="406"/>
      <c r="V32" s="406"/>
      <c r="W32" s="406"/>
      <c r="X32" s="406"/>
      <c r="Y32" s="406"/>
      <c r="Z32" s="406"/>
    </row>
    <row r="33" spans="1:26" ht="24.75" customHeight="1">
      <c r="A33" s="406"/>
      <c r="B33" s="463">
        <v>44960</v>
      </c>
      <c r="C33" s="523" t="s">
        <v>284</v>
      </c>
      <c r="D33" s="510"/>
      <c r="E33" s="464"/>
      <c r="F33" s="438">
        <v>82000</v>
      </c>
      <c r="G33" s="440"/>
      <c r="H33" s="440"/>
      <c r="I33" s="440"/>
      <c r="J33" s="440"/>
      <c r="K33" s="446"/>
      <c r="L33" s="452"/>
      <c r="M33" s="447"/>
      <c r="N33" s="448"/>
      <c r="O33" s="448"/>
      <c r="P33" s="448"/>
      <c r="Q33" s="448"/>
      <c r="R33" s="446"/>
      <c r="S33" s="446"/>
      <c r="T33" s="406"/>
      <c r="U33" s="406"/>
      <c r="V33" s="406"/>
      <c r="W33" s="406"/>
      <c r="X33" s="406"/>
      <c r="Y33" s="406"/>
      <c r="Z33" s="406"/>
    </row>
    <row r="34" spans="1:26" ht="46.5" customHeight="1">
      <c r="A34" s="406"/>
      <c r="B34" s="463">
        <v>44960</v>
      </c>
      <c r="C34" s="523" t="s">
        <v>285</v>
      </c>
      <c r="D34" s="510"/>
      <c r="E34" s="464"/>
      <c r="F34" s="438">
        <v>15900</v>
      </c>
      <c r="G34" s="440"/>
      <c r="H34" s="440"/>
      <c r="I34" s="440"/>
      <c r="J34" s="440"/>
      <c r="K34" s="446"/>
      <c r="L34" s="452"/>
      <c r="M34" s="447"/>
      <c r="N34" s="448"/>
      <c r="O34" s="448"/>
      <c r="P34" s="448"/>
      <c r="Q34" s="448"/>
      <c r="R34" s="446"/>
      <c r="S34" s="446"/>
      <c r="T34" s="406"/>
      <c r="U34" s="406"/>
      <c r="V34" s="406"/>
      <c r="W34" s="406"/>
      <c r="X34" s="406"/>
      <c r="Y34" s="406"/>
      <c r="Z34" s="406"/>
    </row>
    <row r="35" spans="1:26" ht="24.75" customHeight="1">
      <c r="A35" s="406"/>
      <c r="B35" s="463">
        <v>44960</v>
      </c>
      <c r="C35" s="523" t="s">
        <v>286</v>
      </c>
      <c r="D35" s="510"/>
      <c r="E35" s="464"/>
      <c r="F35" s="438">
        <v>34115</v>
      </c>
      <c r="G35" s="440"/>
      <c r="H35" s="440"/>
      <c r="I35" s="440"/>
      <c r="J35" s="440"/>
      <c r="K35" s="446"/>
      <c r="L35" s="447"/>
      <c r="M35" s="448"/>
      <c r="N35" s="448"/>
      <c r="O35" s="447"/>
      <c r="P35" s="448"/>
      <c r="Q35" s="448"/>
      <c r="R35" s="446"/>
      <c r="S35" s="446"/>
      <c r="T35" s="406"/>
      <c r="U35" s="406"/>
      <c r="V35" s="406"/>
      <c r="W35" s="406"/>
      <c r="X35" s="406"/>
      <c r="Y35" s="406"/>
      <c r="Z35" s="406"/>
    </row>
    <row r="36" spans="1:26" ht="24.75" customHeight="1">
      <c r="A36" s="406"/>
      <c r="B36" s="434">
        <v>44960</v>
      </c>
      <c r="C36" s="523" t="s">
        <v>287</v>
      </c>
      <c r="D36" s="510"/>
      <c r="E36" s="464"/>
      <c r="F36" s="438">
        <v>7000</v>
      </c>
      <c r="G36" s="440"/>
      <c r="H36" s="440"/>
      <c r="I36" s="440"/>
      <c r="J36" s="440"/>
      <c r="K36" s="446"/>
      <c r="L36" s="452"/>
      <c r="M36" s="447"/>
      <c r="N36" s="448"/>
      <c r="O36" s="448"/>
      <c r="P36" s="448"/>
      <c r="Q36" s="448"/>
      <c r="R36" s="446"/>
      <c r="S36" s="446"/>
      <c r="T36" s="406"/>
      <c r="U36" s="406"/>
      <c r="V36" s="406"/>
      <c r="W36" s="406"/>
      <c r="X36" s="406"/>
      <c r="Y36" s="406"/>
      <c r="Z36" s="406"/>
    </row>
    <row r="37" spans="1:26" ht="24.75" customHeight="1">
      <c r="A37" s="406"/>
      <c r="B37" s="434">
        <v>44960</v>
      </c>
      <c r="C37" s="523" t="s">
        <v>288</v>
      </c>
      <c r="D37" s="510"/>
      <c r="E37" s="464"/>
      <c r="F37" s="438">
        <v>51400</v>
      </c>
      <c r="G37" s="440"/>
      <c r="H37" s="440"/>
      <c r="I37" s="440"/>
      <c r="J37" s="440"/>
      <c r="K37" s="446"/>
      <c r="L37" s="452"/>
      <c r="M37" s="447"/>
      <c r="N37" s="448"/>
      <c r="O37" s="448"/>
      <c r="P37" s="448"/>
      <c r="Q37" s="448"/>
      <c r="R37" s="446"/>
      <c r="S37" s="446"/>
      <c r="T37" s="406"/>
      <c r="U37" s="406"/>
      <c r="V37" s="406"/>
      <c r="W37" s="406"/>
      <c r="X37" s="406"/>
      <c r="Y37" s="406"/>
      <c r="Z37" s="406"/>
    </row>
    <row r="38" spans="1:26" ht="24.75" customHeight="1">
      <c r="A38" s="406"/>
      <c r="B38" s="434">
        <v>44960</v>
      </c>
      <c r="C38" s="523" t="s">
        <v>289</v>
      </c>
      <c r="D38" s="510"/>
      <c r="E38" s="464"/>
      <c r="F38" s="438">
        <v>16000</v>
      </c>
      <c r="G38" s="440"/>
      <c r="H38" s="440"/>
      <c r="I38" s="440"/>
      <c r="J38" s="440"/>
      <c r="K38" s="446"/>
      <c r="L38" s="447"/>
      <c r="M38" s="447"/>
      <c r="N38" s="448"/>
      <c r="O38" s="448"/>
      <c r="P38" s="448"/>
      <c r="Q38" s="448"/>
      <c r="R38" s="446"/>
      <c r="S38" s="446"/>
      <c r="T38" s="406"/>
      <c r="U38" s="406"/>
      <c r="V38" s="406"/>
      <c r="W38" s="406"/>
      <c r="X38" s="406"/>
      <c r="Y38" s="406"/>
      <c r="Z38" s="406"/>
    </row>
    <row r="39" spans="1:26" ht="24.75" customHeight="1">
      <c r="A39" s="406"/>
      <c r="B39" s="434">
        <v>44960</v>
      </c>
      <c r="C39" s="523" t="s">
        <v>290</v>
      </c>
      <c r="D39" s="510"/>
      <c r="E39" s="464"/>
      <c r="F39" s="438">
        <v>20000</v>
      </c>
      <c r="G39" s="440"/>
      <c r="H39" s="440"/>
      <c r="I39" s="440"/>
      <c r="J39" s="440"/>
      <c r="K39" s="446"/>
      <c r="L39" s="452"/>
      <c r="M39" s="448"/>
      <c r="N39" s="448"/>
      <c r="O39" s="447"/>
      <c r="P39" s="448"/>
      <c r="Q39" s="447"/>
      <c r="R39" s="446"/>
      <c r="S39" s="446"/>
      <c r="T39" s="406"/>
      <c r="U39" s="406"/>
      <c r="V39" s="406"/>
      <c r="W39" s="406"/>
      <c r="X39" s="406"/>
      <c r="Y39" s="406"/>
      <c r="Z39" s="406"/>
    </row>
    <row r="40" spans="1:26" ht="24.75" customHeight="1">
      <c r="A40" s="406"/>
      <c r="B40" s="434">
        <v>44961</v>
      </c>
      <c r="C40" s="524" t="s">
        <v>291</v>
      </c>
      <c r="D40" s="510"/>
      <c r="E40" s="465"/>
      <c r="F40" s="440"/>
      <c r="G40" s="440"/>
      <c r="H40" s="428">
        <v>10000</v>
      </c>
      <c r="I40" s="440"/>
      <c r="J40" s="440"/>
      <c r="K40" s="446"/>
      <c r="L40" s="452"/>
      <c r="M40" s="448"/>
      <c r="N40" s="448"/>
      <c r="O40" s="447"/>
      <c r="P40" s="448"/>
      <c r="Q40" s="447"/>
      <c r="R40" s="446"/>
      <c r="S40" s="446"/>
      <c r="T40" s="406"/>
      <c r="U40" s="406"/>
      <c r="V40" s="406"/>
      <c r="W40" s="406"/>
      <c r="X40" s="406"/>
      <c r="Y40" s="406"/>
      <c r="Z40" s="406"/>
    </row>
    <row r="41" spans="1:26" ht="24.75" customHeight="1">
      <c r="A41" s="406"/>
      <c r="B41" s="434">
        <v>44961</v>
      </c>
      <c r="C41" s="459" t="s">
        <v>292</v>
      </c>
      <c r="D41" s="460"/>
      <c r="E41" s="457"/>
      <c r="F41" s="466">
        <v>40000</v>
      </c>
      <c r="G41" s="440"/>
      <c r="H41" s="440"/>
      <c r="I41" s="440"/>
      <c r="J41" s="440"/>
      <c r="K41" s="446"/>
      <c r="L41" s="452"/>
      <c r="M41" s="448"/>
      <c r="N41" s="448"/>
      <c r="O41" s="447"/>
      <c r="P41" s="448"/>
      <c r="Q41" s="447"/>
      <c r="R41" s="446"/>
      <c r="S41" s="446"/>
      <c r="T41" s="406"/>
      <c r="U41" s="406"/>
      <c r="V41" s="406"/>
      <c r="W41" s="406"/>
      <c r="X41" s="406"/>
      <c r="Y41" s="406"/>
      <c r="Z41" s="406"/>
    </row>
    <row r="42" spans="1:26" ht="24.75" customHeight="1">
      <c r="A42" s="406"/>
      <c r="B42" s="434">
        <v>44961</v>
      </c>
      <c r="C42" s="523" t="s">
        <v>293</v>
      </c>
      <c r="D42" s="510"/>
      <c r="E42" s="467"/>
      <c r="F42" s="466">
        <v>35000</v>
      </c>
      <c r="G42" s="440"/>
      <c r="H42" s="440"/>
      <c r="I42" s="440"/>
      <c r="J42" s="440"/>
      <c r="K42" s="446"/>
      <c r="L42" s="452"/>
      <c r="M42" s="448"/>
      <c r="N42" s="448"/>
      <c r="O42" s="447"/>
      <c r="P42" s="448"/>
      <c r="Q42" s="447"/>
      <c r="R42" s="446"/>
      <c r="S42" s="446"/>
      <c r="T42" s="406"/>
      <c r="U42" s="406"/>
      <c r="V42" s="406"/>
      <c r="W42" s="406"/>
      <c r="X42" s="406"/>
      <c r="Y42" s="406"/>
      <c r="Z42" s="406"/>
    </row>
    <row r="43" spans="1:26" ht="24.75" customHeight="1">
      <c r="A43" s="406"/>
      <c r="B43" s="434">
        <v>44961</v>
      </c>
      <c r="C43" s="459" t="s">
        <v>294</v>
      </c>
      <c r="D43" s="460"/>
      <c r="E43" s="457"/>
      <c r="F43" s="428">
        <v>250000</v>
      </c>
      <c r="G43" s="440"/>
      <c r="H43" s="440"/>
      <c r="I43" s="440"/>
      <c r="J43" s="440"/>
      <c r="K43" s="446"/>
      <c r="L43" s="447"/>
      <c r="M43" s="448"/>
      <c r="N43" s="446"/>
      <c r="O43" s="446"/>
      <c r="P43" s="446"/>
      <c r="Q43" s="447"/>
      <c r="R43" s="446"/>
      <c r="S43" s="446"/>
      <c r="T43" s="406"/>
      <c r="U43" s="406"/>
      <c r="V43" s="406"/>
      <c r="W43" s="406"/>
      <c r="X43" s="406"/>
      <c r="Y43" s="406"/>
      <c r="Z43" s="406"/>
    </row>
    <row r="44" spans="1:26" ht="24.75" customHeight="1">
      <c r="A44" s="406"/>
      <c r="B44" s="454">
        <v>44963</v>
      </c>
      <c r="C44" s="455" t="s">
        <v>295</v>
      </c>
      <c r="D44" s="455"/>
      <c r="E44" s="424">
        <v>250000</v>
      </c>
      <c r="F44" s="425"/>
      <c r="G44" s="440"/>
      <c r="H44" s="440"/>
      <c r="I44" s="440"/>
      <c r="J44" s="440"/>
      <c r="K44" s="446"/>
      <c r="L44" s="468"/>
      <c r="M44" s="448"/>
      <c r="N44" s="446"/>
      <c r="O44" s="446"/>
      <c r="P44" s="446"/>
      <c r="Q44" s="446"/>
      <c r="R44" s="446"/>
      <c r="S44" s="446"/>
      <c r="T44" s="406"/>
      <c r="U44" s="406"/>
      <c r="V44" s="406"/>
      <c r="W44" s="406"/>
      <c r="X44" s="406"/>
      <c r="Y44" s="406"/>
      <c r="Z44" s="406"/>
    </row>
    <row r="45" spans="1:26" ht="24.75" customHeight="1">
      <c r="A45" s="406"/>
      <c r="B45" s="454">
        <v>44964</v>
      </c>
      <c r="C45" s="455" t="s">
        <v>296</v>
      </c>
      <c r="D45" s="455"/>
      <c r="E45" s="424">
        <v>285000</v>
      </c>
      <c r="F45" s="425"/>
      <c r="G45" s="440"/>
      <c r="H45" s="440"/>
      <c r="I45" s="440"/>
      <c r="J45" s="440"/>
      <c r="K45" s="446"/>
      <c r="L45" s="468"/>
      <c r="M45" s="448"/>
      <c r="N45" s="446"/>
      <c r="O45" s="446"/>
      <c r="P45" s="446"/>
      <c r="Q45" s="446"/>
      <c r="R45" s="446"/>
      <c r="S45" s="446"/>
      <c r="T45" s="406"/>
      <c r="U45" s="406"/>
      <c r="V45" s="406"/>
      <c r="W45" s="406"/>
      <c r="X45" s="406"/>
      <c r="Y45" s="406"/>
      <c r="Z45" s="406"/>
    </row>
    <row r="46" spans="1:26" ht="24.75" customHeight="1">
      <c r="A46" s="406"/>
      <c r="B46" s="469">
        <v>44965</v>
      </c>
      <c r="C46" s="470" t="s">
        <v>297</v>
      </c>
      <c r="D46" s="470"/>
      <c r="E46" s="457"/>
      <c r="F46" s="425">
        <v>120000</v>
      </c>
      <c r="G46" s="440"/>
      <c r="H46" s="440"/>
      <c r="I46" s="440"/>
      <c r="J46" s="440"/>
      <c r="K46" s="446"/>
      <c r="L46" s="468"/>
      <c r="M46" s="448"/>
      <c r="N46" s="446"/>
      <c r="O46" s="446"/>
      <c r="P46" s="446"/>
      <c r="Q46" s="446"/>
      <c r="R46" s="446"/>
      <c r="S46" s="446"/>
      <c r="T46" s="406"/>
      <c r="U46" s="406"/>
      <c r="V46" s="406"/>
      <c r="W46" s="406"/>
      <c r="X46" s="406"/>
      <c r="Y46" s="406"/>
      <c r="Z46" s="406"/>
    </row>
    <row r="47" spans="1:26" ht="24.75" customHeight="1">
      <c r="A47" s="406"/>
      <c r="B47" s="469">
        <v>44965</v>
      </c>
      <c r="C47" s="470" t="s">
        <v>298</v>
      </c>
      <c r="D47" s="470"/>
      <c r="E47" s="457"/>
      <c r="F47" s="425"/>
      <c r="G47" s="440"/>
      <c r="H47" s="440"/>
      <c r="I47" s="440"/>
      <c r="J47" s="425">
        <v>45680</v>
      </c>
      <c r="K47" s="446"/>
      <c r="L47" s="468"/>
      <c r="M47" s="448"/>
      <c r="N47" s="446"/>
      <c r="O47" s="446"/>
      <c r="P47" s="446"/>
      <c r="Q47" s="446"/>
      <c r="R47" s="446"/>
      <c r="S47" s="446"/>
      <c r="T47" s="406"/>
      <c r="U47" s="406"/>
      <c r="V47" s="406"/>
      <c r="W47" s="406"/>
      <c r="X47" s="406"/>
      <c r="Y47" s="406"/>
      <c r="Z47" s="406"/>
    </row>
    <row r="48" spans="1:26" ht="24.75" customHeight="1">
      <c r="A48" s="406"/>
      <c r="B48" s="463">
        <v>44967</v>
      </c>
      <c r="C48" s="440" t="s">
        <v>299</v>
      </c>
      <c r="D48" s="440"/>
      <c r="E48" s="457"/>
      <c r="F48" s="425">
        <v>9000</v>
      </c>
      <c r="G48" s="440"/>
      <c r="H48" s="440"/>
      <c r="I48" s="440"/>
      <c r="J48" s="425"/>
      <c r="K48" s="446"/>
      <c r="L48" s="471"/>
      <c r="M48" s="447"/>
      <c r="N48" s="446"/>
      <c r="O48" s="446"/>
      <c r="P48" s="446"/>
      <c r="Q48" s="446"/>
      <c r="R48" s="446"/>
      <c r="S48" s="446"/>
      <c r="T48" s="406"/>
      <c r="U48" s="406"/>
      <c r="V48" s="406"/>
      <c r="W48" s="406"/>
      <c r="X48" s="406"/>
      <c r="Y48" s="406"/>
      <c r="Z48" s="406"/>
    </row>
    <row r="49" spans="1:26" ht="24.75" customHeight="1">
      <c r="A49" s="406"/>
      <c r="B49" s="463">
        <v>44968</v>
      </c>
      <c r="C49" s="470" t="s">
        <v>300</v>
      </c>
      <c r="D49" s="470"/>
      <c r="E49" s="457"/>
      <c r="F49" s="425"/>
      <c r="G49" s="440"/>
      <c r="H49" s="440"/>
      <c r="I49" s="425">
        <v>60000</v>
      </c>
      <c r="J49" s="440"/>
      <c r="K49" s="446"/>
      <c r="L49" s="471"/>
      <c r="M49" s="447"/>
      <c r="N49" s="446"/>
      <c r="O49" s="446"/>
      <c r="P49" s="446"/>
      <c r="Q49" s="446"/>
      <c r="R49" s="446"/>
      <c r="S49" s="446"/>
      <c r="T49" s="406"/>
      <c r="U49" s="406"/>
      <c r="V49" s="406"/>
      <c r="W49" s="406"/>
      <c r="X49" s="406"/>
      <c r="Y49" s="406"/>
      <c r="Z49" s="406"/>
    </row>
    <row r="50" spans="1:26" ht="24.75" customHeight="1">
      <c r="A50" s="406"/>
      <c r="B50" s="463">
        <v>44968</v>
      </c>
      <c r="C50" s="470" t="s">
        <v>301</v>
      </c>
      <c r="D50" s="470"/>
      <c r="E50" s="457"/>
      <c r="F50" s="440"/>
      <c r="G50" s="440"/>
      <c r="H50" s="440"/>
      <c r="I50" s="425">
        <v>75000</v>
      </c>
      <c r="J50" s="440"/>
      <c r="K50" s="446"/>
      <c r="L50" s="471"/>
      <c r="M50" s="447"/>
      <c r="N50" s="446"/>
      <c r="O50" s="446"/>
      <c r="P50" s="446"/>
      <c r="Q50" s="446"/>
      <c r="R50" s="446"/>
      <c r="S50" s="446"/>
      <c r="T50" s="406"/>
      <c r="U50" s="406"/>
      <c r="V50" s="406"/>
      <c r="W50" s="406"/>
      <c r="X50" s="406"/>
      <c r="Y50" s="406"/>
      <c r="Z50" s="406"/>
    </row>
    <row r="51" spans="1:26" ht="24.75" customHeight="1">
      <c r="A51" s="406"/>
      <c r="B51" s="463">
        <v>44969</v>
      </c>
      <c r="C51" s="470" t="s">
        <v>302</v>
      </c>
      <c r="D51" s="470"/>
      <c r="E51" s="457"/>
      <c r="F51" s="440"/>
      <c r="G51" s="440"/>
      <c r="H51" s="440"/>
      <c r="I51" s="425">
        <v>55000</v>
      </c>
      <c r="J51" s="440"/>
      <c r="K51" s="446"/>
      <c r="L51" s="471"/>
      <c r="M51" s="447"/>
      <c r="N51" s="446"/>
      <c r="O51" s="446"/>
      <c r="P51" s="446"/>
      <c r="Q51" s="446"/>
      <c r="R51" s="446"/>
      <c r="S51" s="446"/>
      <c r="T51" s="406"/>
      <c r="U51" s="406"/>
      <c r="V51" s="406"/>
      <c r="W51" s="406"/>
      <c r="X51" s="406"/>
      <c r="Y51" s="406"/>
      <c r="Z51" s="406"/>
    </row>
    <row r="52" spans="1:26" ht="24.75" customHeight="1">
      <c r="A52" s="406"/>
      <c r="B52" s="454">
        <v>44970</v>
      </c>
      <c r="C52" s="455" t="s">
        <v>303</v>
      </c>
      <c r="D52" s="455"/>
      <c r="E52" s="424">
        <v>550000</v>
      </c>
      <c r="F52" s="425"/>
      <c r="G52" s="440"/>
      <c r="H52" s="440"/>
      <c r="I52" s="425"/>
      <c r="J52" s="440"/>
      <c r="K52" s="446"/>
      <c r="L52" s="471"/>
      <c r="M52" s="447"/>
      <c r="N52" s="446"/>
      <c r="O52" s="446"/>
      <c r="P52" s="446"/>
      <c r="Q52" s="446"/>
      <c r="R52" s="446"/>
      <c r="S52" s="446"/>
      <c r="T52" s="406"/>
      <c r="U52" s="406"/>
      <c r="V52" s="406"/>
      <c r="W52" s="406"/>
      <c r="X52" s="406"/>
      <c r="Y52" s="406"/>
      <c r="Z52" s="406"/>
    </row>
    <row r="53" spans="1:26" ht="24.75" customHeight="1">
      <c r="A53" s="406"/>
      <c r="B53" s="469">
        <v>44971</v>
      </c>
      <c r="C53" s="470" t="s">
        <v>304</v>
      </c>
      <c r="D53" s="470"/>
      <c r="E53" s="457"/>
      <c r="F53" s="425">
        <v>241000</v>
      </c>
      <c r="G53" s="440"/>
      <c r="H53" s="440"/>
      <c r="I53" s="425"/>
      <c r="J53" s="440"/>
      <c r="K53" s="446"/>
      <c r="L53" s="471"/>
      <c r="M53" s="447"/>
      <c r="N53" s="446"/>
      <c r="O53" s="446"/>
      <c r="P53" s="446"/>
      <c r="Q53" s="446"/>
      <c r="R53" s="446"/>
      <c r="S53" s="446"/>
      <c r="T53" s="406"/>
      <c r="U53" s="406"/>
      <c r="V53" s="406"/>
      <c r="W53" s="406"/>
      <c r="X53" s="406"/>
      <c r="Y53" s="406"/>
      <c r="Z53" s="406"/>
    </row>
    <row r="54" spans="1:26" ht="24.75" customHeight="1">
      <c r="A54" s="406"/>
      <c r="B54" s="458">
        <v>44972</v>
      </c>
      <c r="C54" s="470" t="s">
        <v>305</v>
      </c>
      <c r="D54" s="470"/>
      <c r="E54" s="457"/>
      <c r="F54" s="446"/>
      <c r="G54" s="440"/>
      <c r="H54" s="425">
        <v>26000</v>
      </c>
      <c r="I54" s="425"/>
      <c r="J54" s="440"/>
      <c r="K54" s="446"/>
      <c r="L54" s="471"/>
      <c r="M54" s="447"/>
      <c r="N54" s="446"/>
      <c r="O54" s="446"/>
      <c r="P54" s="446"/>
      <c r="Q54" s="446"/>
      <c r="R54" s="446"/>
      <c r="S54" s="446"/>
      <c r="T54" s="406"/>
      <c r="U54" s="406"/>
      <c r="V54" s="406"/>
      <c r="W54" s="406"/>
      <c r="X54" s="406"/>
      <c r="Y54" s="406"/>
      <c r="Z54" s="406"/>
    </row>
    <row r="55" spans="1:26" ht="24.75" customHeight="1">
      <c r="A55" s="406"/>
      <c r="B55" s="458">
        <v>44971</v>
      </c>
      <c r="C55" s="470" t="s">
        <v>306</v>
      </c>
      <c r="D55" s="470"/>
      <c r="E55" s="457"/>
      <c r="F55" s="440"/>
      <c r="G55" s="440"/>
      <c r="H55" s="440"/>
      <c r="I55" s="425">
        <v>250000</v>
      </c>
      <c r="J55" s="440"/>
      <c r="K55" s="446"/>
      <c r="L55" s="472"/>
      <c r="M55" s="446"/>
      <c r="N55" s="446"/>
      <c r="O55" s="448"/>
      <c r="P55" s="446"/>
      <c r="Q55" s="446"/>
      <c r="R55" s="446"/>
      <c r="S55" s="446"/>
      <c r="T55" s="406"/>
      <c r="U55" s="406"/>
      <c r="V55" s="406"/>
      <c r="W55" s="406"/>
      <c r="X55" s="406"/>
      <c r="Y55" s="406"/>
      <c r="Z55" s="406"/>
    </row>
    <row r="56" spans="1:26" ht="24.75" customHeight="1">
      <c r="A56" s="406"/>
      <c r="B56" s="454">
        <v>44981</v>
      </c>
      <c r="C56" s="455" t="s">
        <v>307</v>
      </c>
      <c r="D56" s="455"/>
      <c r="E56" s="430">
        <v>210600</v>
      </c>
      <c r="F56" s="425"/>
      <c r="G56" s="440"/>
      <c r="H56" s="440"/>
      <c r="I56" s="440"/>
      <c r="J56" s="425"/>
      <c r="K56" s="446"/>
      <c r="L56" s="468"/>
      <c r="M56" s="448"/>
      <c r="N56" s="446"/>
      <c r="O56" s="446"/>
      <c r="P56" s="446"/>
      <c r="Q56" s="446"/>
      <c r="R56" s="446"/>
      <c r="S56" s="446"/>
      <c r="T56" s="406"/>
      <c r="U56" s="406"/>
      <c r="V56" s="406"/>
      <c r="W56" s="406"/>
      <c r="X56" s="406"/>
      <c r="Y56" s="406"/>
      <c r="Z56" s="406"/>
    </row>
    <row r="57" spans="1:26" ht="24.75" customHeight="1">
      <c r="A57" s="406"/>
      <c r="B57" s="456"/>
      <c r="C57" s="470" t="s">
        <v>308</v>
      </c>
      <c r="D57" s="470"/>
      <c r="E57" s="457"/>
      <c r="F57" s="473"/>
      <c r="G57" s="440"/>
      <c r="H57" s="440"/>
      <c r="I57" s="440"/>
      <c r="J57" s="425">
        <v>102431</v>
      </c>
      <c r="K57" s="446"/>
      <c r="L57" s="471"/>
      <c r="M57" s="448"/>
      <c r="N57" s="446"/>
      <c r="O57" s="446"/>
      <c r="P57" s="446"/>
      <c r="Q57" s="446"/>
      <c r="R57" s="446"/>
      <c r="S57" s="446"/>
      <c r="T57" s="406"/>
      <c r="U57" s="406"/>
      <c r="V57" s="406"/>
      <c r="W57" s="406"/>
      <c r="X57" s="406"/>
      <c r="Y57" s="406"/>
      <c r="Z57" s="406"/>
    </row>
    <row r="58" spans="1:26" ht="24" customHeight="1">
      <c r="A58" s="406"/>
      <c r="B58" s="456"/>
      <c r="C58" s="470" t="s">
        <v>309</v>
      </c>
      <c r="D58" s="470"/>
      <c r="E58" s="457"/>
      <c r="F58" s="473"/>
      <c r="G58" s="440"/>
      <c r="H58" s="440"/>
      <c r="I58" s="440"/>
      <c r="J58" s="425">
        <v>49180</v>
      </c>
      <c r="K58" s="446"/>
      <c r="L58" s="468"/>
      <c r="M58" s="448"/>
      <c r="N58" s="446"/>
      <c r="O58" s="446"/>
      <c r="P58" s="446"/>
      <c r="Q58" s="446"/>
      <c r="R58" s="446"/>
      <c r="S58" s="446"/>
      <c r="T58" s="406"/>
      <c r="U58" s="406"/>
      <c r="V58" s="406"/>
      <c r="W58" s="406"/>
      <c r="X58" s="406"/>
      <c r="Y58" s="406"/>
      <c r="Z58" s="406"/>
    </row>
    <row r="59" spans="1:26" ht="48" customHeight="1">
      <c r="A59" s="406"/>
      <c r="B59" s="456"/>
      <c r="C59" s="546" t="s">
        <v>310</v>
      </c>
      <c r="D59" s="510"/>
      <c r="E59" s="467"/>
      <c r="F59" s="473"/>
      <c r="G59" s="440"/>
      <c r="H59" s="440"/>
      <c r="I59" s="440"/>
      <c r="J59" s="425">
        <v>78000</v>
      </c>
      <c r="K59" s="446"/>
      <c r="L59" s="447"/>
      <c r="M59" s="448"/>
      <c r="N59" s="446"/>
      <c r="O59" s="446"/>
      <c r="P59" s="446"/>
      <c r="Q59" s="446"/>
      <c r="R59" s="446"/>
      <c r="S59" s="446"/>
      <c r="T59" s="406"/>
      <c r="U59" s="406"/>
      <c r="V59" s="406"/>
      <c r="W59" s="406"/>
      <c r="X59" s="406"/>
      <c r="Y59" s="406"/>
      <c r="Z59" s="406"/>
    </row>
    <row r="60" spans="1:26" ht="24.75" customHeight="1">
      <c r="A60" s="406"/>
      <c r="B60" s="456"/>
      <c r="C60" s="547" t="s">
        <v>311</v>
      </c>
      <c r="D60" s="510"/>
      <c r="E60" s="457"/>
      <c r="F60" s="473"/>
      <c r="G60" s="440"/>
      <c r="H60" s="440"/>
      <c r="I60" s="440"/>
      <c r="J60" s="425">
        <v>24220</v>
      </c>
      <c r="K60" s="474"/>
      <c r="L60" s="446"/>
      <c r="M60" s="446"/>
      <c r="N60" s="446"/>
      <c r="O60" s="446"/>
      <c r="P60" s="446"/>
      <c r="Q60" s="446"/>
      <c r="R60" s="446"/>
      <c r="S60" s="446"/>
      <c r="T60" s="406"/>
      <c r="U60" s="406"/>
      <c r="V60" s="406"/>
      <c r="W60" s="406"/>
      <c r="X60" s="406"/>
      <c r="Y60" s="406"/>
      <c r="Z60" s="406"/>
    </row>
    <row r="61" spans="1:26" ht="95.25" customHeight="1">
      <c r="A61" s="406"/>
      <c r="B61" s="475"/>
      <c r="C61" s="476"/>
      <c r="D61" s="476"/>
      <c r="E61" s="468"/>
      <c r="F61" s="477"/>
      <c r="G61" s="446"/>
      <c r="H61" s="446"/>
      <c r="I61" s="446"/>
      <c r="J61" s="448"/>
      <c r="K61" s="474"/>
      <c r="L61" s="446"/>
      <c r="M61" s="446"/>
      <c r="N61" s="446"/>
      <c r="O61" s="446"/>
      <c r="P61" s="446"/>
      <c r="Q61" s="446"/>
      <c r="R61" s="446"/>
      <c r="S61" s="446"/>
      <c r="T61" s="406"/>
      <c r="U61" s="406"/>
      <c r="V61" s="406"/>
      <c r="W61" s="406"/>
      <c r="X61" s="406"/>
      <c r="Y61" s="406"/>
      <c r="Z61" s="406"/>
    </row>
    <row r="62" spans="1:26" ht="29.25" customHeight="1">
      <c r="A62" s="406"/>
      <c r="B62" s="454">
        <v>45010</v>
      </c>
      <c r="C62" s="455" t="s">
        <v>312</v>
      </c>
      <c r="D62" s="455"/>
      <c r="E62" s="437">
        <v>200000</v>
      </c>
      <c r="F62" s="425"/>
      <c r="G62" s="425"/>
      <c r="H62" s="425"/>
      <c r="I62" s="425"/>
      <c r="J62" s="425"/>
      <c r="K62" s="446"/>
      <c r="L62" s="446"/>
      <c r="M62" s="446"/>
      <c r="N62" s="446"/>
      <c r="O62" s="446"/>
      <c r="P62" s="446"/>
      <c r="Q62" s="446"/>
      <c r="R62" s="446"/>
      <c r="S62" s="446"/>
      <c r="T62" s="406"/>
      <c r="U62" s="406"/>
      <c r="V62" s="406"/>
      <c r="W62" s="406"/>
      <c r="X62" s="406"/>
      <c r="Y62" s="406"/>
      <c r="Z62" s="406"/>
    </row>
    <row r="63" spans="1:26" ht="24.75" customHeight="1">
      <c r="A63" s="406"/>
      <c r="B63" s="434">
        <v>45010</v>
      </c>
      <c r="C63" s="524" t="s">
        <v>313</v>
      </c>
      <c r="D63" s="510"/>
      <c r="E63" s="437"/>
      <c r="F63" s="425"/>
      <c r="G63" s="425"/>
      <c r="H63" s="425">
        <v>200000</v>
      </c>
      <c r="I63" s="425"/>
      <c r="J63" s="425"/>
      <c r="K63" s="446"/>
      <c r="L63" s="446"/>
      <c r="M63" s="446"/>
      <c r="N63" s="446"/>
      <c r="O63" s="446"/>
      <c r="P63" s="446"/>
      <c r="Q63" s="446"/>
      <c r="R63" s="446"/>
      <c r="S63" s="446"/>
      <c r="T63" s="406"/>
      <c r="U63" s="406"/>
      <c r="V63" s="406"/>
      <c r="W63" s="406"/>
      <c r="X63" s="406"/>
      <c r="Y63" s="406"/>
      <c r="Z63" s="406"/>
    </row>
    <row r="64" spans="1:26" ht="46.5" customHeight="1">
      <c r="A64" s="406"/>
      <c r="B64" s="454">
        <v>44995</v>
      </c>
      <c r="C64" s="548" t="s">
        <v>314</v>
      </c>
      <c r="D64" s="510"/>
      <c r="E64" s="430">
        <v>880000</v>
      </c>
      <c r="F64" s="431"/>
      <c r="G64" s="431"/>
      <c r="H64" s="431"/>
      <c r="I64" s="425"/>
      <c r="J64" s="425"/>
      <c r="K64" s="446"/>
      <c r="L64" s="446"/>
      <c r="M64" s="446"/>
      <c r="N64" s="446"/>
      <c r="O64" s="446"/>
      <c r="P64" s="446"/>
      <c r="Q64" s="446"/>
      <c r="R64" s="446"/>
      <c r="S64" s="446"/>
      <c r="T64" s="406"/>
      <c r="U64" s="406"/>
      <c r="V64" s="406"/>
      <c r="W64" s="406"/>
      <c r="X64" s="406"/>
      <c r="Y64" s="406"/>
      <c r="Z64" s="406"/>
    </row>
    <row r="65" spans="1:26" ht="77.25" customHeight="1">
      <c r="A65" s="406"/>
      <c r="B65" s="478">
        <v>44995</v>
      </c>
      <c r="C65" s="523" t="s">
        <v>315</v>
      </c>
      <c r="D65" s="510"/>
      <c r="E65" s="437"/>
      <c r="F65" s="425">
        <v>326000</v>
      </c>
      <c r="G65" s="425"/>
      <c r="H65" s="425"/>
      <c r="I65" s="425">
        <v>554000</v>
      </c>
      <c r="J65" s="425"/>
      <c r="K65" s="446"/>
      <c r="L65" s="446"/>
      <c r="M65" s="446"/>
      <c r="N65" s="446"/>
      <c r="O65" s="446"/>
      <c r="P65" s="446"/>
      <c r="Q65" s="446"/>
      <c r="R65" s="446"/>
      <c r="S65" s="446"/>
      <c r="T65" s="406"/>
      <c r="U65" s="406"/>
      <c r="V65" s="406"/>
      <c r="W65" s="406"/>
      <c r="X65" s="406"/>
      <c r="Y65" s="406"/>
      <c r="Z65" s="406"/>
    </row>
    <row r="66" spans="1:26" ht="73.5" customHeight="1">
      <c r="A66" s="406"/>
      <c r="B66" s="479"/>
      <c r="C66" s="451"/>
      <c r="D66" s="451"/>
      <c r="E66" s="447"/>
      <c r="F66" s="448"/>
      <c r="G66" s="448"/>
      <c r="H66" s="448"/>
      <c r="I66" s="429"/>
      <c r="J66" s="425"/>
      <c r="K66" s="406"/>
      <c r="L66" s="446"/>
      <c r="M66" s="446"/>
      <c r="N66" s="446"/>
      <c r="O66" s="446"/>
      <c r="P66" s="446"/>
      <c r="Q66" s="446"/>
      <c r="R66" s="446"/>
      <c r="S66" s="446"/>
      <c r="T66" s="406"/>
      <c r="U66" s="406"/>
      <c r="V66" s="406"/>
      <c r="W66" s="406"/>
      <c r="X66" s="406"/>
      <c r="Y66" s="406"/>
      <c r="Z66" s="406"/>
    </row>
    <row r="67" spans="1:26" ht="54.75" customHeight="1">
      <c r="A67" s="406"/>
      <c r="B67" s="434">
        <v>45022</v>
      </c>
      <c r="C67" s="523" t="s">
        <v>316</v>
      </c>
      <c r="D67" s="510"/>
      <c r="E67" s="437"/>
      <c r="F67" s="426"/>
      <c r="G67" s="426"/>
      <c r="H67" s="425">
        <v>230000</v>
      </c>
      <c r="I67" s="426"/>
      <c r="J67" s="470"/>
      <c r="K67" s="406"/>
      <c r="L67" s="446"/>
      <c r="M67" s="446"/>
      <c r="N67" s="446"/>
      <c r="O67" s="446"/>
      <c r="P67" s="446"/>
      <c r="Q67" s="446"/>
      <c r="R67" s="446"/>
      <c r="S67" s="446"/>
      <c r="T67" s="406"/>
      <c r="U67" s="406"/>
      <c r="V67" s="406"/>
      <c r="W67" s="406"/>
      <c r="X67" s="406"/>
      <c r="Y67" s="406"/>
      <c r="Z67" s="406"/>
    </row>
    <row r="68" spans="1:26" ht="24.75" customHeight="1">
      <c r="A68" s="446"/>
      <c r="B68" s="454">
        <v>45031</v>
      </c>
      <c r="C68" s="455" t="s">
        <v>317</v>
      </c>
      <c r="D68" s="455"/>
      <c r="E68" s="425">
        <v>490000</v>
      </c>
      <c r="F68" s="425"/>
      <c r="G68" s="425"/>
      <c r="H68" s="425"/>
      <c r="I68" s="425"/>
      <c r="J68" s="425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</row>
    <row r="69" spans="1:26" ht="76.5" customHeight="1">
      <c r="A69" s="446"/>
      <c r="B69" s="478">
        <v>45031</v>
      </c>
      <c r="C69" s="523" t="s">
        <v>318</v>
      </c>
      <c r="D69" s="510"/>
      <c r="E69" s="437"/>
      <c r="F69" s="425">
        <v>140000</v>
      </c>
      <c r="G69" s="425"/>
      <c r="H69" s="425"/>
      <c r="I69" s="425">
        <v>309000</v>
      </c>
      <c r="J69" s="425">
        <v>41000</v>
      </c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</row>
    <row r="70" spans="1:26" ht="24.75" customHeight="1">
      <c r="A70" s="446"/>
      <c r="B70" s="454">
        <v>45041</v>
      </c>
      <c r="C70" s="480" t="s">
        <v>319</v>
      </c>
      <c r="D70" s="481"/>
      <c r="E70" s="430">
        <v>1400000</v>
      </c>
      <c r="F70" s="425"/>
      <c r="G70" s="425"/>
      <c r="H70" s="425"/>
      <c r="I70" s="425"/>
      <c r="J70" s="425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</row>
    <row r="71" spans="1:26" ht="24.75" customHeight="1">
      <c r="A71" s="446"/>
      <c r="B71" s="427">
        <v>45002</v>
      </c>
      <c r="C71" s="523" t="s">
        <v>320</v>
      </c>
      <c r="D71" s="510"/>
      <c r="E71" s="437"/>
      <c r="F71" s="425"/>
      <c r="G71" s="425"/>
      <c r="H71" s="425"/>
      <c r="I71" s="425">
        <v>150000</v>
      </c>
      <c r="J71" s="425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</row>
    <row r="72" spans="1:26" ht="24.75" customHeight="1">
      <c r="A72" s="446"/>
      <c r="B72" s="427">
        <v>45029</v>
      </c>
      <c r="C72" s="440" t="s">
        <v>321</v>
      </c>
      <c r="D72" s="440"/>
      <c r="E72" s="437"/>
      <c r="F72" s="425"/>
      <c r="G72" s="425">
        <v>20000</v>
      </c>
      <c r="H72" s="425"/>
      <c r="I72" s="425"/>
      <c r="J72" s="425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</row>
    <row r="73" spans="1:26" ht="49.5" customHeight="1">
      <c r="A73" s="446"/>
      <c r="B73" s="427">
        <v>45034</v>
      </c>
      <c r="C73" s="523" t="s">
        <v>322</v>
      </c>
      <c r="D73" s="510"/>
      <c r="E73" s="437"/>
      <c r="F73" s="425"/>
      <c r="G73" s="425">
        <v>350000</v>
      </c>
      <c r="H73" s="425"/>
      <c r="I73" s="425"/>
      <c r="J73" s="425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</row>
    <row r="74" spans="1:26" ht="24.75" customHeight="1">
      <c r="A74" s="446"/>
      <c r="B74" s="427">
        <v>45034</v>
      </c>
      <c r="C74" s="523" t="s">
        <v>323</v>
      </c>
      <c r="D74" s="510"/>
      <c r="E74" s="443"/>
      <c r="F74" s="425"/>
      <c r="G74" s="425"/>
      <c r="H74" s="425">
        <v>250000</v>
      </c>
      <c r="I74" s="425"/>
      <c r="J74" s="425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</row>
    <row r="75" spans="1:26" ht="24.75" customHeight="1">
      <c r="A75" s="446"/>
      <c r="B75" s="427">
        <v>45035</v>
      </c>
      <c r="C75" s="523" t="s">
        <v>324</v>
      </c>
      <c r="D75" s="510"/>
      <c r="E75" s="437"/>
      <c r="F75" s="425"/>
      <c r="G75" s="425"/>
      <c r="H75" s="425"/>
      <c r="I75" s="425">
        <v>128000</v>
      </c>
      <c r="J75" s="425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</row>
    <row r="76" spans="1:26" ht="24.75" customHeight="1">
      <c r="A76" s="446"/>
      <c r="B76" s="427">
        <v>45035</v>
      </c>
      <c r="C76" s="440" t="s">
        <v>325</v>
      </c>
      <c r="D76" s="440"/>
      <c r="E76" s="437"/>
      <c r="F76" s="425"/>
      <c r="G76" s="425"/>
      <c r="H76" s="425">
        <v>65000</v>
      </c>
      <c r="I76" s="425"/>
      <c r="J76" s="425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</row>
    <row r="77" spans="1:26" ht="24.75" customHeight="1">
      <c r="A77" s="446"/>
      <c r="B77" s="427">
        <v>45035</v>
      </c>
      <c r="C77" s="482" t="s">
        <v>326</v>
      </c>
      <c r="D77" s="425"/>
      <c r="E77" s="437"/>
      <c r="F77" s="425"/>
      <c r="G77" s="425"/>
      <c r="H77" s="425">
        <v>15000</v>
      </c>
      <c r="I77" s="425"/>
      <c r="J77" s="425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</row>
    <row r="78" spans="1:26" ht="24.75" customHeight="1">
      <c r="A78" s="446"/>
      <c r="B78" s="427">
        <v>45035</v>
      </c>
      <c r="C78" s="482" t="s">
        <v>327</v>
      </c>
      <c r="D78" s="425"/>
      <c r="E78" s="437"/>
      <c r="F78" s="425"/>
      <c r="G78" s="425"/>
      <c r="H78" s="425">
        <v>20000</v>
      </c>
      <c r="I78" s="425"/>
      <c r="J78" s="425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</row>
    <row r="79" spans="1:26" ht="24.75" customHeight="1">
      <c r="A79" s="446"/>
      <c r="B79" s="427">
        <v>45036</v>
      </c>
      <c r="C79" s="440" t="s">
        <v>328</v>
      </c>
      <c r="D79" s="440"/>
      <c r="E79" s="437"/>
      <c r="F79" s="425"/>
      <c r="G79" s="425"/>
      <c r="H79" s="425">
        <v>42000</v>
      </c>
      <c r="I79" s="425"/>
      <c r="J79" s="425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</row>
    <row r="80" spans="1:26" ht="24.75" customHeight="1">
      <c r="A80" s="446"/>
      <c r="B80" s="427">
        <v>45036</v>
      </c>
      <c r="C80" s="440" t="s">
        <v>329</v>
      </c>
      <c r="D80" s="440"/>
      <c r="E80" s="437"/>
      <c r="F80" s="425"/>
      <c r="G80" s="425"/>
      <c r="H80" s="425"/>
      <c r="I80" s="425">
        <v>3500</v>
      </c>
      <c r="J80" s="425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</row>
    <row r="81" spans="1:26" ht="24" customHeight="1">
      <c r="A81" s="446"/>
      <c r="B81" s="427">
        <v>45037</v>
      </c>
      <c r="C81" s="440" t="s">
        <v>330</v>
      </c>
      <c r="D81" s="440"/>
      <c r="E81" s="425"/>
      <c r="F81" s="425"/>
      <c r="G81" s="425"/>
      <c r="H81" s="425"/>
      <c r="I81" s="425"/>
      <c r="J81" s="425">
        <v>376500</v>
      </c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</row>
    <row r="82" spans="1:26" ht="24.75" customHeight="1">
      <c r="A82" s="446"/>
      <c r="B82" s="427">
        <v>45040</v>
      </c>
      <c r="C82" s="524" t="s">
        <v>331</v>
      </c>
      <c r="D82" s="510"/>
      <c r="E82" s="443"/>
      <c r="F82" s="425"/>
      <c r="G82" s="425"/>
      <c r="H82" s="425">
        <v>80000</v>
      </c>
      <c r="I82" s="425"/>
      <c r="J82" s="425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</row>
    <row r="83" spans="1:26" ht="51.75" customHeight="1">
      <c r="A83" s="446"/>
      <c r="B83" s="450"/>
      <c r="C83" s="483"/>
      <c r="D83" s="483"/>
      <c r="E83" s="452"/>
      <c r="F83" s="448"/>
      <c r="G83" s="448"/>
      <c r="H83" s="448"/>
      <c r="I83" s="448"/>
      <c r="J83" s="448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</row>
    <row r="84" spans="1:26" ht="24.75" customHeight="1">
      <c r="A84" s="446"/>
      <c r="B84" s="454">
        <v>45043</v>
      </c>
      <c r="C84" s="455" t="s">
        <v>332</v>
      </c>
      <c r="D84" s="455"/>
      <c r="E84" s="443">
        <v>390000</v>
      </c>
      <c r="F84" s="425"/>
      <c r="G84" s="425"/>
      <c r="H84" s="425"/>
      <c r="I84" s="425"/>
      <c r="J84" s="425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</row>
    <row r="85" spans="1:26" ht="24.75" customHeight="1">
      <c r="A85" s="446"/>
      <c r="B85" s="427"/>
      <c r="C85" s="482" t="s">
        <v>333</v>
      </c>
      <c r="D85" s="482"/>
      <c r="E85" s="443"/>
      <c r="F85" s="425">
        <v>350000</v>
      </c>
      <c r="G85" s="425"/>
      <c r="H85" s="425"/>
      <c r="I85" s="425"/>
      <c r="J85" s="425">
        <v>40000</v>
      </c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</row>
    <row r="86" spans="1:26" ht="24.75" customHeight="1">
      <c r="A86" s="446"/>
      <c r="B86" s="450"/>
      <c r="C86" s="483"/>
      <c r="D86" s="483"/>
      <c r="E86" s="452"/>
      <c r="F86" s="448"/>
      <c r="G86" s="448"/>
      <c r="H86" s="448"/>
      <c r="I86" s="448"/>
      <c r="J86" s="448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</row>
    <row r="87" spans="1:26" ht="24.75" customHeight="1">
      <c r="A87" s="446"/>
      <c r="B87" s="450"/>
      <c r="C87" s="483"/>
      <c r="D87" s="483"/>
      <c r="E87" s="452"/>
      <c r="F87" s="448"/>
      <c r="G87" s="448"/>
      <c r="H87" s="448"/>
      <c r="I87" s="448"/>
      <c r="J87" s="448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</row>
    <row r="88" spans="1:26" ht="24.75" customHeight="1">
      <c r="A88" s="446"/>
      <c r="B88" s="446"/>
      <c r="C88" s="446"/>
      <c r="D88" s="446"/>
      <c r="E88" s="448"/>
      <c r="F88" s="448"/>
      <c r="G88" s="448"/>
      <c r="H88" s="448"/>
      <c r="I88" s="448"/>
      <c r="J88" s="448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</row>
    <row r="89" spans="1:26" ht="24.75" customHeight="1">
      <c r="A89" s="446"/>
      <c r="B89" s="446"/>
      <c r="C89" s="484" t="s">
        <v>334</v>
      </c>
      <c r="D89" s="440"/>
      <c r="E89" s="448"/>
      <c r="F89" s="448"/>
      <c r="G89" s="448"/>
      <c r="H89" s="448"/>
      <c r="I89" s="448"/>
      <c r="J89" s="448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</row>
    <row r="90" spans="1:26" ht="24.75" customHeight="1">
      <c r="A90" s="446"/>
      <c r="B90" s="446"/>
      <c r="C90" s="484" t="s">
        <v>335</v>
      </c>
      <c r="D90" s="440"/>
      <c r="E90" s="448"/>
      <c r="F90" s="448"/>
      <c r="G90" s="448"/>
      <c r="H90" s="448"/>
      <c r="I90" s="448"/>
      <c r="J90" s="448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</row>
    <row r="91" spans="1:26" ht="24.75" customHeight="1">
      <c r="A91" s="446"/>
      <c r="B91" s="446"/>
      <c r="C91" s="446"/>
      <c r="D91" s="446"/>
      <c r="E91" s="448"/>
      <c r="F91" s="448"/>
      <c r="G91" s="448"/>
      <c r="H91" s="448"/>
      <c r="I91" s="448"/>
      <c r="J91" s="448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</row>
    <row r="92" spans="1:26" ht="24.75" customHeight="1">
      <c r="A92" s="446"/>
      <c r="B92" s="446"/>
      <c r="C92" s="446"/>
      <c r="D92" s="446"/>
      <c r="E92" s="446"/>
      <c r="F92" s="446"/>
      <c r="G92" s="446"/>
      <c r="H92" s="446"/>
      <c r="I92" s="446"/>
      <c r="J92" s="448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</row>
    <row r="93" spans="1:26" ht="24.75" customHeight="1">
      <c r="A93" s="446"/>
      <c r="B93" s="446"/>
      <c r="C93" s="446"/>
      <c r="D93" s="446"/>
      <c r="E93" s="446"/>
      <c r="F93" s="446"/>
      <c r="G93" s="446"/>
      <c r="H93" s="446"/>
      <c r="I93" s="446"/>
      <c r="J93" s="448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</row>
    <row r="94" spans="1:26" ht="24.75" customHeight="1">
      <c r="A94" s="446"/>
      <c r="B94" s="446"/>
      <c r="C94" s="484" t="s">
        <v>92</v>
      </c>
      <c r="D94" s="484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</row>
    <row r="95" spans="1:26" ht="24.75" customHeight="1">
      <c r="A95" s="446"/>
      <c r="B95" s="446"/>
      <c r="C95" s="484" t="s">
        <v>336</v>
      </c>
      <c r="D95" s="484"/>
      <c r="E95" s="446"/>
      <c r="F95" s="446"/>
      <c r="G95" s="446"/>
      <c r="H95" s="446"/>
      <c r="I95" s="448"/>
      <c r="J95" s="448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</row>
    <row r="96" spans="1:26" ht="24.75" customHeight="1">
      <c r="A96" s="446"/>
      <c r="B96" s="450"/>
      <c r="C96" s="484" t="s">
        <v>337</v>
      </c>
      <c r="D96" s="484"/>
      <c r="E96" s="446"/>
      <c r="F96" s="446"/>
      <c r="G96" s="446"/>
      <c r="H96" s="446"/>
      <c r="I96" s="448"/>
      <c r="J96" s="448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</row>
    <row r="97" spans="1:26" ht="24.75" customHeight="1">
      <c r="A97" s="446"/>
      <c r="B97" s="450"/>
      <c r="C97" s="525"/>
      <c r="D97" s="510"/>
      <c r="E97" s="446"/>
      <c r="F97" s="446"/>
      <c r="G97" s="446"/>
      <c r="H97" s="446"/>
      <c r="I97" s="448"/>
      <c r="J97" s="448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</row>
    <row r="98" spans="1:26" ht="24.75" customHeight="1">
      <c r="A98" s="446"/>
      <c r="B98" s="450"/>
      <c r="C98" s="485"/>
      <c r="D98" s="486"/>
      <c r="E98" s="447"/>
      <c r="F98" s="448"/>
      <c r="G98" s="448"/>
      <c r="H98" s="448"/>
      <c r="I98" s="448"/>
      <c r="J98" s="448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</row>
    <row r="99" spans="1:26" ht="24.75" customHeight="1">
      <c r="A99" s="446"/>
      <c r="B99" s="450"/>
      <c r="C99" s="485"/>
      <c r="D99" s="486"/>
      <c r="E99" s="447"/>
      <c r="F99" s="448"/>
      <c r="G99" s="448"/>
      <c r="H99" s="448"/>
      <c r="I99" s="448"/>
      <c r="J99" s="448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</row>
    <row r="100" spans="1:26" ht="51" customHeight="1">
      <c r="A100" s="446"/>
      <c r="B100" s="450"/>
      <c r="C100" s="472"/>
      <c r="D100" s="448"/>
      <c r="E100" s="526" t="s">
        <v>338</v>
      </c>
      <c r="F100" s="527"/>
      <c r="G100" s="527"/>
      <c r="H100" s="527"/>
      <c r="I100" s="527"/>
      <c r="J100" s="527"/>
      <c r="K100" s="527"/>
      <c r="L100" s="527"/>
      <c r="M100" s="510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</row>
    <row r="101" spans="1:26" ht="24.75" customHeight="1">
      <c r="A101" s="446"/>
      <c r="B101" s="450"/>
      <c r="C101" s="472"/>
      <c r="D101" s="448"/>
      <c r="E101" s="528" t="s">
        <v>339</v>
      </c>
      <c r="F101" s="529" t="s">
        <v>340</v>
      </c>
      <c r="G101" s="487" t="s">
        <v>341</v>
      </c>
      <c r="H101" s="488"/>
      <c r="I101" s="517" t="s">
        <v>2</v>
      </c>
      <c r="J101" s="517" t="s">
        <v>3</v>
      </c>
      <c r="K101" s="520" t="s">
        <v>342</v>
      </c>
      <c r="L101" s="520" t="s">
        <v>343</v>
      </c>
      <c r="M101" s="520" t="s">
        <v>344</v>
      </c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</row>
    <row r="102" spans="1:26" ht="24.75" customHeight="1">
      <c r="A102" s="446"/>
      <c r="B102" s="450"/>
      <c r="C102" s="472"/>
      <c r="D102" s="448"/>
      <c r="E102" s="518"/>
      <c r="F102" s="518"/>
      <c r="G102" s="489">
        <v>0.1</v>
      </c>
      <c r="H102" s="488"/>
      <c r="I102" s="518"/>
      <c r="J102" s="518"/>
      <c r="K102" s="518"/>
      <c r="L102" s="518"/>
      <c r="M102" s="518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</row>
    <row r="103" spans="1:26" ht="24.75" customHeight="1">
      <c r="A103" s="446"/>
      <c r="B103" s="446"/>
      <c r="C103" s="446"/>
      <c r="D103" s="446"/>
      <c r="E103" s="519"/>
      <c r="F103" s="519"/>
      <c r="G103" s="490" t="e">
        <f>SUM('[1]ADMINISTRACION DETALLADA'!#REF!)</f>
        <v>#REF!</v>
      </c>
      <c r="H103" s="406"/>
      <c r="I103" s="519"/>
      <c r="J103" s="519"/>
      <c r="K103" s="519"/>
      <c r="L103" s="519"/>
      <c r="M103" s="519"/>
      <c r="N103" s="446"/>
      <c r="O103" s="446"/>
      <c r="P103" s="446"/>
      <c r="Q103" s="446"/>
      <c r="R103" s="446"/>
      <c r="S103" s="446"/>
      <c r="T103" s="446"/>
      <c r="U103" s="446"/>
      <c r="V103" s="446"/>
      <c r="W103" s="406"/>
      <c r="X103" s="446"/>
      <c r="Y103" s="446"/>
      <c r="Z103" s="446"/>
    </row>
    <row r="104" spans="1:26" ht="53.25" customHeight="1">
      <c r="A104" s="446"/>
      <c r="B104" s="446"/>
      <c r="C104" s="446"/>
      <c r="D104" s="446"/>
      <c r="E104" s="530" t="e">
        <f>SUM(F105:F116)</f>
        <v>#REF!</v>
      </c>
      <c r="F104" s="510"/>
      <c r="G104" s="425"/>
      <c r="H104" s="446"/>
      <c r="I104" s="491"/>
      <c r="J104" s="491"/>
      <c r="K104" s="492" t="e">
        <f>SUM('[1]ADMINISTRACION DETALLADA'!#REF!)</f>
        <v>#REF!</v>
      </c>
      <c r="L104" s="493" t="e">
        <f>SUM('[1]ADMINISTRACION DETALLADA'!#REF!)</f>
        <v>#REF!</v>
      </c>
      <c r="M104" s="493" t="e">
        <f>SUM(K104-L104)</f>
        <v>#REF!</v>
      </c>
      <c r="N104" s="446"/>
      <c r="O104" s="446"/>
      <c r="P104" s="446"/>
      <c r="Q104" s="446"/>
      <c r="R104" s="446"/>
      <c r="S104" s="446"/>
      <c r="T104" s="446"/>
      <c r="U104" s="446"/>
      <c r="V104" s="446"/>
      <c r="W104" s="406"/>
      <c r="X104" s="446"/>
      <c r="Y104" s="446"/>
      <c r="Z104" s="446"/>
    </row>
    <row r="105" spans="1:26" ht="31.5" customHeight="1">
      <c r="A105" s="446"/>
      <c r="B105" s="446"/>
      <c r="C105" s="446"/>
      <c r="D105" s="446"/>
      <c r="E105" s="494" t="s">
        <v>345</v>
      </c>
      <c r="F105" s="494" t="e">
        <f>SUM('[1]ADMINISTRACION DETALLADA'!#REF!)</f>
        <v>#REF!</v>
      </c>
      <c r="G105" s="426" t="e">
        <f t="shared" ref="G105:G116" si="1">SUM(F105*10%)</f>
        <v>#REF!</v>
      </c>
      <c r="H105" s="406"/>
      <c r="I105" s="426"/>
      <c r="J105" s="426"/>
      <c r="K105" s="440"/>
      <c r="L105" s="440"/>
      <c r="M105" s="440"/>
      <c r="N105" s="446"/>
      <c r="O105" s="446"/>
      <c r="P105" s="446"/>
      <c r="Q105" s="446"/>
      <c r="R105" s="446"/>
      <c r="S105" s="446"/>
      <c r="T105" s="446"/>
      <c r="U105" s="446"/>
      <c r="V105" s="446"/>
      <c r="W105" s="406"/>
      <c r="X105" s="446"/>
      <c r="Y105" s="446"/>
      <c r="Z105" s="446"/>
    </row>
    <row r="106" spans="1:26" ht="24.75" customHeight="1">
      <c r="A106" s="446"/>
      <c r="B106" s="446"/>
      <c r="C106" s="446"/>
      <c r="D106" s="446"/>
      <c r="E106" s="495" t="s">
        <v>346</v>
      </c>
      <c r="F106" s="494" t="e">
        <f>SUM('[1]ADMINISTRACION DETALLADA'!#REF!)</f>
        <v>#REF!</v>
      </c>
      <c r="G106" s="496" t="e">
        <f t="shared" si="1"/>
        <v>#REF!</v>
      </c>
      <c r="H106" s="406"/>
      <c r="I106" s="422"/>
      <c r="J106" s="422"/>
      <c r="K106" s="426"/>
      <c r="L106" s="425"/>
      <c r="M106" s="425"/>
      <c r="N106" s="446"/>
      <c r="O106" s="446"/>
      <c r="P106" s="446"/>
      <c r="Q106" s="446"/>
      <c r="R106" s="446"/>
      <c r="S106" s="446"/>
      <c r="T106" s="446"/>
      <c r="U106" s="446"/>
      <c r="V106" s="446"/>
      <c r="W106" s="406"/>
      <c r="X106" s="446"/>
      <c r="Y106" s="446"/>
      <c r="Z106" s="446"/>
    </row>
    <row r="107" spans="1:26" ht="81" customHeight="1">
      <c r="A107" s="446"/>
      <c r="B107" s="446"/>
      <c r="C107" s="446"/>
      <c r="D107" s="446"/>
      <c r="E107" s="497" t="s">
        <v>347</v>
      </c>
      <c r="F107" s="494" t="e">
        <f>SUM('[1]ADMINISTRACION DETALLADA'!#REF!)</f>
        <v>#REF!</v>
      </c>
      <c r="G107" s="496" t="e">
        <f t="shared" si="1"/>
        <v>#REF!</v>
      </c>
      <c r="H107" s="429"/>
      <c r="I107" s="498">
        <v>44995</v>
      </c>
      <c r="J107" s="499" t="s">
        <v>348</v>
      </c>
      <c r="K107" s="426"/>
      <c r="L107" s="425">
        <v>880000</v>
      </c>
      <c r="M107" s="425"/>
      <c r="N107" s="446"/>
      <c r="O107" s="446"/>
      <c r="P107" s="446"/>
      <c r="Q107" s="446"/>
      <c r="R107" s="446"/>
      <c r="S107" s="446"/>
      <c r="T107" s="446"/>
      <c r="U107" s="446"/>
      <c r="V107" s="446"/>
      <c r="W107" s="406"/>
      <c r="X107" s="446"/>
      <c r="Y107" s="446"/>
      <c r="Z107" s="446"/>
    </row>
    <row r="108" spans="1:26" ht="56.25" customHeight="1">
      <c r="A108" s="406"/>
      <c r="B108" s="475"/>
      <c r="C108" s="406"/>
      <c r="D108" s="406"/>
      <c r="E108" s="495" t="s">
        <v>349</v>
      </c>
      <c r="F108" s="494" t="e">
        <f>SUM('[1]ADMINISTRACION DETALLADA'!#REF!)</f>
        <v>#REF!</v>
      </c>
      <c r="G108" s="496" t="e">
        <f t="shared" si="1"/>
        <v>#REF!</v>
      </c>
      <c r="H108" s="406"/>
      <c r="I108" s="498">
        <v>45031</v>
      </c>
      <c r="J108" s="500" t="s">
        <v>350</v>
      </c>
      <c r="K108" s="426"/>
      <c r="L108" s="425">
        <v>490000</v>
      </c>
      <c r="M108" s="425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</row>
    <row r="109" spans="1:26" ht="71.25" customHeight="1">
      <c r="A109" s="406"/>
      <c r="B109" s="475"/>
      <c r="C109" s="406"/>
      <c r="D109" s="406"/>
      <c r="E109" s="497" t="s">
        <v>351</v>
      </c>
      <c r="F109" s="494" t="e">
        <f>SUM('[1]ADMINISTRACION DETALLADA'!#REF!)</f>
        <v>#REF!</v>
      </c>
      <c r="G109" s="496" t="e">
        <f t="shared" si="1"/>
        <v>#REF!</v>
      </c>
      <c r="H109" s="406"/>
      <c r="I109" s="498"/>
      <c r="J109" s="500"/>
      <c r="K109" s="426"/>
      <c r="L109" s="425"/>
      <c r="M109" s="425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</row>
    <row r="110" spans="1:26" ht="24.75" customHeight="1">
      <c r="A110" s="406"/>
      <c r="B110" s="475"/>
      <c r="C110" s="406"/>
      <c r="D110" s="406"/>
      <c r="E110" s="497" t="s">
        <v>352</v>
      </c>
      <c r="F110" s="494" t="e">
        <f>SUM('[1]ADMINISTRACION DETALLADA'!#REF!)</f>
        <v>#REF!</v>
      </c>
      <c r="G110" s="496" t="e">
        <f t="shared" si="1"/>
        <v>#REF!</v>
      </c>
      <c r="H110" s="406"/>
      <c r="I110" s="470"/>
      <c r="J110" s="426"/>
      <c r="K110" s="426"/>
      <c r="L110" s="425"/>
      <c r="M110" s="425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</row>
    <row r="111" spans="1:26" ht="24.75" customHeight="1">
      <c r="A111" s="406"/>
      <c r="B111" s="475"/>
      <c r="C111" s="406"/>
      <c r="D111" s="406"/>
      <c r="E111" s="497" t="s">
        <v>353</v>
      </c>
      <c r="F111" s="494" t="e">
        <f>SUM('[1]ADMINISTRACION DETALLADA'!#REF!)</f>
        <v>#REF!</v>
      </c>
      <c r="G111" s="496" t="e">
        <f t="shared" si="1"/>
        <v>#REF!</v>
      </c>
      <c r="H111" s="406"/>
      <c r="I111" s="470"/>
      <c r="J111" s="426"/>
      <c r="K111" s="426"/>
      <c r="L111" s="425"/>
      <c r="M111" s="425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</row>
    <row r="112" spans="1:26" ht="24.75" customHeight="1">
      <c r="A112" s="406"/>
      <c r="B112" s="475"/>
      <c r="C112" s="406"/>
      <c r="D112" s="406"/>
      <c r="E112" s="497" t="s">
        <v>354</v>
      </c>
      <c r="F112" s="494" t="e">
        <f>SUM('[1]ADMINISTRACION DETALLADA'!#REF!)</f>
        <v>#REF!</v>
      </c>
      <c r="G112" s="496" t="e">
        <f t="shared" si="1"/>
        <v>#REF!</v>
      </c>
      <c r="H112" s="406"/>
      <c r="I112" s="470"/>
      <c r="J112" s="426"/>
      <c r="K112" s="426"/>
      <c r="L112" s="425"/>
      <c r="M112" s="425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</row>
    <row r="113" spans="1:26" ht="24.75" customHeight="1">
      <c r="A113" s="406"/>
      <c r="B113" s="475"/>
      <c r="C113" s="406"/>
      <c r="D113" s="406"/>
      <c r="E113" s="497" t="s">
        <v>355</v>
      </c>
      <c r="F113" s="494" t="e">
        <f>SUM('[1]ADMINISTRACION DETALLADA'!#REF!)</f>
        <v>#REF!</v>
      </c>
      <c r="G113" s="496" t="e">
        <f t="shared" si="1"/>
        <v>#REF!</v>
      </c>
      <c r="H113" s="406"/>
      <c r="I113" s="470"/>
      <c r="J113" s="426"/>
      <c r="K113" s="426"/>
      <c r="L113" s="425"/>
      <c r="M113" s="425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</row>
    <row r="114" spans="1:26" ht="24.75" customHeight="1">
      <c r="A114" s="406"/>
      <c r="B114" s="475"/>
      <c r="C114" s="406"/>
      <c r="D114" s="406"/>
      <c r="E114" s="497" t="s">
        <v>356</v>
      </c>
      <c r="F114" s="494" t="e">
        <f>SUM('[1]ADMINISTRACION DETALLADA'!#REF!)</f>
        <v>#REF!</v>
      </c>
      <c r="G114" s="496" t="e">
        <f t="shared" si="1"/>
        <v>#REF!</v>
      </c>
      <c r="H114" s="406"/>
      <c r="I114" s="470"/>
      <c r="J114" s="426"/>
      <c r="K114" s="426"/>
      <c r="L114" s="425"/>
      <c r="M114" s="425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</row>
    <row r="115" spans="1:26" ht="24.75" customHeight="1">
      <c r="A115" s="406"/>
      <c r="B115" s="475"/>
      <c r="C115" s="406"/>
      <c r="D115" s="406"/>
      <c r="E115" s="497" t="s">
        <v>357</v>
      </c>
      <c r="F115" s="494" t="e">
        <f>SUM('[1]ADMINISTRACION DETALLADA'!#REF!)</f>
        <v>#REF!</v>
      </c>
      <c r="G115" s="496" t="e">
        <f t="shared" si="1"/>
        <v>#REF!</v>
      </c>
      <c r="H115" s="406"/>
      <c r="I115" s="470"/>
      <c r="J115" s="426"/>
      <c r="K115" s="426"/>
      <c r="L115" s="425"/>
      <c r="M115" s="425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</row>
    <row r="116" spans="1:26" ht="24.75" customHeight="1">
      <c r="A116" s="406"/>
      <c r="B116" s="475"/>
      <c r="C116" s="406"/>
      <c r="D116" s="406"/>
      <c r="E116" s="497" t="s">
        <v>358</v>
      </c>
      <c r="F116" s="494" t="e">
        <f>SUM('[1]ADMINISTRACION DETALLADA'!#REF!)</f>
        <v>#REF!</v>
      </c>
      <c r="G116" s="496" t="e">
        <f t="shared" si="1"/>
        <v>#REF!</v>
      </c>
      <c r="H116" s="406"/>
      <c r="I116" s="470"/>
      <c r="J116" s="426"/>
      <c r="K116" s="426"/>
      <c r="L116" s="425"/>
      <c r="M116" s="425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</row>
    <row r="117" spans="1:26" ht="24.75" customHeight="1">
      <c r="A117" s="406"/>
      <c r="B117" s="475"/>
      <c r="C117" s="406"/>
      <c r="D117" s="406"/>
      <c r="E117" s="497"/>
      <c r="F117" s="494"/>
      <c r="G117" s="501"/>
      <c r="H117" s="488"/>
      <c r="I117" s="470"/>
      <c r="J117" s="426"/>
      <c r="K117" s="426"/>
      <c r="L117" s="425"/>
      <c r="M117" s="425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</row>
    <row r="118" spans="1:26" ht="24.75" customHeight="1">
      <c r="A118" s="406"/>
      <c r="B118" s="475"/>
      <c r="C118" s="406"/>
      <c r="D118" s="406"/>
      <c r="E118" s="502"/>
      <c r="F118" s="503"/>
      <c r="G118" s="504"/>
      <c r="H118" s="488"/>
      <c r="I118" s="470"/>
      <c r="J118" s="426"/>
      <c r="K118" s="425"/>
      <c r="L118" s="440"/>
      <c r="M118" s="440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</row>
    <row r="119" spans="1:26" ht="24.75" customHeight="1">
      <c r="A119" s="406"/>
      <c r="B119" s="475"/>
      <c r="C119" s="406"/>
      <c r="D119" s="406"/>
      <c r="E119" s="479"/>
      <c r="F119" s="446"/>
      <c r="G119" s="446"/>
      <c r="H119" s="468"/>
      <c r="I119" s="446"/>
      <c r="J119" s="446"/>
      <c r="K119" s="446"/>
      <c r="L119" s="44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</row>
    <row r="120" spans="1:26" ht="24.75" customHeight="1">
      <c r="A120" s="406"/>
      <c r="B120" s="475"/>
      <c r="C120" s="406"/>
      <c r="D120" s="406"/>
      <c r="E120" s="505"/>
      <c r="F120" s="406"/>
      <c r="G120" s="406"/>
      <c r="H120" s="406"/>
      <c r="I120" s="446"/>
      <c r="J120" s="446"/>
      <c r="K120" s="472"/>
      <c r="L120" s="44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</row>
    <row r="121" spans="1:26" ht="24.75" customHeight="1">
      <c r="A121" s="406"/>
      <c r="B121" s="475"/>
      <c r="C121" s="406"/>
      <c r="D121" s="406"/>
      <c r="E121" s="505"/>
      <c r="F121" s="406"/>
      <c r="G121" s="406"/>
      <c r="H121" s="406"/>
      <c r="I121" s="472"/>
      <c r="J121" s="472"/>
      <c r="K121" s="472"/>
      <c r="L121" s="44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</row>
    <row r="122" spans="1:26" ht="24.75" customHeight="1">
      <c r="A122" s="406"/>
      <c r="B122" s="475"/>
      <c r="C122" s="406"/>
      <c r="D122" s="406"/>
      <c r="E122" s="505"/>
      <c r="F122" s="406"/>
      <c r="G122" s="406"/>
      <c r="H122" s="406"/>
      <c r="I122" s="448"/>
      <c r="J122" s="448"/>
      <c r="K122" s="472"/>
      <c r="L122" s="44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</row>
    <row r="123" spans="1:26" ht="24.75" customHeight="1">
      <c r="A123" s="406"/>
      <c r="B123" s="475"/>
      <c r="C123" s="406"/>
      <c r="D123" s="406"/>
      <c r="E123" s="505"/>
      <c r="F123" s="406"/>
      <c r="G123" s="406"/>
      <c r="H123" s="406"/>
      <c r="I123" s="446"/>
      <c r="J123" s="446"/>
      <c r="K123" s="472"/>
      <c r="L123" s="44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</row>
    <row r="124" spans="1:26" ht="24.75" customHeight="1">
      <c r="A124" s="406"/>
      <c r="B124" s="475"/>
      <c r="C124" s="406"/>
      <c r="D124" s="406"/>
      <c r="E124" s="505"/>
      <c r="F124" s="406"/>
      <c r="G124" s="406"/>
      <c r="H124" s="406"/>
      <c r="I124" s="446"/>
      <c r="J124" s="446"/>
      <c r="K124" s="472"/>
      <c r="L124" s="44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</row>
    <row r="125" spans="1:26" ht="24.75" customHeight="1">
      <c r="A125" s="406"/>
      <c r="B125" s="479"/>
      <c r="C125" s="446"/>
      <c r="D125" s="446"/>
      <c r="E125" s="468"/>
      <c r="F125" s="446"/>
      <c r="G125" s="446"/>
      <c r="H125" s="446"/>
      <c r="I125" s="446"/>
      <c r="J125" s="446"/>
      <c r="K125" s="472"/>
      <c r="L125" s="44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</row>
    <row r="126" spans="1:26" ht="24.75" customHeight="1">
      <c r="A126" s="406"/>
      <c r="B126" s="479"/>
      <c r="C126" s="446"/>
      <c r="D126" s="446"/>
      <c r="E126" s="468"/>
      <c r="F126" s="446"/>
      <c r="G126" s="446"/>
      <c r="H126" s="446"/>
      <c r="I126" s="446"/>
      <c r="J126" s="446"/>
      <c r="K126" s="472"/>
      <c r="L126" s="44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</row>
    <row r="127" spans="1:26" ht="24.75" customHeight="1">
      <c r="A127" s="406"/>
      <c r="B127" s="479"/>
      <c r="C127" s="521"/>
      <c r="D127" s="508"/>
      <c r="E127" s="468"/>
      <c r="F127" s="446"/>
      <c r="G127" s="446"/>
      <c r="H127" s="446"/>
      <c r="I127" s="446"/>
      <c r="J127" s="446"/>
      <c r="K127" s="472"/>
      <c r="L127" s="44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</row>
    <row r="128" spans="1:26" ht="24.75" customHeight="1">
      <c r="A128" s="406"/>
      <c r="B128" s="479"/>
      <c r="C128" s="521"/>
      <c r="D128" s="508"/>
      <c r="E128" s="468"/>
      <c r="F128" s="446"/>
      <c r="G128" s="446"/>
      <c r="H128" s="446"/>
      <c r="I128" s="446"/>
      <c r="J128" s="446"/>
      <c r="K128" s="472"/>
      <c r="L128" s="44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</row>
    <row r="129" spans="1:26" ht="24.75" customHeight="1">
      <c r="A129" s="406"/>
      <c r="B129" s="479"/>
      <c r="C129" s="521"/>
      <c r="D129" s="508"/>
      <c r="E129" s="468"/>
      <c r="F129" s="446"/>
      <c r="G129" s="446"/>
      <c r="H129" s="446"/>
      <c r="I129" s="446"/>
      <c r="J129" s="446"/>
      <c r="K129" s="472"/>
      <c r="L129" s="44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</row>
    <row r="130" spans="1:26" ht="24.75" customHeight="1">
      <c r="A130" s="406"/>
      <c r="B130" s="479"/>
      <c r="C130" s="521"/>
      <c r="D130" s="508"/>
      <c r="E130" s="468"/>
      <c r="F130" s="446"/>
      <c r="G130" s="446"/>
      <c r="H130" s="446"/>
      <c r="I130" s="446"/>
      <c r="J130" s="446"/>
      <c r="K130" s="472"/>
      <c r="L130" s="44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</row>
    <row r="131" spans="1:26" ht="24.75" customHeight="1">
      <c r="A131" s="406"/>
      <c r="B131" s="479"/>
      <c r="C131" s="472"/>
      <c r="D131" s="472"/>
      <c r="E131" s="468"/>
      <c r="F131" s="446"/>
      <c r="G131" s="446"/>
      <c r="H131" s="446"/>
      <c r="I131" s="446"/>
      <c r="J131" s="446"/>
      <c r="K131" s="472"/>
      <c r="L131" s="44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</row>
    <row r="132" spans="1:26" ht="24.75" customHeight="1">
      <c r="A132" s="406"/>
      <c r="B132" s="479"/>
      <c r="C132" s="446"/>
      <c r="D132" s="446"/>
      <c r="E132" s="468"/>
      <c r="F132" s="446"/>
      <c r="G132" s="446"/>
      <c r="H132" s="446"/>
      <c r="I132" s="446"/>
      <c r="J132" s="446"/>
      <c r="K132" s="472"/>
      <c r="L132" s="44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</row>
    <row r="133" spans="1:26" ht="24.75" customHeight="1">
      <c r="A133" s="406"/>
      <c r="B133" s="479"/>
      <c r="C133" s="446"/>
      <c r="D133" s="446"/>
      <c r="E133" s="468"/>
      <c r="F133" s="446"/>
      <c r="G133" s="446"/>
      <c r="H133" s="446"/>
      <c r="I133" s="446"/>
      <c r="J133" s="446"/>
      <c r="K133" s="472"/>
      <c r="L133" s="44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</row>
    <row r="134" spans="1:26" ht="24.75" customHeight="1">
      <c r="A134" s="406"/>
      <c r="B134" s="479"/>
      <c r="C134" s="446"/>
      <c r="D134" s="446"/>
      <c r="E134" s="468"/>
      <c r="F134" s="446"/>
      <c r="G134" s="446"/>
      <c r="H134" s="446"/>
      <c r="I134" s="446"/>
      <c r="J134" s="446"/>
      <c r="K134" s="472"/>
      <c r="L134" s="44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</row>
    <row r="135" spans="1:26" ht="24.75" customHeight="1">
      <c r="A135" s="406"/>
      <c r="B135" s="479"/>
      <c r="C135" s="446"/>
      <c r="D135" s="446"/>
      <c r="E135" s="468"/>
      <c r="F135" s="446"/>
      <c r="G135" s="446"/>
      <c r="H135" s="446"/>
      <c r="I135" s="446"/>
      <c r="J135" s="446"/>
      <c r="K135" s="472"/>
      <c r="L135" s="44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</row>
    <row r="136" spans="1:26" ht="24.75" customHeight="1">
      <c r="A136" s="406"/>
      <c r="B136" s="479"/>
      <c r="C136" s="446"/>
      <c r="D136" s="446"/>
      <c r="E136" s="468"/>
      <c r="F136" s="448"/>
      <c r="G136" s="446"/>
      <c r="H136" s="472"/>
      <c r="I136" s="472"/>
      <c r="J136" s="472"/>
      <c r="K136" s="446"/>
      <c r="L136" s="44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</row>
    <row r="137" spans="1:26" ht="24.75" customHeight="1">
      <c r="A137" s="406"/>
      <c r="B137" s="479"/>
      <c r="C137" s="446"/>
      <c r="D137" s="446"/>
      <c r="E137" s="468"/>
      <c r="F137" s="446"/>
      <c r="G137" s="446"/>
      <c r="H137" s="446"/>
      <c r="I137" s="446"/>
      <c r="J137" s="446"/>
      <c r="K137" s="446"/>
      <c r="L137" s="44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</row>
    <row r="138" spans="1:26" ht="24.75" customHeight="1">
      <c r="A138" s="406"/>
      <c r="B138" s="479"/>
      <c r="C138" s="446"/>
      <c r="D138" s="446"/>
      <c r="E138" s="468"/>
      <c r="F138" s="446"/>
      <c r="G138" s="446"/>
      <c r="H138" s="446"/>
      <c r="I138" s="446"/>
      <c r="J138" s="446"/>
      <c r="K138" s="446"/>
      <c r="L138" s="44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</row>
    <row r="139" spans="1:26" ht="24.75" customHeight="1">
      <c r="A139" s="406"/>
      <c r="B139" s="475"/>
      <c r="C139" s="522"/>
      <c r="D139" s="516"/>
      <c r="E139" s="505"/>
      <c r="F139" s="406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</row>
    <row r="140" spans="1:26" ht="24.75" customHeight="1">
      <c r="A140" s="406"/>
      <c r="B140" s="475"/>
      <c r="C140" s="406"/>
      <c r="D140" s="406"/>
      <c r="E140" s="505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</row>
    <row r="141" spans="1:26" ht="24.75" customHeight="1">
      <c r="A141" s="406"/>
      <c r="B141" s="475"/>
      <c r="C141" s="406"/>
      <c r="D141" s="406"/>
      <c r="E141" s="505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</row>
    <row r="142" spans="1:26" ht="24.75" customHeight="1">
      <c r="A142" s="406"/>
      <c r="B142" s="475"/>
      <c r="C142" s="406"/>
      <c r="D142" s="406"/>
      <c r="E142" s="505"/>
      <c r="F142" s="406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</row>
    <row r="143" spans="1:26" ht="24.75" customHeight="1">
      <c r="A143" s="406"/>
      <c r="B143" s="475"/>
      <c r="C143" s="406"/>
      <c r="D143" s="406"/>
      <c r="E143" s="505"/>
      <c r="F143" s="406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</row>
    <row r="144" spans="1:26" ht="24.75" customHeight="1">
      <c r="A144" s="406"/>
      <c r="B144" s="475"/>
      <c r="C144" s="406"/>
      <c r="D144" s="406"/>
      <c r="E144" s="505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</row>
    <row r="145" spans="1:26" ht="24.75" customHeight="1">
      <c r="A145" s="406"/>
      <c r="B145" s="475"/>
      <c r="C145" s="406"/>
      <c r="D145" s="406"/>
      <c r="E145" s="505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</row>
    <row r="146" spans="1:26" ht="24.75" customHeight="1">
      <c r="A146" s="406"/>
      <c r="B146" s="475"/>
      <c r="C146" s="406"/>
      <c r="D146" s="406"/>
      <c r="E146" s="505"/>
      <c r="F146" s="406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</row>
    <row r="147" spans="1:26" ht="24.75" customHeight="1">
      <c r="A147" s="406"/>
      <c r="B147" s="475"/>
      <c r="C147" s="406"/>
      <c r="D147" s="406"/>
      <c r="E147" s="505"/>
      <c r="F147" s="406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</row>
    <row r="148" spans="1:26" ht="24.75" customHeight="1">
      <c r="A148" s="406"/>
      <c r="B148" s="475"/>
      <c r="C148" s="406"/>
      <c r="D148" s="406"/>
      <c r="E148" s="505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</row>
    <row r="149" spans="1:26" ht="24.75" customHeight="1">
      <c r="A149" s="406"/>
      <c r="B149" s="475"/>
      <c r="C149" s="406"/>
      <c r="D149" s="406"/>
      <c r="E149" s="505"/>
      <c r="F149" s="406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</row>
    <row r="150" spans="1:26" ht="24.75" customHeight="1">
      <c r="A150" s="406"/>
      <c r="B150" s="475"/>
      <c r="C150" s="406"/>
      <c r="D150" s="406"/>
      <c r="E150" s="505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</row>
    <row r="151" spans="1:26" ht="24.75" customHeight="1">
      <c r="A151" s="406"/>
      <c r="B151" s="475"/>
      <c r="C151" s="406"/>
      <c r="D151" s="406"/>
      <c r="E151" s="505"/>
      <c r="F151" s="406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</row>
    <row r="152" spans="1:26" ht="24.75" customHeight="1">
      <c r="A152" s="406"/>
      <c r="B152" s="475"/>
      <c r="C152" s="406"/>
      <c r="D152" s="406"/>
      <c r="E152" s="505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</row>
    <row r="153" spans="1:26" ht="24.75" customHeight="1">
      <c r="A153" s="406"/>
      <c r="B153" s="475"/>
      <c r="C153" s="406"/>
      <c r="D153" s="406"/>
      <c r="E153" s="505"/>
      <c r="F153" s="406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</row>
    <row r="154" spans="1:26" ht="24.75" customHeight="1">
      <c r="A154" s="406"/>
      <c r="B154" s="475"/>
      <c r="C154" s="406"/>
      <c r="D154" s="406"/>
      <c r="E154" s="505"/>
      <c r="F154" s="406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</row>
    <row r="155" spans="1:26" ht="24.75" customHeight="1">
      <c r="A155" s="406"/>
      <c r="B155" s="475"/>
      <c r="C155" s="406"/>
      <c r="D155" s="406"/>
      <c r="E155" s="505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</row>
    <row r="156" spans="1:26" ht="24.75" customHeight="1">
      <c r="A156" s="406"/>
      <c r="B156" s="475"/>
      <c r="C156" s="406"/>
      <c r="D156" s="406"/>
      <c r="E156" s="505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</row>
    <row r="157" spans="1:26" ht="24.75" customHeight="1">
      <c r="A157" s="406"/>
      <c r="B157" s="475"/>
      <c r="C157" s="406"/>
      <c r="D157" s="406"/>
      <c r="E157" s="505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</row>
    <row r="158" spans="1:26" ht="24.75" customHeight="1">
      <c r="A158" s="406"/>
      <c r="B158" s="475"/>
      <c r="C158" s="406"/>
      <c r="D158" s="406"/>
      <c r="E158" s="505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</row>
    <row r="159" spans="1:26" ht="24.75" customHeight="1">
      <c r="A159" s="406"/>
      <c r="B159" s="475"/>
      <c r="C159" s="406"/>
      <c r="D159" s="406"/>
      <c r="E159" s="505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</row>
    <row r="160" spans="1:26" ht="24.75" customHeight="1">
      <c r="A160" s="406"/>
      <c r="B160" s="475"/>
      <c r="C160" s="406"/>
      <c r="D160" s="406"/>
      <c r="E160" s="505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</row>
    <row r="161" spans="1:26" ht="24.75" customHeight="1">
      <c r="A161" s="406"/>
      <c r="B161" s="475"/>
      <c r="C161" s="406"/>
      <c r="D161" s="406"/>
      <c r="E161" s="505"/>
      <c r="F161" s="406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</row>
    <row r="162" spans="1:26" ht="24.75" customHeight="1">
      <c r="A162" s="406"/>
      <c r="B162" s="475"/>
      <c r="C162" s="406"/>
      <c r="D162" s="406"/>
      <c r="E162" s="505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</row>
    <row r="163" spans="1:26" ht="24.75" customHeight="1">
      <c r="A163" s="406"/>
      <c r="B163" s="475"/>
      <c r="C163" s="406"/>
      <c r="D163" s="406"/>
      <c r="E163" s="505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</row>
    <row r="164" spans="1:26" ht="24.75" customHeight="1">
      <c r="A164" s="406"/>
      <c r="B164" s="475"/>
      <c r="C164" s="406"/>
      <c r="D164" s="406"/>
      <c r="E164" s="505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</row>
    <row r="165" spans="1:26" ht="24.75" customHeight="1">
      <c r="A165" s="406"/>
      <c r="B165" s="475"/>
      <c r="C165" s="406"/>
      <c r="D165" s="406"/>
      <c r="E165" s="505"/>
      <c r="F165" s="406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</row>
    <row r="166" spans="1:26" ht="24.75" customHeight="1">
      <c r="A166" s="406"/>
      <c r="B166" s="475"/>
      <c r="C166" s="406"/>
      <c r="D166" s="406"/>
      <c r="E166" s="505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</row>
    <row r="167" spans="1:26" ht="24.75" customHeight="1">
      <c r="A167" s="406"/>
      <c r="B167" s="475"/>
      <c r="C167" s="406"/>
      <c r="D167" s="406"/>
      <c r="E167" s="505"/>
      <c r="F167" s="406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</row>
    <row r="168" spans="1:26" ht="24.75" customHeight="1">
      <c r="A168" s="406"/>
      <c r="B168" s="475"/>
      <c r="C168" s="406"/>
      <c r="D168" s="406"/>
      <c r="E168" s="505"/>
      <c r="F168" s="406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</row>
    <row r="169" spans="1:26" ht="24.75" customHeight="1">
      <c r="A169" s="406"/>
      <c r="B169" s="475"/>
      <c r="C169" s="406"/>
      <c r="D169" s="406"/>
      <c r="E169" s="505"/>
      <c r="F169" s="406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</row>
    <row r="170" spans="1:26" ht="24.75" customHeight="1">
      <c r="A170" s="406"/>
      <c r="B170" s="475"/>
      <c r="C170" s="406"/>
      <c r="D170" s="406"/>
      <c r="E170" s="505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</row>
    <row r="171" spans="1:26" ht="24.75" customHeight="1">
      <c r="A171" s="406"/>
      <c r="B171" s="475"/>
      <c r="C171" s="406"/>
      <c r="D171" s="406"/>
      <c r="E171" s="505"/>
      <c r="F171" s="406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</row>
    <row r="172" spans="1:26" ht="24.75" customHeight="1">
      <c r="A172" s="406"/>
      <c r="B172" s="475"/>
      <c r="C172" s="406"/>
      <c r="D172" s="406"/>
      <c r="E172" s="505"/>
      <c r="F172" s="406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</row>
    <row r="173" spans="1:26" ht="24.75" customHeight="1">
      <c r="A173" s="406"/>
      <c r="B173" s="475"/>
      <c r="C173" s="406"/>
      <c r="D173" s="406"/>
      <c r="E173" s="505"/>
      <c r="F173" s="406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</row>
    <row r="174" spans="1:26" ht="24.75" customHeight="1">
      <c r="A174" s="406"/>
      <c r="B174" s="475"/>
      <c r="C174" s="406"/>
      <c r="D174" s="406"/>
      <c r="E174" s="505"/>
      <c r="F174" s="406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</row>
    <row r="175" spans="1:26" ht="24.75" customHeight="1">
      <c r="A175" s="406"/>
      <c r="B175" s="475"/>
      <c r="C175" s="406"/>
      <c r="D175" s="406"/>
      <c r="E175" s="505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</row>
    <row r="176" spans="1:26" ht="24.75" customHeight="1">
      <c r="A176" s="406"/>
      <c r="B176" s="475"/>
      <c r="C176" s="406"/>
      <c r="D176" s="406"/>
      <c r="E176" s="505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</row>
    <row r="177" spans="1:26" ht="24.75" customHeight="1">
      <c r="A177" s="406"/>
      <c r="B177" s="475"/>
      <c r="C177" s="406"/>
      <c r="D177" s="406"/>
      <c r="E177" s="505"/>
      <c r="F177" s="406"/>
      <c r="G177" s="406"/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</row>
    <row r="178" spans="1:26" ht="24.75" customHeight="1">
      <c r="A178" s="406"/>
      <c r="B178" s="475"/>
      <c r="C178" s="406"/>
      <c r="D178" s="406"/>
      <c r="E178" s="505"/>
      <c r="F178" s="406"/>
      <c r="G178" s="406"/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</row>
    <row r="179" spans="1:26" ht="24.75" customHeight="1">
      <c r="A179" s="406"/>
      <c r="B179" s="475"/>
      <c r="C179" s="406"/>
      <c r="D179" s="406"/>
      <c r="E179" s="505"/>
      <c r="F179" s="406"/>
      <c r="G179" s="406"/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</row>
    <row r="180" spans="1:26" ht="24.75" customHeight="1">
      <c r="A180" s="406"/>
      <c r="B180" s="475"/>
      <c r="C180" s="406"/>
      <c r="D180" s="406"/>
      <c r="E180" s="505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</row>
    <row r="181" spans="1:26" ht="24.75" customHeight="1">
      <c r="A181" s="406"/>
      <c r="B181" s="475"/>
      <c r="C181" s="406"/>
      <c r="D181" s="406"/>
      <c r="E181" s="505"/>
      <c r="F181" s="406"/>
      <c r="G181" s="406"/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</row>
    <row r="182" spans="1:26" ht="24.75" customHeight="1">
      <c r="A182" s="406"/>
      <c r="B182" s="475"/>
      <c r="C182" s="406"/>
      <c r="D182" s="406"/>
      <c r="E182" s="505"/>
      <c r="F182" s="406"/>
      <c r="G182" s="406"/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spans="1:26" ht="24.75" customHeight="1">
      <c r="A183" s="406"/>
      <c r="B183" s="475"/>
      <c r="C183" s="406"/>
      <c r="D183" s="406"/>
      <c r="E183" s="505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spans="1:26" ht="24.75" customHeight="1">
      <c r="A184" s="406"/>
      <c r="B184" s="475"/>
      <c r="C184" s="406"/>
      <c r="D184" s="406"/>
      <c r="E184" s="505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spans="1:26" ht="24.75" customHeight="1">
      <c r="A185" s="406"/>
      <c r="B185" s="475"/>
      <c r="C185" s="406"/>
      <c r="D185" s="406"/>
      <c r="E185" s="505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</row>
    <row r="186" spans="1:26" ht="24.75" customHeight="1">
      <c r="A186" s="406"/>
      <c r="B186" s="475"/>
      <c r="C186" s="406"/>
      <c r="D186" s="406"/>
      <c r="E186" s="505"/>
      <c r="F186" s="406"/>
      <c r="G186" s="406"/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</row>
    <row r="187" spans="1:26" ht="24.75" customHeight="1">
      <c r="A187" s="406"/>
      <c r="B187" s="475"/>
      <c r="C187" s="406"/>
      <c r="D187" s="406"/>
      <c r="E187" s="505"/>
      <c r="F187" s="406"/>
      <c r="G187" s="406"/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</row>
    <row r="188" spans="1:26" ht="24.75" customHeight="1">
      <c r="A188" s="406"/>
      <c r="B188" s="475"/>
      <c r="C188" s="406"/>
      <c r="D188" s="406"/>
      <c r="E188" s="505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</row>
    <row r="189" spans="1:26" ht="24.75" customHeight="1">
      <c r="A189" s="406"/>
      <c r="B189" s="475"/>
      <c r="C189" s="406"/>
      <c r="D189" s="406"/>
      <c r="E189" s="505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</row>
    <row r="190" spans="1:26" ht="24.75" customHeight="1">
      <c r="A190" s="406"/>
      <c r="B190" s="475"/>
      <c r="C190" s="406"/>
      <c r="D190" s="406"/>
      <c r="E190" s="505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</row>
    <row r="191" spans="1:26" ht="24.75" customHeight="1">
      <c r="A191" s="406"/>
      <c r="B191" s="475"/>
      <c r="C191" s="406"/>
      <c r="D191" s="406"/>
      <c r="E191" s="505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</row>
    <row r="192" spans="1:26" ht="24.75" customHeight="1">
      <c r="A192" s="406"/>
      <c r="B192" s="475"/>
      <c r="C192" s="406"/>
      <c r="D192" s="406"/>
      <c r="E192" s="505"/>
      <c r="F192" s="406"/>
      <c r="G192" s="406"/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</row>
    <row r="193" spans="1:26" ht="24.75" customHeight="1">
      <c r="A193" s="406"/>
      <c r="B193" s="475"/>
      <c r="C193" s="406"/>
      <c r="D193" s="406"/>
      <c r="E193" s="505"/>
      <c r="F193" s="406"/>
      <c r="G193" s="406"/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</row>
    <row r="194" spans="1:26" ht="24.75" customHeight="1">
      <c r="A194" s="406"/>
      <c r="B194" s="475"/>
      <c r="C194" s="406"/>
      <c r="D194" s="406"/>
      <c r="E194" s="505"/>
      <c r="F194" s="406"/>
      <c r="G194" s="406"/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</row>
    <row r="195" spans="1:26" ht="24.75" customHeight="1">
      <c r="A195" s="406"/>
      <c r="B195" s="475"/>
      <c r="C195" s="406"/>
      <c r="D195" s="406"/>
      <c r="E195" s="505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</row>
    <row r="196" spans="1:26" ht="24.75" customHeight="1">
      <c r="A196" s="406"/>
      <c r="B196" s="475"/>
      <c r="C196" s="406"/>
      <c r="D196" s="406"/>
      <c r="E196" s="505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</row>
    <row r="197" spans="1:26" ht="24.75" customHeight="1">
      <c r="A197" s="406"/>
      <c r="B197" s="475"/>
      <c r="C197" s="406"/>
      <c r="D197" s="406"/>
      <c r="E197" s="505"/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</row>
    <row r="198" spans="1:26" ht="24.75" customHeight="1">
      <c r="A198" s="406"/>
      <c r="B198" s="475"/>
      <c r="C198" s="406"/>
      <c r="D198" s="406"/>
      <c r="E198" s="505"/>
      <c r="F198" s="406"/>
      <c r="G198" s="406"/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</row>
    <row r="199" spans="1:26" ht="24.75" customHeight="1">
      <c r="A199" s="406"/>
      <c r="B199" s="475"/>
      <c r="C199" s="406"/>
      <c r="D199" s="406"/>
      <c r="E199" s="505"/>
      <c r="F199" s="406"/>
      <c r="G199" s="406"/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</row>
    <row r="200" spans="1:26" ht="24.75" customHeight="1">
      <c r="A200" s="406"/>
      <c r="B200" s="475"/>
      <c r="C200" s="406"/>
      <c r="D200" s="406"/>
      <c r="E200" s="505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</row>
    <row r="201" spans="1:26" ht="24.75" customHeight="1">
      <c r="A201" s="406"/>
      <c r="B201" s="475"/>
      <c r="C201" s="406"/>
      <c r="D201" s="406"/>
      <c r="E201" s="505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</row>
    <row r="202" spans="1:26" ht="24.75" customHeight="1">
      <c r="A202" s="406"/>
      <c r="B202" s="475"/>
      <c r="C202" s="406"/>
      <c r="D202" s="406"/>
      <c r="E202" s="505"/>
      <c r="F202" s="406"/>
      <c r="G202" s="406"/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</row>
    <row r="203" spans="1:26" ht="24.75" customHeight="1">
      <c r="A203" s="406"/>
      <c r="B203" s="475"/>
      <c r="C203" s="406"/>
      <c r="D203" s="406"/>
      <c r="E203" s="505"/>
      <c r="F203" s="406"/>
      <c r="G203" s="406"/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</row>
    <row r="204" spans="1:26" ht="24.75" customHeight="1">
      <c r="A204" s="406"/>
      <c r="B204" s="475"/>
      <c r="C204" s="406"/>
      <c r="D204" s="406"/>
      <c r="E204" s="505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</row>
    <row r="205" spans="1:26" ht="24.75" customHeight="1">
      <c r="A205" s="406"/>
      <c r="B205" s="475"/>
      <c r="C205" s="406"/>
      <c r="D205" s="406"/>
      <c r="E205" s="505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</row>
    <row r="206" spans="1:26" ht="24.75" customHeight="1">
      <c r="A206" s="406"/>
      <c r="B206" s="475"/>
      <c r="C206" s="406"/>
      <c r="D206" s="406"/>
      <c r="E206" s="505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</row>
    <row r="207" spans="1:26" ht="24.75" customHeight="1">
      <c r="A207" s="406"/>
      <c r="B207" s="475"/>
      <c r="C207" s="406"/>
      <c r="D207" s="406"/>
      <c r="E207" s="505"/>
      <c r="F207" s="406"/>
      <c r="G207" s="406"/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</row>
    <row r="208" spans="1:26" ht="24.75" customHeight="1">
      <c r="A208" s="406"/>
      <c r="B208" s="475"/>
      <c r="C208" s="406"/>
      <c r="D208" s="406"/>
      <c r="E208" s="505"/>
      <c r="F208" s="406"/>
      <c r="G208" s="406"/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</row>
    <row r="209" spans="1:26" ht="24.75" customHeight="1">
      <c r="A209" s="406"/>
      <c r="B209" s="475"/>
      <c r="C209" s="406"/>
      <c r="D209" s="406"/>
      <c r="E209" s="505"/>
      <c r="F209" s="406"/>
      <c r="G209" s="406"/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</row>
    <row r="210" spans="1:26" ht="24.75" customHeight="1">
      <c r="A210" s="406"/>
      <c r="B210" s="475"/>
      <c r="C210" s="406"/>
      <c r="D210" s="406"/>
      <c r="E210" s="505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</row>
    <row r="211" spans="1:26" ht="24.75" customHeight="1">
      <c r="A211" s="406"/>
      <c r="B211" s="475"/>
      <c r="C211" s="406"/>
      <c r="D211" s="406"/>
      <c r="E211" s="505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</row>
    <row r="212" spans="1:26" ht="24.75" customHeight="1">
      <c r="A212" s="406"/>
      <c r="B212" s="475"/>
      <c r="C212" s="406"/>
      <c r="D212" s="406"/>
      <c r="E212" s="505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</row>
    <row r="213" spans="1:26" ht="24.75" customHeight="1">
      <c r="A213" s="406"/>
      <c r="B213" s="475"/>
      <c r="C213" s="406"/>
      <c r="D213" s="406"/>
      <c r="E213" s="505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</row>
    <row r="214" spans="1:26" ht="24.75" customHeight="1">
      <c r="A214" s="406"/>
      <c r="B214" s="475"/>
      <c r="C214" s="406"/>
      <c r="D214" s="406"/>
      <c r="E214" s="505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</row>
    <row r="215" spans="1:26" ht="24.75" customHeight="1">
      <c r="A215" s="406"/>
      <c r="B215" s="475"/>
      <c r="C215" s="406"/>
      <c r="D215" s="406"/>
      <c r="E215" s="505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</row>
    <row r="216" spans="1:26" ht="24.75" customHeight="1">
      <c r="A216" s="406"/>
      <c r="B216" s="475"/>
      <c r="C216" s="406"/>
      <c r="D216" s="406"/>
      <c r="E216" s="505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</row>
    <row r="217" spans="1:26" ht="24.75" customHeight="1">
      <c r="A217" s="406"/>
      <c r="B217" s="475"/>
      <c r="C217" s="406"/>
      <c r="D217" s="406"/>
      <c r="E217" s="505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</row>
    <row r="218" spans="1:26" ht="24.75" customHeight="1">
      <c r="A218" s="406"/>
      <c r="B218" s="475"/>
      <c r="C218" s="406"/>
      <c r="D218" s="406"/>
      <c r="E218" s="505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</row>
    <row r="219" spans="1:26" ht="24.75" customHeight="1">
      <c r="A219" s="406"/>
      <c r="B219" s="475"/>
      <c r="C219" s="406"/>
      <c r="D219" s="406"/>
      <c r="E219" s="505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</row>
    <row r="220" spans="1:26" ht="24.75" customHeight="1">
      <c r="A220" s="406"/>
      <c r="B220" s="475"/>
      <c r="C220" s="406"/>
      <c r="D220" s="406"/>
      <c r="E220" s="505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</row>
    <row r="221" spans="1:26" ht="24.75" customHeight="1">
      <c r="A221" s="406"/>
      <c r="B221" s="475"/>
      <c r="C221" s="406"/>
      <c r="D221" s="406"/>
      <c r="E221" s="505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</row>
    <row r="222" spans="1:26" ht="24.75" customHeight="1">
      <c r="A222" s="406"/>
      <c r="B222" s="475"/>
      <c r="C222" s="406"/>
      <c r="D222" s="406"/>
      <c r="E222" s="505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</row>
    <row r="223" spans="1:26" ht="24.75" customHeight="1">
      <c r="A223" s="406"/>
      <c r="B223" s="475"/>
      <c r="C223" s="406"/>
      <c r="D223" s="406"/>
      <c r="E223" s="505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</row>
    <row r="224" spans="1:26" ht="24.75" customHeight="1">
      <c r="A224" s="406"/>
      <c r="B224" s="475"/>
      <c r="C224" s="406"/>
      <c r="D224" s="406"/>
      <c r="E224" s="505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</row>
    <row r="225" spans="1:26" ht="24.75" customHeight="1">
      <c r="A225" s="406"/>
      <c r="B225" s="475"/>
      <c r="C225" s="406"/>
      <c r="D225" s="406"/>
      <c r="E225" s="505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</row>
    <row r="226" spans="1:26" ht="24.75" customHeight="1">
      <c r="A226" s="406"/>
      <c r="B226" s="475"/>
      <c r="C226" s="406"/>
      <c r="D226" s="406"/>
      <c r="E226" s="505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</row>
    <row r="227" spans="1:26" ht="24.75" customHeight="1">
      <c r="A227" s="406"/>
      <c r="B227" s="475"/>
      <c r="C227" s="406"/>
      <c r="D227" s="406"/>
      <c r="E227" s="505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</row>
    <row r="228" spans="1:26" ht="24.75" customHeight="1">
      <c r="A228" s="406"/>
      <c r="B228" s="475"/>
      <c r="C228" s="406"/>
      <c r="D228" s="406"/>
      <c r="E228" s="505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</row>
    <row r="229" spans="1:26" ht="24.75" customHeight="1">
      <c r="A229" s="406"/>
      <c r="B229" s="475"/>
      <c r="C229" s="406"/>
      <c r="D229" s="406"/>
      <c r="E229" s="505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</row>
    <row r="230" spans="1:26" ht="24.75" customHeight="1">
      <c r="A230" s="406"/>
      <c r="B230" s="475"/>
      <c r="C230" s="406"/>
      <c r="D230" s="406"/>
      <c r="E230" s="505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</row>
    <row r="231" spans="1:26" ht="24.75" customHeight="1">
      <c r="A231" s="406"/>
      <c r="B231" s="475"/>
      <c r="C231" s="406"/>
      <c r="D231" s="406"/>
      <c r="E231" s="505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</row>
    <row r="232" spans="1:26" ht="24.75" customHeight="1">
      <c r="A232" s="406"/>
      <c r="B232" s="475"/>
      <c r="C232" s="406"/>
      <c r="D232" s="406"/>
      <c r="E232" s="505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</row>
    <row r="233" spans="1:26" ht="24.75" customHeight="1">
      <c r="A233" s="406"/>
      <c r="B233" s="475"/>
      <c r="C233" s="406"/>
      <c r="D233" s="406"/>
      <c r="E233" s="505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</row>
    <row r="234" spans="1:26" ht="24.75" customHeight="1">
      <c r="A234" s="406"/>
      <c r="B234" s="475"/>
      <c r="C234" s="406"/>
      <c r="D234" s="406"/>
      <c r="E234" s="505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</row>
    <row r="235" spans="1:26" ht="24.75" customHeight="1">
      <c r="A235" s="406"/>
      <c r="B235" s="475"/>
      <c r="C235" s="406"/>
      <c r="D235" s="406"/>
      <c r="E235" s="505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spans="1:26" ht="24.75" customHeight="1">
      <c r="A236" s="406"/>
      <c r="B236" s="475"/>
      <c r="C236" s="406"/>
      <c r="D236" s="406"/>
      <c r="E236" s="505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spans="1:26" ht="24.75" customHeight="1">
      <c r="A237" s="406"/>
      <c r="B237" s="475"/>
      <c r="C237" s="406"/>
      <c r="D237" s="406"/>
      <c r="E237" s="505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spans="1:26" ht="24.75" customHeight="1">
      <c r="A238" s="406"/>
      <c r="B238" s="475"/>
      <c r="C238" s="406"/>
      <c r="D238" s="406"/>
      <c r="E238" s="505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spans="1:26" ht="24.75" customHeight="1">
      <c r="A239" s="406"/>
      <c r="B239" s="475"/>
      <c r="C239" s="406"/>
      <c r="D239" s="406"/>
      <c r="E239" s="505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spans="1:26" ht="24.75" customHeight="1">
      <c r="A240" s="406"/>
      <c r="B240" s="475"/>
      <c r="C240" s="406"/>
      <c r="D240" s="406"/>
      <c r="E240" s="505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spans="1:26" ht="24.75" customHeight="1">
      <c r="A241" s="406"/>
      <c r="B241" s="475"/>
      <c r="C241" s="406"/>
      <c r="D241" s="406"/>
      <c r="E241" s="505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spans="1:26" ht="24.75" customHeight="1">
      <c r="A242" s="406"/>
      <c r="B242" s="475"/>
      <c r="C242" s="406"/>
      <c r="D242" s="406"/>
      <c r="E242" s="505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spans="1:26" ht="24.75" customHeight="1">
      <c r="A243" s="406"/>
      <c r="B243" s="475"/>
      <c r="C243" s="406"/>
      <c r="D243" s="406"/>
      <c r="E243" s="505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spans="1:26" ht="24.75" customHeight="1">
      <c r="A244" s="406"/>
      <c r="B244" s="475"/>
      <c r="C244" s="406"/>
      <c r="D244" s="406"/>
      <c r="E244" s="505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spans="1:26" ht="24.75" customHeight="1">
      <c r="A245" s="406"/>
      <c r="B245" s="475"/>
      <c r="C245" s="406"/>
      <c r="D245" s="406"/>
      <c r="E245" s="505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spans="1:26" ht="24.75" customHeight="1">
      <c r="A246" s="406"/>
      <c r="B246" s="475"/>
      <c r="C246" s="406"/>
      <c r="D246" s="406"/>
      <c r="E246" s="505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spans="1:26" ht="24.75" customHeight="1">
      <c r="A247" s="406"/>
      <c r="B247" s="475"/>
      <c r="C247" s="406"/>
      <c r="D247" s="406"/>
      <c r="E247" s="505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spans="1:26" ht="24.75" customHeight="1">
      <c r="A248" s="406"/>
      <c r="B248" s="475"/>
      <c r="C248" s="406"/>
      <c r="D248" s="406"/>
      <c r="E248" s="505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</row>
    <row r="249" spans="1:26" ht="24.75" customHeight="1">
      <c r="A249" s="406"/>
      <c r="B249" s="475"/>
      <c r="C249" s="406"/>
      <c r="D249" s="406"/>
      <c r="E249" s="505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</row>
    <row r="250" spans="1:26" ht="24.75" customHeight="1">
      <c r="A250" s="406"/>
      <c r="B250" s="475"/>
      <c r="C250" s="406"/>
      <c r="D250" s="406"/>
      <c r="E250" s="505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</row>
    <row r="251" spans="1:26" ht="24.75" customHeight="1">
      <c r="A251" s="406"/>
      <c r="B251" s="475"/>
      <c r="C251" s="406"/>
      <c r="D251" s="406"/>
      <c r="E251" s="505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</row>
    <row r="252" spans="1:26" ht="24.75" customHeight="1">
      <c r="A252" s="406"/>
      <c r="B252" s="475"/>
      <c r="C252" s="406"/>
      <c r="D252" s="406"/>
      <c r="E252" s="505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</row>
    <row r="253" spans="1:26" ht="24.75" customHeight="1">
      <c r="A253" s="406"/>
      <c r="B253" s="475"/>
      <c r="C253" s="406"/>
      <c r="D253" s="406"/>
      <c r="E253" s="505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</row>
    <row r="254" spans="1:26" ht="24.75" customHeight="1">
      <c r="A254" s="406"/>
      <c r="B254" s="475"/>
      <c r="C254" s="406"/>
      <c r="D254" s="406"/>
      <c r="E254" s="505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</row>
    <row r="255" spans="1:26" ht="24.75" customHeight="1">
      <c r="A255" s="406"/>
      <c r="B255" s="475"/>
      <c r="C255" s="406"/>
      <c r="D255" s="406"/>
      <c r="E255" s="505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</row>
    <row r="256" spans="1:26" ht="24.75" customHeight="1">
      <c r="A256" s="406"/>
      <c r="B256" s="475"/>
      <c r="C256" s="406"/>
      <c r="D256" s="406"/>
      <c r="E256" s="505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</row>
    <row r="257" spans="1:26" ht="24.75" customHeight="1">
      <c r="A257" s="406"/>
      <c r="B257" s="475"/>
      <c r="C257" s="406"/>
      <c r="D257" s="406"/>
      <c r="E257" s="505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</row>
    <row r="258" spans="1:26" ht="24.75" customHeight="1">
      <c r="A258" s="406"/>
      <c r="B258" s="475"/>
      <c r="C258" s="406"/>
      <c r="D258" s="406"/>
      <c r="E258" s="505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</row>
    <row r="259" spans="1:26" ht="24.75" customHeight="1">
      <c r="A259" s="406"/>
      <c r="B259" s="475"/>
      <c r="C259" s="406"/>
      <c r="D259" s="406"/>
      <c r="E259" s="505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</row>
    <row r="260" spans="1:26" ht="24.75" customHeight="1">
      <c r="A260" s="406"/>
      <c r="B260" s="475"/>
      <c r="C260" s="406"/>
      <c r="D260" s="406"/>
      <c r="E260" s="505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</row>
    <row r="261" spans="1:26" ht="24.75" customHeight="1">
      <c r="A261" s="406"/>
      <c r="B261" s="475"/>
      <c r="C261" s="406"/>
      <c r="D261" s="406"/>
      <c r="E261" s="505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</row>
    <row r="262" spans="1:26" ht="24.75" customHeight="1">
      <c r="A262" s="406"/>
      <c r="B262" s="475"/>
      <c r="C262" s="406"/>
      <c r="D262" s="406"/>
      <c r="E262" s="505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</row>
    <row r="263" spans="1:26" ht="24.75" customHeight="1">
      <c r="A263" s="406"/>
      <c r="B263" s="475"/>
      <c r="C263" s="406"/>
      <c r="D263" s="406"/>
      <c r="E263" s="505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</row>
    <row r="264" spans="1:26" ht="24.75" customHeight="1">
      <c r="A264" s="406"/>
      <c r="B264" s="475"/>
      <c r="C264" s="406"/>
      <c r="D264" s="406"/>
      <c r="E264" s="505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</row>
    <row r="265" spans="1:26" ht="24.75" customHeight="1">
      <c r="A265" s="406"/>
      <c r="B265" s="475"/>
      <c r="C265" s="406"/>
      <c r="D265" s="406"/>
      <c r="E265" s="505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</row>
    <row r="266" spans="1:26" ht="24.75" customHeight="1">
      <c r="A266" s="406"/>
      <c r="B266" s="475"/>
      <c r="C266" s="406"/>
      <c r="D266" s="406"/>
      <c r="E266" s="505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</row>
    <row r="267" spans="1:26" ht="24.75" customHeight="1">
      <c r="A267" s="406"/>
      <c r="B267" s="475"/>
      <c r="C267" s="406"/>
      <c r="D267" s="406"/>
      <c r="E267" s="505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spans="1:26" ht="24.75" customHeight="1">
      <c r="A268" s="406"/>
      <c r="B268" s="475"/>
      <c r="C268" s="406"/>
      <c r="D268" s="406"/>
      <c r="E268" s="505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spans="1:26" ht="24.75" customHeight="1">
      <c r="A269" s="406"/>
      <c r="B269" s="475"/>
      <c r="C269" s="406"/>
      <c r="D269" s="406"/>
      <c r="E269" s="505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spans="1:26" ht="24.75" customHeight="1">
      <c r="A270" s="406"/>
      <c r="B270" s="475"/>
      <c r="C270" s="406"/>
      <c r="D270" s="406"/>
      <c r="E270" s="505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spans="1:26" ht="24.75" customHeight="1">
      <c r="A271" s="406"/>
      <c r="B271" s="475"/>
      <c r="C271" s="406"/>
      <c r="D271" s="406"/>
      <c r="E271" s="505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</row>
    <row r="272" spans="1:26" ht="24.75" customHeight="1">
      <c r="A272" s="406"/>
      <c r="B272" s="475"/>
      <c r="C272" s="406"/>
      <c r="D272" s="406"/>
      <c r="E272" s="505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</row>
    <row r="273" spans="1:26" ht="24.75" customHeight="1">
      <c r="A273" s="406"/>
      <c r="B273" s="475"/>
      <c r="C273" s="406"/>
      <c r="D273" s="406"/>
      <c r="E273" s="505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</row>
    <row r="274" spans="1:26" ht="24.75" customHeight="1">
      <c r="A274" s="406"/>
      <c r="B274" s="475"/>
      <c r="C274" s="406"/>
      <c r="D274" s="406"/>
      <c r="E274" s="505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</row>
    <row r="275" spans="1:26" ht="24.75" customHeight="1">
      <c r="A275" s="406"/>
      <c r="B275" s="475"/>
      <c r="C275" s="406"/>
      <c r="D275" s="406"/>
      <c r="E275" s="505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</row>
    <row r="276" spans="1:26" ht="24.75" customHeight="1">
      <c r="A276" s="406"/>
      <c r="B276" s="475"/>
      <c r="C276" s="406"/>
      <c r="D276" s="406"/>
      <c r="E276" s="505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</row>
    <row r="277" spans="1:26" ht="24.75" customHeight="1">
      <c r="A277" s="406"/>
      <c r="B277" s="475"/>
      <c r="C277" s="406"/>
      <c r="D277" s="406"/>
      <c r="E277" s="505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</row>
    <row r="278" spans="1:26" ht="24.75" customHeight="1">
      <c r="A278" s="406"/>
      <c r="B278" s="475"/>
      <c r="C278" s="406"/>
      <c r="D278" s="406"/>
      <c r="E278" s="505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</row>
    <row r="279" spans="1:26" ht="24.75" customHeight="1">
      <c r="A279" s="406"/>
      <c r="B279" s="475"/>
      <c r="C279" s="406"/>
      <c r="D279" s="406"/>
      <c r="E279" s="505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</row>
    <row r="280" spans="1:26" ht="24.75" customHeight="1">
      <c r="A280" s="406"/>
      <c r="B280" s="475"/>
      <c r="C280" s="406"/>
      <c r="D280" s="406"/>
      <c r="E280" s="505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</row>
    <row r="281" spans="1:26" ht="24.75" customHeight="1">
      <c r="A281" s="406"/>
      <c r="B281" s="475"/>
      <c r="C281" s="406"/>
      <c r="D281" s="406"/>
      <c r="E281" s="505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</row>
    <row r="282" spans="1:26" ht="24.75" customHeight="1">
      <c r="A282" s="406"/>
      <c r="B282" s="475"/>
      <c r="C282" s="406"/>
      <c r="D282" s="406"/>
      <c r="E282" s="505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</row>
    <row r="283" spans="1:26" ht="24.75" customHeight="1">
      <c r="A283" s="406"/>
      <c r="B283" s="475"/>
      <c r="C283" s="406"/>
      <c r="D283" s="406"/>
      <c r="E283" s="505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</row>
    <row r="284" spans="1:26" ht="24.75" customHeight="1">
      <c r="A284" s="406"/>
      <c r="B284" s="475"/>
      <c r="C284" s="406"/>
      <c r="D284" s="406"/>
      <c r="E284" s="505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</row>
    <row r="285" spans="1:26" ht="24.75" customHeight="1">
      <c r="A285" s="406"/>
      <c r="B285" s="475"/>
      <c r="C285" s="406"/>
      <c r="D285" s="406"/>
      <c r="E285" s="505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</row>
    <row r="286" spans="1:26" ht="24.75" customHeight="1">
      <c r="A286" s="406"/>
      <c r="B286" s="475"/>
      <c r="C286" s="406"/>
      <c r="D286" s="406"/>
      <c r="E286" s="505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</row>
    <row r="287" spans="1:26" ht="24.75" customHeight="1">
      <c r="A287" s="406"/>
      <c r="B287" s="475"/>
      <c r="C287" s="406"/>
      <c r="D287" s="406"/>
      <c r="E287" s="505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</row>
    <row r="288" spans="1:26" ht="24.75" customHeight="1">
      <c r="A288" s="406"/>
      <c r="B288" s="475"/>
      <c r="C288" s="406"/>
      <c r="D288" s="406"/>
      <c r="E288" s="505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</row>
    <row r="289" spans="1:26" ht="24.75" customHeight="1">
      <c r="A289" s="406"/>
      <c r="B289" s="475"/>
      <c r="C289" s="406"/>
      <c r="D289" s="406"/>
      <c r="E289" s="505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</row>
    <row r="290" spans="1:26" ht="24.75" customHeight="1">
      <c r="A290" s="406"/>
      <c r="B290" s="475"/>
      <c r="C290" s="406"/>
      <c r="D290" s="406"/>
      <c r="E290" s="505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</row>
    <row r="291" spans="1:26" ht="24.75" customHeight="1">
      <c r="A291" s="406"/>
      <c r="B291" s="475"/>
      <c r="C291" s="406"/>
      <c r="D291" s="406"/>
      <c r="E291" s="505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</row>
    <row r="292" spans="1:26" ht="24.75" customHeight="1">
      <c r="A292" s="406"/>
      <c r="B292" s="475"/>
      <c r="C292" s="406"/>
      <c r="D292" s="406"/>
      <c r="E292" s="505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</row>
    <row r="293" spans="1:26" ht="24.75" customHeight="1">
      <c r="A293" s="406"/>
      <c r="B293" s="475"/>
      <c r="C293" s="406"/>
      <c r="D293" s="406"/>
      <c r="E293" s="505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</row>
    <row r="294" spans="1:26" ht="24.75" customHeight="1">
      <c r="A294" s="406"/>
      <c r="B294" s="475"/>
      <c r="C294" s="406"/>
      <c r="D294" s="406"/>
      <c r="E294" s="505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</row>
    <row r="295" spans="1:26" ht="24.75" customHeight="1">
      <c r="A295" s="406"/>
      <c r="B295" s="475"/>
      <c r="C295" s="406"/>
      <c r="D295" s="406"/>
      <c r="E295" s="505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</row>
    <row r="296" spans="1:26" ht="24.75" customHeight="1">
      <c r="A296" s="406"/>
      <c r="B296" s="475"/>
      <c r="C296" s="406"/>
      <c r="D296" s="406"/>
      <c r="E296" s="505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</row>
    <row r="297" spans="1:26" ht="24.75" customHeight="1">
      <c r="A297" s="406"/>
      <c r="B297" s="475"/>
      <c r="C297" s="406"/>
      <c r="D297" s="406"/>
      <c r="E297" s="505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</row>
    <row r="298" spans="1:26" ht="24.75" customHeight="1">
      <c r="A298" s="406"/>
      <c r="B298" s="475"/>
      <c r="C298" s="406"/>
      <c r="D298" s="406"/>
      <c r="E298" s="505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</row>
    <row r="299" spans="1:26" ht="24.75" customHeight="1">
      <c r="A299" s="406"/>
      <c r="B299" s="475"/>
      <c r="C299" s="406"/>
      <c r="D299" s="406"/>
      <c r="E299" s="505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</row>
    <row r="300" spans="1:26" ht="24.75" customHeight="1">
      <c r="A300" s="406"/>
      <c r="B300" s="475"/>
      <c r="C300" s="406"/>
      <c r="D300" s="406"/>
      <c r="E300" s="505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</row>
    <row r="301" spans="1:26" ht="24.75" customHeight="1">
      <c r="A301" s="406"/>
      <c r="B301" s="475"/>
      <c r="C301" s="406"/>
      <c r="D301" s="406"/>
      <c r="E301" s="505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</row>
    <row r="302" spans="1:26" ht="24.75" customHeight="1">
      <c r="A302" s="406"/>
      <c r="B302" s="475"/>
      <c r="C302" s="406"/>
      <c r="D302" s="406"/>
      <c r="E302" s="505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</row>
    <row r="303" spans="1:26" ht="24.75" customHeight="1">
      <c r="A303" s="406"/>
      <c r="B303" s="475"/>
      <c r="C303" s="406"/>
      <c r="D303" s="406"/>
      <c r="E303" s="505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</row>
    <row r="304" spans="1:26" ht="24.75" customHeight="1">
      <c r="A304" s="406"/>
      <c r="B304" s="475"/>
      <c r="C304" s="406"/>
      <c r="D304" s="406"/>
      <c r="E304" s="505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</row>
    <row r="305" spans="1:26" ht="24.75" customHeight="1">
      <c r="A305" s="406"/>
      <c r="B305" s="475"/>
      <c r="C305" s="406"/>
      <c r="D305" s="406"/>
      <c r="E305" s="505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</row>
    <row r="306" spans="1:26" ht="24.75" customHeight="1">
      <c r="A306" s="406"/>
      <c r="B306" s="475"/>
      <c r="C306" s="406"/>
      <c r="D306" s="406"/>
      <c r="E306" s="505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</row>
    <row r="307" spans="1:26" ht="24.75" customHeight="1">
      <c r="A307" s="406"/>
      <c r="B307" s="475"/>
      <c r="C307" s="406"/>
      <c r="D307" s="406"/>
      <c r="E307" s="505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</row>
    <row r="308" spans="1:26" ht="24.75" customHeight="1">
      <c r="A308" s="406"/>
      <c r="B308" s="475"/>
      <c r="C308" s="406"/>
      <c r="D308" s="406"/>
      <c r="E308" s="505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</row>
    <row r="309" spans="1:26" ht="24.75" customHeight="1">
      <c r="A309" s="406"/>
      <c r="B309" s="475"/>
      <c r="C309" s="406"/>
      <c r="D309" s="406"/>
      <c r="E309" s="505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</row>
    <row r="310" spans="1:26" ht="24.75" customHeight="1">
      <c r="A310" s="406"/>
      <c r="B310" s="475"/>
      <c r="C310" s="406"/>
      <c r="D310" s="406"/>
      <c r="E310" s="505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</row>
    <row r="311" spans="1:26" ht="24.75" customHeight="1">
      <c r="A311" s="406"/>
      <c r="B311" s="475"/>
      <c r="C311" s="406"/>
      <c r="D311" s="406"/>
      <c r="E311" s="505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</row>
    <row r="312" spans="1:26" ht="24.75" customHeight="1">
      <c r="A312" s="406"/>
      <c r="B312" s="475"/>
      <c r="C312" s="406"/>
      <c r="D312" s="406"/>
      <c r="E312" s="505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</row>
    <row r="313" spans="1:26" ht="24.75" customHeight="1">
      <c r="A313" s="406"/>
      <c r="B313" s="475"/>
      <c r="C313" s="406"/>
      <c r="D313" s="406"/>
      <c r="E313" s="505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</row>
    <row r="314" spans="1:26" ht="24.75" customHeight="1">
      <c r="A314" s="406"/>
      <c r="B314" s="475"/>
      <c r="C314" s="406"/>
      <c r="D314" s="406"/>
      <c r="E314" s="505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</row>
    <row r="315" spans="1:26" ht="24.75" customHeight="1">
      <c r="A315" s="406"/>
      <c r="B315" s="475"/>
      <c r="C315" s="406"/>
      <c r="D315" s="406"/>
      <c r="E315" s="505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</row>
    <row r="316" spans="1:26" ht="24.75" customHeight="1">
      <c r="A316" s="406"/>
      <c r="B316" s="475"/>
      <c r="C316" s="406"/>
      <c r="D316" s="406"/>
      <c r="E316" s="505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</row>
    <row r="317" spans="1:26" ht="24.75" customHeight="1">
      <c r="A317" s="406"/>
      <c r="B317" s="475"/>
      <c r="C317" s="406"/>
      <c r="D317" s="406"/>
      <c r="E317" s="505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</row>
    <row r="318" spans="1:26" ht="24.75" customHeight="1">
      <c r="A318" s="406"/>
      <c r="B318" s="475"/>
      <c r="C318" s="406"/>
      <c r="D318" s="406"/>
      <c r="E318" s="505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</row>
    <row r="319" spans="1:26" ht="24.75" customHeight="1">
      <c r="A319" s="406"/>
      <c r="B319" s="475"/>
      <c r="C319" s="406"/>
      <c r="D319" s="406"/>
      <c r="E319" s="505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</row>
    <row r="320" spans="1:26" ht="24.75" customHeight="1">
      <c r="A320" s="406"/>
      <c r="B320" s="475"/>
      <c r="C320" s="406"/>
      <c r="D320" s="406"/>
      <c r="E320" s="505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</row>
    <row r="321" spans="1:26" ht="24.75" customHeight="1">
      <c r="A321" s="406"/>
      <c r="B321" s="475"/>
      <c r="C321" s="406"/>
      <c r="D321" s="406"/>
      <c r="E321" s="505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</row>
    <row r="322" spans="1:26" ht="24.75" customHeight="1">
      <c r="A322" s="406"/>
      <c r="B322" s="475"/>
      <c r="C322" s="406"/>
      <c r="D322" s="406"/>
      <c r="E322" s="505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</row>
    <row r="323" spans="1:26" ht="24.75" customHeight="1">
      <c r="A323" s="406"/>
      <c r="B323" s="475"/>
      <c r="C323" s="406"/>
      <c r="D323" s="406"/>
      <c r="E323" s="505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</row>
    <row r="324" spans="1:26" ht="24.75" customHeight="1">
      <c r="A324" s="406"/>
      <c r="B324" s="475"/>
      <c r="C324" s="406"/>
      <c r="D324" s="406"/>
      <c r="E324" s="505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</row>
    <row r="325" spans="1:26" ht="24.75" customHeight="1">
      <c r="A325" s="406"/>
      <c r="B325" s="475"/>
      <c r="C325" s="406"/>
      <c r="D325" s="406"/>
      <c r="E325" s="505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</row>
    <row r="326" spans="1:26" ht="24.75" customHeight="1">
      <c r="A326" s="406"/>
      <c r="B326" s="475"/>
      <c r="C326" s="406"/>
      <c r="D326" s="406"/>
      <c r="E326" s="505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</row>
    <row r="327" spans="1:26" ht="24.75" customHeight="1">
      <c r="A327" s="406"/>
      <c r="B327" s="475"/>
      <c r="C327" s="406"/>
      <c r="D327" s="406"/>
      <c r="E327" s="505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</row>
    <row r="328" spans="1:26" ht="24.75" customHeight="1">
      <c r="A328" s="406"/>
      <c r="B328" s="475"/>
      <c r="C328" s="406"/>
      <c r="D328" s="406"/>
      <c r="E328" s="505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</row>
    <row r="329" spans="1:26" ht="24.75" customHeight="1">
      <c r="A329" s="406"/>
      <c r="B329" s="475"/>
      <c r="C329" s="406"/>
      <c r="D329" s="406"/>
      <c r="E329" s="505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</row>
    <row r="330" spans="1:26" ht="24.75" customHeight="1">
      <c r="A330" s="406"/>
      <c r="B330" s="475"/>
      <c r="C330" s="406"/>
      <c r="D330" s="406"/>
      <c r="E330" s="505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</row>
    <row r="331" spans="1:26" ht="24.75" customHeight="1">
      <c r="A331" s="406"/>
      <c r="B331" s="475"/>
      <c r="C331" s="406"/>
      <c r="D331" s="406"/>
      <c r="E331" s="505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</row>
    <row r="332" spans="1:26" ht="24.75" customHeight="1">
      <c r="A332" s="406"/>
      <c r="B332" s="475"/>
      <c r="C332" s="406"/>
      <c r="D332" s="406"/>
      <c r="E332" s="505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</row>
    <row r="333" spans="1:26" ht="24.75" customHeight="1">
      <c r="A333" s="406"/>
      <c r="B333" s="475"/>
      <c r="C333" s="406"/>
      <c r="D333" s="406"/>
      <c r="E333" s="505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</row>
    <row r="334" spans="1:26" ht="24.75" customHeight="1">
      <c r="A334" s="406"/>
      <c r="B334" s="475"/>
      <c r="C334" s="406"/>
      <c r="D334" s="406"/>
      <c r="E334" s="505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</row>
    <row r="335" spans="1:26" ht="24.75" customHeight="1">
      <c r="A335" s="406"/>
      <c r="B335" s="475"/>
      <c r="C335" s="406"/>
      <c r="D335" s="406"/>
      <c r="E335" s="505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</row>
    <row r="336" spans="1:26" ht="24.75" customHeight="1">
      <c r="A336" s="406"/>
      <c r="B336" s="475"/>
      <c r="C336" s="406"/>
      <c r="D336" s="406"/>
      <c r="E336" s="505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</row>
    <row r="337" spans="1:26" ht="24.75" customHeight="1">
      <c r="A337" s="406"/>
      <c r="B337" s="475"/>
      <c r="C337" s="406"/>
      <c r="D337" s="406"/>
      <c r="E337" s="505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</row>
    <row r="338" spans="1:26" ht="24.75" customHeight="1">
      <c r="A338" s="406"/>
      <c r="B338" s="475"/>
      <c r="C338" s="406"/>
      <c r="D338" s="406"/>
      <c r="E338" s="505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</row>
    <row r="339" spans="1:26" ht="24.75" customHeight="1">
      <c r="A339" s="406"/>
      <c r="B339" s="475"/>
      <c r="C339" s="406"/>
      <c r="D339" s="406"/>
      <c r="E339" s="505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</row>
    <row r="340" spans="1:26" ht="24.75" customHeight="1">
      <c r="A340" s="406"/>
      <c r="B340" s="475"/>
      <c r="C340" s="406"/>
      <c r="D340" s="406"/>
      <c r="E340" s="505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</row>
    <row r="341" spans="1:26" ht="24.75" customHeight="1">
      <c r="A341" s="406"/>
      <c r="B341" s="475"/>
      <c r="C341" s="406"/>
      <c r="D341" s="406"/>
      <c r="E341" s="505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</row>
    <row r="342" spans="1:26" ht="24.75" customHeight="1">
      <c r="A342" s="406"/>
      <c r="B342" s="475"/>
      <c r="C342" s="406"/>
      <c r="D342" s="406"/>
      <c r="E342" s="505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</row>
    <row r="343" spans="1:26" ht="24.75" customHeight="1">
      <c r="A343" s="406"/>
      <c r="B343" s="475"/>
      <c r="C343" s="406"/>
      <c r="D343" s="406"/>
      <c r="E343" s="505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</row>
    <row r="344" spans="1:26" ht="24.75" customHeight="1">
      <c r="A344" s="406"/>
      <c r="B344" s="475"/>
      <c r="C344" s="406"/>
      <c r="D344" s="406"/>
      <c r="E344" s="505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</row>
    <row r="345" spans="1:26" ht="24.75" customHeight="1">
      <c r="A345" s="406"/>
      <c r="B345" s="475"/>
      <c r="C345" s="406"/>
      <c r="D345" s="406"/>
      <c r="E345" s="505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</row>
    <row r="346" spans="1:26" ht="24.75" customHeight="1">
      <c r="A346" s="406"/>
      <c r="B346" s="475"/>
      <c r="C346" s="406"/>
      <c r="D346" s="406"/>
      <c r="E346" s="505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</row>
    <row r="347" spans="1:26" ht="24.75" customHeight="1">
      <c r="A347" s="406"/>
      <c r="B347" s="475"/>
      <c r="C347" s="406"/>
      <c r="D347" s="406"/>
      <c r="E347" s="505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</row>
    <row r="348" spans="1:26" ht="24.75" customHeight="1">
      <c r="A348" s="406"/>
      <c r="B348" s="475"/>
      <c r="C348" s="406"/>
      <c r="D348" s="406"/>
      <c r="E348" s="505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</row>
    <row r="349" spans="1:26" ht="24.75" customHeight="1">
      <c r="A349" s="406"/>
      <c r="B349" s="475"/>
      <c r="C349" s="406"/>
      <c r="D349" s="406"/>
      <c r="E349" s="505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</row>
    <row r="350" spans="1:26" ht="24.75" customHeight="1">
      <c r="A350" s="406"/>
      <c r="B350" s="475"/>
      <c r="C350" s="406"/>
      <c r="D350" s="406"/>
      <c r="E350" s="505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</row>
    <row r="351" spans="1:26" ht="24.75" customHeight="1">
      <c r="A351" s="406"/>
      <c r="B351" s="475"/>
      <c r="C351" s="406"/>
      <c r="D351" s="406"/>
      <c r="E351" s="505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</row>
    <row r="352" spans="1:26" ht="24.75" customHeight="1">
      <c r="A352" s="406"/>
      <c r="B352" s="475"/>
      <c r="C352" s="406"/>
      <c r="D352" s="406"/>
      <c r="E352" s="505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</row>
    <row r="353" spans="1:26" ht="24.75" customHeight="1">
      <c r="A353" s="406"/>
      <c r="B353" s="475"/>
      <c r="C353" s="406"/>
      <c r="D353" s="406"/>
      <c r="E353" s="505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</row>
    <row r="354" spans="1:26" ht="24.75" customHeight="1">
      <c r="A354" s="406"/>
      <c r="B354" s="475"/>
      <c r="C354" s="406"/>
      <c r="D354" s="406"/>
      <c r="E354" s="505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</row>
    <row r="355" spans="1:26" ht="24.75" customHeight="1">
      <c r="A355" s="406"/>
      <c r="B355" s="475"/>
      <c r="C355" s="406"/>
      <c r="D355" s="406"/>
      <c r="E355" s="505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</row>
    <row r="356" spans="1:26" ht="24.75" customHeight="1">
      <c r="A356" s="406"/>
      <c r="B356" s="475"/>
      <c r="C356" s="406"/>
      <c r="D356" s="406"/>
      <c r="E356" s="505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</row>
    <row r="357" spans="1:26" ht="24.75" customHeight="1">
      <c r="A357" s="406"/>
      <c r="B357" s="475"/>
      <c r="C357" s="406"/>
      <c r="D357" s="406"/>
      <c r="E357" s="505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</row>
    <row r="358" spans="1:26" ht="24.75" customHeight="1">
      <c r="A358" s="406"/>
      <c r="B358" s="475"/>
      <c r="C358" s="406"/>
      <c r="D358" s="406"/>
      <c r="E358" s="505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</row>
    <row r="359" spans="1:26" ht="24.75" customHeight="1">
      <c r="A359" s="406"/>
      <c r="B359" s="475"/>
      <c r="C359" s="406"/>
      <c r="D359" s="406"/>
      <c r="E359" s="505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</row>
    <row r="360" spans="1:26" ht="24.75" customHeight="1">
      <c r="A360" s="406"/>
      <c r="B360" s="475"/>
      <c r="C360" s="406"/>
      <c r="D360" s="406"/>
      <c r="E360" s="505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</row>
    <row r="361" spans="1:26" ht="24.75" customHeight="1">
      <c r="A361" s="406"/>
      <c r="B361" s="475"/>
      <c r="C361" s="406"/>
      <c r="D361" s="406"/>
      <c r="E361" s="505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</row>
    <row r="362" spans="1:26" ht="24.75" customHeight="1">
      <c r="A362" s="406"/>
      <c r="B362" s="475"/>
      <c r="C362" s="406"/>
      <c r="D362" s="406"/>
      <c r="E362" s="505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</row>
    <row r="363" spans="1:26" ht="24.75" customHeight="1">
      <c r="A363" s="406"/>
      <c r="B363" s="475"/>
      <c r="C363" s="406"/>
      <c r="D363" s="406"/>
      <c r="E363" s="505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</row>
    <row r="364" spans="1:26" ht="24.75" customHeight="1">
      <c r="A364" s="406"/>
      <c r="B364" s="475"/>
      <c r="C364" s="406"/>
      <c r="D364" s="406"/>
      <c r="E364" s="505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</row>
    <row r="365" spans="1:26" ht="24.75" customHeight="1">
      <c r="A365" s="406"/>
      <c r="B365" s="475"/>
      <c r="C365" s="406"/>
      <c r="D365" s="406"/>
      <c r="E365" s="505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</row>
    <row r="366" spans="1:26" ht="24.75" customHeight="1">
      <c r="A366" s="406"/>
      <c r="B366" s="475"/>
      <c r="C366" s="406"/>
      <c r="D366" s="406"/>
      <c r="E366" s="505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</row>
    <row r="367" spans="1:26" ht="24.75" customHeight="1">
      <c r="A367" s="406"/>
      <c r="B367" s="475"/>
      <c r="C367" s="406"/>
      <c r="D367" s="406"/>
      <c r="E367" s="505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</row>
    <row r="368" spans="1:26" ht="24.75" customHeight="1">
      <c r="A368" s="406"/>
      <c r="B368" s="475"/>
      <c r="C368" s="406"/>
      <c r="D368" s="406"/>
      <c r="E368" s="505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</row>
    <row r="369" spans="1:26" ht="24.75" customHeight="1">
      <c r="A369" s="406"/>
      <c r="B369" s="475"/>
      <c r="C369" s="406"/>
      <c r="D369" s="406"/>
      <c r="E369" s="505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</row>
    <row r="370" spans="1:26" ht="24.75" customHeight="1">
      <c r="A370" s="406"/>
      <c r="B370" s="475"/>
      <c r="C370" s="406"/>
      <c r="D370" s="406"/>
      <c r="E370" s="505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</row>
    <row r="371" spans="1:26" ht="24.75" customHeight="1">
      <c r="A371" s="406"/>
      <c r="B371" s="475"/>
      <c r="C371" s="406"/>
      <c r="D371" s="406"/>
      <c r="E371" s="505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</row>
    <row r="372" spans="1:26" ht="24.75" customHeight="1">
      <c r="A372" s="406"/>
      <c r="B372" s="475"/>
      <c r="C372" s="406"/>
      <c r="D372" s="406"/>
      <c r="E372" s="505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</row>
    <row r="373" spans="1:26" ht="24.75" customHeight="1">
      <c r="A373" s="406"/>
      <c r="B373" s="475"/>
      <c r="C373" s="406"/>
      <c r="D373" s="406"/>
      <c r="E373" s="505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</row>
    <row r="374" spans="1:26" ht="24.75" customHeight="1">
      <c r="A374" s="406"/>
      <c r="B374" s="475"/>
      <c r="C374" s="406"/>
      <c r="D374" s="406"/>
      <c r="E374" s="505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</row>
    <row r="375" spans="1:26" ht="24.75" customHeight="1">
      <c r="A375" s="406"/>
      <c r="B375" s="475"/>
      <c r="C375" s="406"/>
      <c r="D375" s="406"/>
      <c r="E375" s="505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</row>
    <row r="376" spans="1:26" ht="24.75" customHeight="1">
      <c r="A376" s="406"/>
      <c r="B376" s="475"/>
      <c r="C376" s="406"/>
      <c r="D376" s="406"/>
      <c r="E376" s="505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</row>
    <row r="377" spans="1:26" ht="24.75" customHeight="1">
      <c r="A377" s="406"/>
      <c r="B377" s="475"/>
      <c r="C377" s="406"/>
      <c r="D377" s="406"/>
      <c r="E377" s="505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</row>
    <row r="378" spans="1:26" ht="24.75" customHeight="1">
      <c r="A378" s="406"/>
      <c r="B378" s="475"/>
      <c r="C378" s="406"/>
      <c r="D378" s="406"/>
      <c r="E378" s="505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</row>
    <row r="379" spans="1:26" ht="24.75" customHeight="1">
      <c r="A379" s="406"/>
      <c r="B379" s="475"/>
      <c r="C379" s="406"/>
      <c r="D379" s="406"/>
      <c r="E379" s="505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</row>
    <row r="380" spans="1:26" ht="24.75" customHeight="1">
      <c r="A380" s="406"/>
      <c r="B380" s="475"/>
      <c r="C380" s="406"/>
      <c r="D380" s="406"/>
      <c r="E380" s="505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</row>
    <row r="381" spans="1:26" ht="24.75" customHeight="1">
      <c r="A381" s="406"/>
      <c r="B381" s="475"/>
      <c r="C381" s="406"/>
      <c r="D381" s="406"/>
      <c r="E381" s="505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</row>
    <row r="382" spans="1:26" ht="24.75" customHeight="1">
      <c r="A382" s="406"/>
      <c r="B382" s="475"/>
      <c r="C382" s="406"/>
      <c r="D382" s="406"/>
      <c r="E382" s="505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</row>
    <row r="383" spans="1:26" ht="24.75" customHeight="1">
      <c r="A383" s="406"/>
      <c r="B383" s="475"/>
      <c r="C383" s="406"/>
      <c r="D383" s="406"/>
      <c r="E383" s="505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</row>
    <row r="384" spans="1:26" ht="24.75" customHeight="1">
      <c r="A384" s="406"/>
      <c r="B384" s="475"/>
      <c r="C384" s="406"/>
      <c r="D384" s="406"/>
      <c r="E384" s="505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</row>
    <row r="385" spans="1:26" ht="24.75" customHeight="1">
      <c r="A385" s="406"/>
      <c r="B385" s="475"/>
      <c r="C385" s="406"/>
      <c r="D385" s="406"/>
      <c r="E385" s="505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</row>
    <row r="386" spans="1:26" ht="24.75" customHeight="1">
      <c r="A386" s="406"/>
      <c r="B386" s="475"/>
      <c r="C386" s="406"/>
      <c r="D386" s="406"/>
      <c r="E386" s="505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</row>
    <row r="387" spans="1:26" ht="24.75" customHeight="1">
      <c r="A387" s="406"/>
      <c r="B387" s="475"/>
      <c r="C387" s="406"/>
      <c r="D387" s="406"/>
      <c r="E387" s="505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</row>
    <row r="388" spans="1:26" ht="24.75" customHeight="1">
      <c r="A388" s="406"/>
      <c r="B388" s="475"/>
      <c r="C388" s="406"/>
      <c r="D388" s="406"/>
      <c r="E388" s="505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</row>
    <row r="389" spans="1:26" ht="24.75" customHeight="1">
      <c r="A389" s="406"/>
      <c r="B389" s="475"/>
      <c r="C389" s="406"/>
      <c r="D389" s="406"/>
      <c r="E389" s="505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</row>
    <row r="390" spans="1:26" ht="24.75" customHeight="1">
      <c r="A390" s="406"/>
      <c r="B390" s="475"/>
      <c r="C390" s="406"/>
      <c r="D390" s="406"/>
      <c r="E390" s="505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</row>
    <row r="391" spans="1:26" ht="24.75" customHeight="1">
      <c r="A391" s="406"/>
      <c r="B391" s="475"/>
      <c r="C391" s="406"/>
      <c r="D391" s="406"/>
      <c r="E391" s="505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</row>
    <row r="392" spans="1:26" ht="24.75" customHeight="1">
      <c r="A392" s="406"/>
      <c r="B392" s="475"/>
      <c r="C392" s="406"/>
      <c r="D392" s="406"/>
      <c r="E392" s="505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</row>
    <row r="393" spans="1:26" ht="24.75" customHeight="1">
      <c r="A393" s="406"/>
      <c r="B393" s="475"/>
      <c r="C393" s="406"/>
      <c r="D393" s="406"/>
      <c r="E393" s="505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</row>
    <row r="394" spans="1:26" ht="24.75" customHeight="1">
      <c r="A394" s="406"/>
      <c r="B394" s="475"/>
      <c r="C394" s="406"/>
      <c r="D394" s="406"/>
      <c r="E394" s="505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</row>
    <row r="395" spans="1:26" ht="24.75" customHeight="1">
      <c r="A395" s="406"/>
      <c r="B395" s="475"/>
      <c r="C395" s="406"/>
      <c r="D395" s="406"/>
      <c r="E395" s="505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</row>
    <row r="396" spans="1:26" ht="24.75" customHeight="1">
      <c r="A396" s="406"/>
      <c r="B396" s="475"/>
      <c r="C396" s="406"/>
      <c r="D396" s="406"/>
      <c r="E396" s="505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</row>
    <row r="397" spans="1:26" ht="24.75" customHeight="1">
      <c r="A397" s="406"/>
      <c r="B397" s="475"/>
      <c r="C397" s="406"/>
      <c r="D397" s="406"/>
      <c r="E397" s="505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</row>
    <row r="398" spans="1:26" ht="24.75" customHeight="1">
      <c r="A398" s="406"/>
      <c r="B398" s="475"/>
      <c r="C398" s="406"/>
      <c r="D398" s="406"/>
      <c r="E398" s="505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</row>
    <row r="399" spans="1:26" ht="24.75" customHeight="1">
      <c r="A399" s="406"/>
      <c r="B399" s="475"/>
      <c r="C399" s="406"/>
      <c r="D399" s="406"/>
      <c r="E399" s="505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</row>
    <row r="400" spans="1:26" ht="24.75" customHeight="1">
      <c r="A400" s="406"/>
      <c r="B400" s="475"/>
      <c r="C400" s="406"/>
      <c r="D400" s="406"/>
      <c r="E400" s="505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</row>
    <row r="401" spans="1:26" ht="24.75" customHeight="1">
      <c r="A401" s="406"/>
      <c r="B401" s="475"/>
      <c r="C401" s="406"/>
      <c r="D401" s="406"/>
      <c r="E401" s="505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</row>
    <row r="402" spans="1:26" ht="24.75" customHeight="1">
      <c r="A402" s="406"/>
      <c r="B402" s="475"/>
      <c r="C402" s="406"/>
      <c r="D402" s="406"/>
      <c r="E402" s="505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</row>
    <row r="403" spans="1:26" ht="24.75" customHeight="1">
      <c r="A403" s="406"/>
      <c r="B403" s="475"/>
      <c r="C403" s="406"/>
      <c r="D403" s="406"/>
      <c r="E403" s="505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</row>
    <row r="404" spans="1:26" ht="24.75" customHeight="1">
      <c r="A404" s="406"/>
      <c r="B404" s="475"/>
      <c r="C404" s="406"/>
      <c r="D404" s="406"/>
      <c r="E404" s="505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</row>
    <row r="405" spans="1:26" ht="24.75" customHeight="1">
      <c r="A405" s="406"/>
      <c r="B405" s="475"/>
      <c r="C405" s="406"/>
      <c r="D405" s="406"/>
      <c r="E405" s="505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</row>
    <row r="406" spans="1:26" ht="24.75" customHeight="1">
      <c r="A406" s="406"/>
      <c r="B406" s="475"/>
      <c r="C406" s="406"/>
      <c r="D406" s="406"/>
      <c r="E406" s="505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</row>
    <row r="407" spans="1:26" ht="24.75" customHeight="1">
      <c r="A407" s="406"/>
      <c r="B407" s="475"/>
      <c r="C407" s="406"/>
      <c r="D407" s="406"/>
      <c r="E407" s="505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</row>
    <row r="408" spans="1:26" ht="24.75" customHeight="1">
      <c r="A408" s="406"/>
      <c r="B408" s="475"/>
      <c r="C408" s="406"/>
      <c r="D408" s="406"/>
      <c r="E408" s="505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</row>
    <row r="409" spans="1:26" ht="24.75" customHeight="1">
      <c r="A409" s="406"/>
      <c r="B409" s="475"/>
      <c r="C409" s="406"/>
      <c r="D409" s="406"/>
      <c r="E409" s="505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</row>
    <row r="410" spans="1:26" ht="24.75" customHeight="1">
      <c r="A410" s="406"/>
      <c r="B410" s="475"/>
      <c r="C410" s="406"/>
      <c r="D410" s="406"/>
      <c r="E410" s="505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</row>
    <row r="411" spans="1:26" ht="24.75" customHeight="1">
      <c r="A411" s="406"/>
      <c r="B411" s="475"/>
      <c r="C411" s="406"/>
      <c r="D411" s="406"/>
      <c r="E411" s="505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</row>
    <row r="412" spans="1:26" ht="24.75" customHeight="1">
      <c r="A412" s="406"/>
      <c r="B412" s="475"/>
      <c r="C412" s="406"/>
      <c r="D412" s="406"/>
      <c r="E412" s="505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</row>
    <row r="413" spans="1:26" ht="24.75" customHeight="1">
      <c r="A413" s="406"/>
      <c r="B413" s="475"/>
      <c r="C413" s="406"/>
      <c r="D413" s="406"/>
      <c r="E413" s="505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</row>
    <row r="414" spans="1:26" ht="24.75" customHeight="1">
      <c r="A414" s="406"/>
      <c r="B414" s="475"/>
      <c r="C414" s="406"/>
      <c r="D414" s="406"/>
      <c r="E414" s="505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</row>
    <row r="415" spans="1:26" ht="24.75" customHeight="1">
      <c r="A415" s="406"/>
      <c r="B415" s="475"/>
      <c r="C415" s="406"/>
      <c r="D415" s="406"/>
      <c r="E415" s="505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</row>
    <row r="416" spans="1:26" ht="24.75" customHeight="1">
      <c r="A416" s="406"/>
      <c r="B416" s="475"/>
      <c r="C416" s="406"/>
      <c r="D416" s="406"/>
      <c r="E416" s="505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</row>
    <row r="417" spans="1:26" ht="24.75" customHeight="1">
      <c r="A417" s="406"/>
      <c r="B417" s="475"/>
      <c r="C417" s="406"/>
      <c r="D417" s="406"/>
      <c r="E417" s="505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</row>
    <row r="418" spans="1:26" ht="24.75" customHeight="1">
      <c r="A418" s="406"/>
      <c r="B418" s="475"/>
      <c r="C418" s="406"/>
      <c r="D418" s="406"/>
      <c r="E418" s="505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</row>
    <row r="419" spans="1:26" ht="24.75" customHeight="1">
      <c r="A419" s="406"/>
      <c r="B419" s="475"/>
      <c r="C419" s="406"/>
      <c r="D419" s="406"/>
      <c r="E419" s="505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</row>
    <row r="420" spans="1:26" ht="24.75" customHeight="1">
      <c r="A420" s="406"/>
      <c r="B420" s="475"/>
      <c r="C420" s="406"/>
      <c r="D420" s="406"/>
      <c r="E420" s="505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</row>
    <row r="421" spans="1:26" ht="24.75" customHeight="1">
      <c r="A421" s="406"/>
      <c r="B421" s="475"/>
      <c r="C421" s="406"/>
      <c r="D421" s="406"/>
      <c r="E421" s="505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</row>
    <row r="422" spans="1:26" ht="24.75" customHeight="1">
      <c r="A422" s="406"/>
      <c r="B422" s="475"/>
      <c r="C422" s="406"/>
      <c r="D422" s="406"/>
      <c r="E422" s="505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</row>
    <row r="423" spans="1:26" ht="24.75" customHeight="1">
      <c r="A423" s="406"/>
      <c r="B423" s="475"/>
      <c r="C423" s="406"/>
      <c r="D423" s="406"/>
      <c r="E423" s="505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</row>
    <row r="424" spans="1:26" ht="24.75" customHeight="1">
      <c r="A424" s="406"/>
      <c r="B424" s="475"/>
      <c r="C424" s="406"/>
      <c r="D424" s="406"/>
      <c r="E424" s="505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</row>
    <row r="425" spans="1:26" ht="24.75" customHeight="1">
      <c r="A425" s="406"/>
      <c r="B425" s="475"/>
      <c r="C425" s="406"/>
      <c r="D425" s="406"/>
      <c r="E425" s="505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</row>
    <row r="426" spans="1:26" ht="24.75" customHeight="1">
      <c r="A426" s="406"/>
      <c r="B426" s="475"/>
      <c r="C426" s="406"/>
      <c r="D426" s="406"/>
      <c r="E426" s="505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</row>
    <row r="427" spans="1:26" ht="24.75" customHeight="1">
      <c r="A427" s="406"/>
      <c r="B427" s="475"/>
      <c r="C427" s="406"/>
      <c r="D427" s="406"/>
      <c r="E427" s="505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</row>
    <row r="428" spans="1:26" ht="24.75" customHeight="1">
      <c r="A428" s="406"/>
      <c r="B428" s="475"/>
      <c r="C428" s="406"/>
      <c r="D428" s="406"/>
      <c r="E428" s="505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</row>
    <row r="429" spans="1:26" ht="24.75" customHeight="1">
      <c r="A429" s="406"/>
      <c r="B429" s="475"/>
      <c r="C429" s="406"/>
      <c r="D429" s="406"/>
      <c r="E429" s="505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</row>
    <row r="430" spans="1:26" ht="24.75" customHeight="1">
      <c r="A430" s="406"/>
      <c r="B430" s="475"/>
      <c r="C430" s="406"/>
      <c r="D430" s="406"/>
      <c r="E430" s="505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</row>
    <row r="431" spans="1:26" ht="24.75" customHeight="1">
      <c r="A431" s="406"/>
      <c r="B431" s="475"/>
      <c r="C431" s="406"/>
      <c r="D431" s="406"/>
      <c r="E431" s="505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</row>
    <row r="432" spans="1:26" ht="24.75" customHeight="1">
      <c r="A432" s="406"/>
      <c r="B432" s="475"/>
      <c r="C432" s="406"/>
      <c r="D432" s="406"/>
      <c r="E432" s="505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</row>
    <row r="433" spans="1:26" ht="24.75" customHeight="1">
      <c r="A433" s="406"/>
      <c r="B433" s="475"/>
      <c r="C433" s="406"/>
      <c r="D433" s="406"/>
      <c r="E433" s="505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</row>
    <row r="434" spans="1:26" ht="24.75" customHeight="1">
      <c r="A434" s="406"/>
      <c r="B434" s="475"/>
      <c r="C434" s="406"/>
      <c r="D434" s="406"/>
      <c r="E434" s="505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</row>
    <row r="435" spans="1:26" ht="24.75" customHeight="1">
      <c r="A435" s="406"/>
      <c r="B435" s="475"/>
      <c r="C435" s="406"/>
      <c r="D435" s="406"/>
      <c r="E435" s="505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</row>
    <row r="436" spans="1:26" ht="24.75" customHeight="1">
      <c r="A436" s="406"/>
      <c r="B436" s="475"/>
      <c r="C436" s="406"/>
      <c r="D436" s="406"/>
      <c r="E436" s="505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</row>
    <row r="437" spans="1:26" ht="24.75" customHeight="1">
      <c r="A437" s="406"/>
      <c r="B437" s="475"/>
      <c r="C437" s="406"/>
      <c r="D437" s="406"/>
      <c r="E437" s="505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</row>
    <row r="438" spans="1:26" ht="24.75" customHeight="1">
      <c r="A438" s="406"/>
      <c r="B438" s="475"/>
      <c r="C438" s="406"/>
      <c r="D438" s="406"/>
      <c r="E438" s="505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</row>
    <row r="439" spans="1:26" ht="24.75" customHeight="1">
      <c r="A439" s="406"/>
      <c r="B439" s="475"/>
      <c r="C439" s="406"/>
      <c r="D439" s="406"/>
      <c r="E439" s="505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</row>
    <row r="440" spans="1:26" ht="24.75" customHeight="1">
      <c r="A440" s="406"/>
      <c r="B440" s="475"/>
      <c r="C440" s="406"/>
      <c r="D440" s="406"/>
      <c r="E440" s="505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</row>
    <row r="441" spans="1:26" ht="24.75" customHeight="1">
      <c r="A441" s="406"/>
      <c r="B441" s="475"/>
      <c r="C441" s="406"/>
      <c r="D441" s="406"/>
      <c r="E441" s="505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</row>
    <row r="442" spans="1:26" ht="24.75" customHeight="1">
      <c r="A442" s="406"/>
      <c r="B442" s="475"/>
      <c r="C442" s="406"/>
      <c r="D442" s="406"/>
      <c r="E442" s="505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</row>
    <row r="443" spans="1:26" ht="24.75" customHeight="1">
      <c r="A443" s="406"/>
      <c r="B443" s="475"/>
      <c r="C443" s="406"/>
      <c r="D443" s="406"/>
      <c r="E443" s="505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</row>
    <row r="444" spans="1:26" ht="24.75" customHeight="1">
      <c r="A444" s="406"/>
      <c r="B444" s="475"/>
      <c r="C444" s="406"/>
      <c r="D444" s="406"/>
      <c r="E444" s="505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</row>
    <row r="445" spans="1:26" ht="24.75" customHeight="1">
      <c r="A445" s="406"/>
      <c r="B445" s="475"/>
      <c r="C445" s="406"/>
      <c r="D445" s="406"/>
      <c r="E445" s="505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</row>
    <row r="446" spans="1:26" ht="24.75" customHeight="1">
      <c r="A446" s="406"/>
      <c r="B446" s="475"/>
      <c r="C446" s="406"/>
      <c r="D446" s="406"/>
      <c r="E446" s="505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</row>
    <row r="447" spans="1:26" ht="24.75" customHeight="1">
      <c r="A447" s="406"/>
      <c r="B447" s="475"/>
      <c r="C447" s="406"/>
      <c r="D447" s="406"/>
      <c r="E447" s="505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</row>
    <row r="448" spans="1:26" ht="24.75" customHeight="1">
      <c r="A448" s="406"/>
      <c r="B448" s="475"/>
      <c r="C448" s="406"/>
      <c r="D448" s="406"/>
      <c r="E448" s="505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</row>
    <row r="449" spans="1:26" ht="24.75" customHeight="1">
      <c r="A449" s="406"/>
      <c r="B449" s="475"/>
      <c r="C449" s="406"/>
      <c r="D449" s="406"/>
      <c r="E449" s="505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</row>
    <row r="450" spans="1:26" ht="24.75" customHeight="1">
      <c r="A450" s="406"/>
      <c r="B450" s="475"/>
      <c r="C450" s="406"/>
      <c r="D450" s="406"/>
      <c r="E450" s="505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</row>
    <row r="451" spans="1:26" ht="24.75" customHeight="1">
      <c r="A451" s="406"/>
      <c r="B451" s="475"/>
      <c r="C451" s="406"/>
      <c r="D451" s="406"/>
      <c r="E451" s="505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</row>
    <row r="452" spans="1:26" ht="24.75" customHeight="1">
      <c r="A452" s="406"/>
      <c r="B452" s="475"/>
      <c r="C452" s="406"/>
      <c r="D452" s="406"/>
      <c r="E452" s="505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</row>
    <row r="453" spans="1:26" ht="24.75" customHeight="1">
      <c r="A453" s="406"/>
      <c r="B453" s="475"/>
      <c r="C453" s="406"/>
      <c r="D453" s="406"/>
      <c r="E453" s="505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</row>
    <row r="454" spans="1:26" ht="24.75" customHeight="1">
      <c r="A454" s="406"/>
      <c r="B454" s="475"/>
      <c r="C454" s="406"/>
      <c r="D454" s="406"/>
      <c r="E454" s="505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</row>
    <row r="455" spans="1:26" ht="24.75" customHeight="1">
      <c r="A455" s="406"/>
      <c r="B455" s="475"/>
      <c r="C455" s="406"/>
      <c r="D455" s="406"/>
      <c r="E455" s="505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</row>
    <row r="456" spans="1:26" ht="24.75" customHeight="1">
      <c r="A456" s="406"/>
      <c r="B456" s="475"/>
      <c r="C456" s="406"/>
      <c r="D456" s="406"/>
      <c r="E456" s="505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</row>
    <row r="457" spans="1:26" ht="24.75" customHeight="1">
      <c r="A457" s="406"/>
      <c r="B457" s="475"/>
      <c r="C457" s="406"/>
      <c r="D457" s="406"/>
      <c r="E457" s="505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</row>
    <row r="458" spans="1:26" ht="24.75" customHeight="1">
      <c r="A458" s="406"/>
      <c r="B458" s="475"/>
      <c r="C458" s="406"/>
      <c r="D458" s="406"/>
      <c r="E458" s="505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</row>
    <row r="459" spans="1:26" ht="24.75" customHeight="1">
      <c r="A459" s="406"/>
      <c r="B459" s="475"/>
      <c r="C459" s="406"/>
      <c r="D459" s="406"/>
      <c r="E459" s="505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</row>
    <row r="460" spans="1:26" ht="24.75" customHeight="1">
      <c r="A460" s="406"/>
      <c r="B460" s="475"/>
      <c r="C460" s="406"/>
      <c r="D460" s="406"/>
      <c r="E460" s="505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</row>
    <row r="461" spans="1:26" ht="24.75" customHeight="1">
      <c r="A461" s="406"/>
      <c r="B461" s="475"/>
      <c r="C461" s="406"/>
      <c r="D461" s="406"/>
      <c r="E461" s="505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</row>
    <row r="462" spans="1:26" ht="24.75" customHeight="1">
      <c r="A462" s="406"/>
      <c r="B462" s="475"/>
      <c r="C462" s="406"/>
      <c r="D462" s="406"/>
      <c r="E462" s="505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</row>
    <row r="463" spans="1:26" ht="24.75" customHeight="1">
      <c r="A463" s="406"/>
      <c r="B463" s="475"/>
      <c r="C463" s="406"/>
      <c r="D463" s="406"/>
      <c r="E463" s="505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</row>
    <row r="464" spans="1:26" ht="24.75" customHeight="1">
      <c r="A464" s="406"/>
      <c r="B464" s="475"/>
      <c r="C464" s="406"/>
      <c r="D464" s="406"/>
      <c r="E464" s="505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</row>
    <row r="465" spans="1:26" ht="24.75" customHeight="1">
      <c r="A465" s="406"/>
      <c r="B465" s="475"/>
      <c r="C465" s="406"/>
      <c r="D465" s="406"/>
      <c r="E465" s="505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</row>
    <row r="466" spans="1:26" ht="24.75" customHeight="1">
      <c r="A466" s="406"/>
      <c r="B466" s="475"/>
      <c r="C466" s="406"/>
      <c r="D466" s="406"/>
      <c r="E466" s="505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</row>
    <row r="467" spans="1:26" ht="24.75" customHeight="1">
      <c r="A467" s="406"/>
      <c r="B467" s="475"/>
      <c r="C467" s="406"/>
      <c r="D467" s="406"/>
      <c r="E467" s="505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</row>
    <row r="468" spans="1:26" ht="24.75" customHeight="1">
      <c r="A468" s="406"/>
      <c r="B468" s="475"/>
      <c r="C468" s="406"/>
      <c r="D468" s="406"/>
      <c r="E468" s="505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</row>
    <row r="469" spans="1:26" ht="24.75" customHeight="1">
      <c r="A469" s="406"/>
      <c r="B469" s="475"/>
      <c r="C469" s="406"/>
      <c r="D469" s="406"/>
      <c r="E469" s="505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</row>
    <row r="470" spans="1:26" ht="24.75" customHeight="1">
      <c r="A470" s="406"/>
      <c r="B470" s="475"/>
      <c r="C470" s="406"/>
      <c r="D470" s="406"/>
      <c r="E470" s="505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</row>
    <row r="471" spans="1:26" ht="24.75" customHeight="1">
      <c r="A471" s="406"/>
      <c r="B471" s="475"/>
      <c r="C471" s="406"/>
      <c r="D471" s="406"/>
      <c r="E471" s="505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</row>
    <row r="472" spans="1:26" ht="24.75" customHeight="1">
      <c r="A472" s="406"/>
      <c r="B472" s="475"/>
      <c r="C472" s="406"/>
      <c r="D472" s="406"/>
      <c r="E472" s="505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</row>
    <row r="473" spans="1:26" ht="24.75" customHeight="1">
      <c r="A473" s="406"/>
      <c r="B473" s="475"/>
      <c r="C473" s="406"/>
      <c r="D473" s="406"/>
      <c r="E473" s="505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</row>
    <row r="474" spans="1:26" ht="24.75" customHeight="1">
      <c r="A474" s="406"/>
      <c r="B474" s="475"/>
      <c r="C474" s="406"/>
      <c r="D474" s="406"/>
      <c r="E474" s="505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</row>
    <row r="475" spans="1:26" ht="24.75" customHeight="1">
      <c r="A475" s="406"/>
      <c r="B475" s="475"/>
      <c r="C475" s="406"/>
      <c r="D475" s="406"/>
      <c r="E475" s="505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</row>
    <row r="476" spans="1:26" ht="24.75" customHeight="1">
      <c r="A476" s="406"/>
      <c r="B476" s="475"/>
      <c r="C476" s="406"/>
      <c r="D476" s="406"/>
      <c r="E476" s="505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</row>
    <row r="477" spans="1:26" ht="24.75" customHeight="1">
      <c r="A477" s="406"/>
      <c r="B477" s="475"/>
      <c r="C477" s="406"/>
      <c r="D477" s="406"/>
      <c r="E477" s="505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</row>
    <row r="478" spans="1:26" ht="24.75" customHeight="1">
      <c r="A478" s="406"/>
      <c r="B478" s="475"/>
      <c r="C478" s="406"/>
      <c r="D478" s="406"/>
      <c r="E478" s="505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</row>
    <row r="479" spans="1:26" ht="24.75" customHeight="1">
      <c r="A479" s="406"/>
      <c r="B479" s="475"/>
      <c r="C479" s="406"/>
      <c r="D479" s="406"/>
      <c r="E479" s="505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</row>
    <row r="480" spans="1:26" ht="24.75" customHeight="1">
      <c r="A480" s="406"/>
      <c r="B480" s="475"/>
      <c r="C480" s="406"/>
      <c r="D480" s="406"/>
      <c r="E480" s="505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</row>
    <row r="481" spans="1:26" ht="24.75" customHeight="1">
      <c r="A481" s="406"/>
      <c r="B481" s="475"/>
      <c r="C481" s="406"/>
      <c r="D481" s="406"/>
      <c r="E481" s="505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</row>
    <row r="482" spans="1:26" ht="24.75" customHeight="1">
      <c r="A482" s="406"/>
      <c r="B482" s="475"/>
      <c r="C482" s="406"/>
      <c r="D482" s="406"/>
      <c r="E482" s="505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</row>
    <row r="483" spans="1:26" ht="24.75" customHeight="1">
      <c r="A483" s="406"/>
      <c r="B483" s="475"/>
      <c r="C483" s="406"/>
      <c r="D483" s="406"/>
      <c r="E483" s="505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</row>
    <row r="484" spans="1:26" ht="24.75" customHeight="1">
      <c r="A484" s="406"/>
      <c r="B484" s="475"/>
      <c r="C484" s="406"/>
      <c r="D484" s="406"/>
      <c r="E484" s="505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</row>
    <row r="485" spans="1:26" ht="24.75" customHeight="1">
      <c r="A485" s="406"/>
      <c r="B485" s="475"/>
      <c r="C485" s="406"/>
      <c r="D485" s="406"/>
      <c r="E485" s="505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</row>
    <row r="486" spans="1:26" ht="24.75" customHeight="1">
      <c r="A486" s="406"/>
      <c r="B486" s="475"/>
      <c r="C486" s="406"/>
      <c r="D486" s="406"/>
      <c r="E486" s="505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</row>
    <row r="487" spans="1:26" ht="24.75" customHeight="1">
      <c r="A487" s="406"/>
      <c r="B487" s="475"/>
      <c r="C487" s="406"/>
      <c r="D487" s="406"/>
      <c r="E487" s="505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</row>
    <row r="488" spans="1:26" ht="24.75" customHeight="1">
      <c r="A488" s="406"/>
      <c r="B488" s="475"/>
      <c r="C488" s="406"/>
      <c r="D488" s="406"/>
      <c r="E488" s="505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</row>
    <row r="489" spans="1:26" ht="24.75" customHeight="1">
      <c r="A489" s="406"/>
      <c r="B489" s="475"/>
      <c r="C489" s="406"/>
      <c r="D489" s="406"/>
      <c r="E489" s="505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</row>
    <row r="490" spans="1:26" ht="24.75" customHeight="1">
      <c r="A490" s="406"/>
      <c r="B490" s="475"/>
      <c r="C490" s="406"/>
      <c r="D490" s="406"/>
      <c r="E490" s="505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</row>
    <row r="491" spans="1:26" ht="24.75" customHeight="1">
      <c r="A491" s="406"/>
      <c r="B491" s="475"/>
      <c r="C491" s="406"/>
      <c r="D491" s="406"/>
      <c r="E491" s="505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</row>
    <row r="492" spans="1:26" ht="24.75" customHeight="1">
      <c r="A492" s="406"/>
      <c r="B492" s="475"/>
      <c r="C492" s="406"/>
      <c r="D492" s="406"/>
      <c r="E492" s="505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</row>
    <row r="493" spans="1:26" ht="24.75" customHeight="1">
      <c r="A493" s="406"/>
      <c r="B493" s="475"/>
      <c r="C493" s="406"/>
      <c r="D493" s="406"/>
      <c r="E493" s="505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</row>
    <row r="494" spans="1:26" ht="24.75" customHeight="1">
      <c r="A494" s="406"/>
      <c r="B494" s="475"/>
      <c r="C494" s="406"/>
      <c r="D494" s="406"/>
      <c r="E494" s="505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</row>
    <row r="495" spans="1:26" ht="24.75" customHeight="1">
      <c r="A495" s="406"/>
      <c r="B495" s="475"/>
      <c r="C495" s="406"/>
      <c r="D495" s="406"/>
      <c r="E495" s="505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</row>
    <row r="496" spans="1:26" ht="24.75" customHeight="1">
      <c r="A496" s="406"/>
      <c r="B496" s="475"/>
      <c r="C496" s="406"/>
      <c r="D496" s="406"/>
      <c r="E496" s="505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</row>
    <row r="497" spans="1:26" ht="24.75" customHeight="1">
      <c r="A497" s="406"/>
      <c r="B497" s="475"/>
      <c r="C497" s="406"/>
      <c r="D497" s="406"/>
      <c r="E497" s="505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</row>
    <row r="498" spans="1:26" ht="24.75" customHeight="1">
      <c r="A498" s="406"/>
      <c r="B498" s="475"/>
      <c r="C498" s="406"/>
      <c r="D498" s="406"/>
      <c r="E498" s="505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</row>
    <row r="499" spans="1:26" ht="24.75" customHeight="1">
      <c r="A499" s="406"/>
      <c r="B499" s="475"/>
      <c r="C499" s="406"/>
      <c r="D499" s="406"/>
      <c r="E499" s="505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</row>
    <row r="500" spans="1:26" ht="24.75" customHeight="1">
      <c r="A500" s="406"/>
      <c r="B500" s="475"/>
      <c r="C500" s="406"/>
      <c r="D500" s="406"/>
      <c r="E500" s="505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</row>
    <row r="501" spans="1:26" ht="24.75" customHeight="1">
      <c r="A501" s="406"/>
      <c r="B501" s="475"/>
      <c r="C501" s="406"/>
      <c r="D501" s="406"/>
      <c r="E501" s="505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</row>
    <row r="502" spans="1:26" ht="24.75" customHeight="1">
      <c r="A502" s="406"/>
      <c r="B502" s="475"/>
      <c r="C502" s="406"/>
      <c r="D502" s="406"/>
      <c r="E502" s="505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</row>
    <row r="503" spans="1:26" ht="24.75" customHeight="1">
      <c r="A503" s="406"/>
      <c r="B503" s="475"/>
      <c r="C503" s="406"/>
      <c r="D503" s="406"/>
      <c r="E503" s="505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</row>
    <row r="504" spans="1:26" ht="24.75" customHeight="1">
      <c r="A504" s="406"/>
      <c r="B504" s="475"/>
      <c r="C504" s="406"/>
      <c r="D504" s="406"/>
      <c r="E504" s="505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</row>
    <row r="505" spans="1:26" ht="24.75" customHeight="1">
      <c r="A505" s="406"/>
      <c r="B505" s="475"/>
      <c r="C505" s="406"/>
      <c r="D505" s="406"/>
      <c r="E505" s="505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</row>
    <row r="506" spans="1:26" ht="24.75" customHeight="1">
      <c r="A506" s="406"/>
      <c r="B506" s="475"/>
      <c r="C506" s="406"/>
      <c r="D506" s="406"/>
      <c r="E506" s="505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</row>
    <row r="507" spans="1:26" ht="24.75" customHeight="1">
      <c r="A507" s="406"/>
      <c r="B507" s="475"/>
      <c r="C507" s="406"/>
      <c r="D507" s="406"/>
      <c r="E507" s="505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</row>
    <row r="508" spans="1:26" ht="24.75" customHeight="1">
      <c r="A508" s="406"/>
      <c r="B508" s="475"/>
      <c r="C508" s="406"/>
      <c r="D508" s="406"/>
      <c r="E508" s="505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</row>
    <row r="509" spans="1:26" ht="24.75" customHeight="1">
      <c r="A509" s="406"/>
      <c r="B509" s="475"/>
      <c r="C509" s="406"/>
      <c r="D509" s="406"/>
      <c r="E509" s="505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</row>
    <row r="510" spans="1:26" ht="24.75" customHeight="1">
      <c r="A510" s="406"/>
      <c r="B510" s="475"/>
      <c r="C510" s="406"/>
      <c r="D510" s="406"/>
      <c r="E510" s="505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</row>
    <row r="511" spans="1:26" ht="24.75" customHeight="1">
      <c r="A511" s="406"/>
      <c r="B511" s="475"/>
      <c r="C511" s="406"/>
      <c r="D511" s="406"/>
      <c r="E511" s="505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</row>
    <row r="512" spans="1:26" ht="24.75" customHeight="1">
      <c r="A512" s="406"/>
      <c r="B512" s="475"/>
      <c r="C512" s="406"/>
      <c r="D512" s="406"/>
      <c r="E512" s="505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</row>
    <row r="513" spans="1:26" ht="24.75" customHeight="1">
      <c r="A513" s="406"/>
      <c r="B513" s="475"/>
      <c r="C513" s="406"/>
      <c r="D513" s="406"/>
      <c r="E513" s="505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</row>
    <row r="514" spans="1:26" ht="24.75" customHeight="1">
      <c r="A514" s="406"/>
      <c r="B514" s="475"/>
      <c r="C514" s="406"/>
      <c r="D514" s="406"/>
      <c r="E514" s="505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</row>
    <row r="515" spans="1:26" ht="24.75" customHeight="1">
      <c r="A515" s="406"/>
      <c r="B515" s="475"/>
      <c r="C515" s="406"/>
      <c r="D515" s="406"/>
      <c r="E515" s="505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</row>
    <row r="516" spans="1:26" ht="24.75" customHeight="1">
      <c r="A516" s="406"/>
      <c r="B516" s="475"/>
      <c r="C516" s="406"/>
      <c r="D516" s="406"/>
      <c r="E516" s="505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</row>
    <row r="517" spans="1:26" ht="24.75" customHeight="1">
      <c r="A517" s="406"/>
      <c r="B517" s="475"/>
      <c r="C517" s="406"/>
      <c r="D517" s="406"/>
      <c r="E517" s="505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</row>
    <row r="518" spans="1:26" ht="24.75" customHeight="1">
      <c r="A518" s="406"/>
      <c r="B518" s="475"/>
      <c r="C518" s="406"/>
      <c r="D518" s="406"/>
      <c r="E518" s="505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</row>
    <row r="519" spans="1:26" ht="24.75" customHeight="1">
      <c r="A519" s="406"/>
      <c r="B519" s="475"/>
      <c r="C519" s="406"/>
      <c r="D519" s="406"/>
      <c r="E519" s="505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</row>
    <row r="520" spans="1:26" ht="24.75" customHeight="1">
      <c r="A520" s="406"/>
      <c r="B520" s="475"/>
      <c r="C520" s="406"/>
      <c r="D520" s="406"/>
      <c r="E520" s="505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</row>
    <row r="521" spans="1:26" ht="24.75" customHeight="1">
      <c r="A521" s="406"/>
      <c r="B521" s="475"/>
      <c r="C521" s="406"/>
      <c r="D521" s="406"/>
      <c r="E521" s="505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</row>
    <row r="522" spans="1:26" ht="24.75" customHeight="1">
      <c r="A522" s="406"/>
      <c r="B522" s="475"/>
      <c r="C522" s="406"/>
      <c r="D522" s="406"/>
      <c r="E522" s="505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</row>
    <row r="523" spans="1:26" ht="24.75" customHeight="1">
      <c r="A523" s="406"/>
      <c r="B523" s="475"/>
      <c r="C523" s="406"/>
      <c r="D523" s="406"/>
      <c r="E523" s="505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</row>
    <row r="524" spans="1:26" ht="24.75" customHeight="1">
      <c r="A524" s="406"/>
      <c r="B524" s="475"/>
      <c r="C524" s="406"/>
      <c r="D524" s="406"/>
      <c r="E524" s="505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</row>
    <row r="525" spans="1:26" ht="24.75" customHeight="1">
      <c r="A525" s="406"/>
      <c r="B525" s="475"/>
      <c r="C525" s="406"/>
      <c r="D525" s="406"/>
      <c r="E525" s="505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</row>
    <row r="526" spans="1:26" ht="24.75" customHeight="1">
      <c r="A526" s="406"/>
      <c r="B526" s="475"/>
      <c r="C526" s="406"/>
      <c r="D526" s="406"/>
      <c r="E526" s="505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</row>
    <row r="527" spans="1:26" ht="24.75" customHeight="1">
      <c r="A527" s="406"/>
      <c r="B527" s="475"/>
      <c r="C527" s="406"/>
      <c r="D527" s="406"/>
      <c r="E527" s="505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</row>
    <row r="528" spans="1:26" ht="24.75" customHeight="1">
      <c r="A528" s="406"/>
      <c r="B528" s="475"/>
      <c r="C528" s="406"/>
      <c r="D528" s="406"/>
      <c r="E528" s="505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</row>
    <row r="529" spans="1:26" ht="24.75" customHeight="1">
      <c r="A529" s="406"/>
      <c r="B529" s="475"/>
      <c r="C529" s="406"/>
      <c r="D529" s="406"/>
      <c r="E529" s="505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</row>
    <row r="530" spans="1:26" ht="24.75" customHeight="1">
      <c r="A530" s="406"/>
      <c r="B530" s="475"/>
      <c r="C530" s="406"/>
      <c r="D530" s="406"/>
      <c r="E530" s="505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</row>
    <row r="531" spans="1:26" ht="24.75" customHeight="1">
      <c r="A531" s="406"/>
      <c r="B531" s="475"/>
      <c r="C531" s="406"/>
      <c r="D531" s="406"/>
      <c r="E531" s="505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</row>
    <row r="532" spans="1:26" ht="24.75" customHeight="1">
      <c r="A532" s="406"/>
      <c r="B532" s="475"/>
      <c r="C532" s="406"/>
      <c r="D532" s="406"/>
      <c r="E532" s="505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</row>
    <row r="533" spans="1:26" ht="24.75" customHeight="1">
      <c r="A533" s="406"/>
      <c r="B533" s="475"/>
      <c r="C533" s="406"/>
      <c r="D533" s="406"/>
      <c r="E533" s="505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</row>
    <row r="534" spans="1:26" ht="24.75" customHeight="1">
      <c r="A534" s="406"/>
      <c r="B534" s="475"/>
      <c r="C534" s="406"/>
      <c r="D534" s="406"/>
      <c r="E534" s="505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</row>
    <row r="535" spans="1:26" ht="24.75" customHeight="1">
      <c r="A535" s="406"/>
      <c r="B535" s="475"/>
      <c r="C535" s="406"/>
      <c r="D535" s="406"/>
      <c r="E535" s="505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</row>
    <row r="536" spans="1:26" ht="24.75" customHeight="1">
      <c r="A536" s="406"/>
      <c r="B536" s="475"/>
      <c r="C536" s="406"/>
      <c r="D536" s="406"/>
      <c r="E536" s="505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</row>
    <row r="537" spans="1:26" ht="24.75" customHeight="1">
      <c r="A537" s="406"/>
      <c r="B537" s="475"/>
      <c r="C537" s="406"/>
      <c r="D537" s="406"/>
      <c r="E537" s="505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</row>
    <row r="538" spans="1:26" ht="24.75" customHeight="1">
      <c r="A538" s="406"/>
      <c r="B538" s="475"/>
      <c r="C538" s="406"/>
      <c r="D538" s="406"/>
      <c r="E538" s="505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</row>
    <row r="539" spans="1:26" ht="24.75" customHeight="1">
      <c r="A539" s="406"/>
      <c r="B539" s="475"/>
      <c r="C539" s="406"/>
      <c r="D539" s="406"/>
      <c r="E539" s="505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</row>
    <row r="540" spans="1:26" ht="24.75" customHeight="1">
      <c r="A540" s="406"/>
      <c r="B540" s="475"/>
      <c r="C540" s="406"/>
      <c r="D540" s="406"/>
      <c r="E540" s="505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</row>
    <row r="541" spans="1:26" ht="24.75" customHeight="1">
      <c r="A541" s="406"/>
      <c r="B541" s="475"/>
      <c r="C541" s="406"/>
      <c r="D541" s="406"/>
      <c r="E541" s="505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</row>
    <row r="542" spans="1:26" ht="24.75" customHeight="1">
      <c r="A542" s="406"/>
      <c r="B542" s="475"/>
      <c r="C542" s="406"/>
      <c r="D542" s="406"/>
      <c r="E542" s="505"/>
      <c r="F542" s="406"/>
      <c r="G542" s="406"/>
      <c r="H542" s="406"/>
      <c r="I542" s="406"/>
      <c r="J542" s="406"/>
      <c r="K542" s="406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</row>
    <row r="543" spans="1:26" ht="24.75" customHeight="1">
      <c r="A543" s="406"/>
      <c r="B543" s="475"/>
      <c r="C543" s="406"/>
      <c r="D543" s="406"/>
      <c r="E543" s="505"/>
      <c r="F543" s="406"/>
      <c r="G543" s="406"/>
      <c r="H543" s="406"/>
      <c r="I543" s="406"/>
      <c r="J543" s="406"/>
      <c r="K543" s="406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</row>
    <row r="544" spans="1:26" ht="24.75" customHeight="1">
      <c r="A544" s="406"/>
      <c r="B544" s="475"/>
      <c r="C544" s="406"/>
      <c r="D544" s="406"/>
      <c r="E544" s="505"/>
      <c r="F544" s="406"/>
      <c r="G544" s="406"/>
      <c r="H544" s="406"/>
      <c r="I544" s="406"/>
      <c r="J544" s="406"/>
      <c r="K544" s="406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</row>
    <row r="545" spans="1:26" ht="24.75" customHeight="1">
      <c r="A545" s="406"/>
      <c r="B545" s="475"/>
      <c r="C545" s="406"/>
      <c r="D545" s="406"/>
      <c r="E545" s="505"/>
      <c r="F545" s="406"/>
      <c r="G545" s="406"/>
      <c r="H545" s="406"/>
      <c r="I545" s="406"/>
      <c r="J545" s="406"/>
      <c r="K545" s="406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</row>
    <row r="546" spans="1:26" ht="24.75" customHeight="1">
      <c r="A546" s="406"/>
      <c r="B546" s="475"/>
      <c r="C546" s="406"/>
      <c r="D546" s="406"/>
      <c r="E546" s="505"/>
      <c r="F546" s="406"/>
      <c r="G546" s="406"/>
      <c r="H546" s="406"/>
      <c r="I546" s="406"/>
      <c r="J546" s="406"/>
      <c r="K546" s="406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</row>
    <row r="547" spans="1:26" ht="24.75" customHeight="1">
      <c r="A547" s="406"/>
      <c r="B547" s="475"/>
      <c r="C547" s="406"/>
      <c r="D547" s="406"/>
      <c r="E547" s="505"/>
      <c r="F547" s="406"/>
      <c r="G547" s="406"/>
      <c r="H547" s="406"/>
      <c r="I547" s="406"/>
      <c r="J547" s="406"/>
      <c r="K547" s="406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</row>
    <row r="548" spans="1:26" ht="24.75" customHeight="1">
      <c r="A548" s="406"/>
      <c r="B548" s="475"/>
      <c r="C548" s="406"/>
      <c r="D548" s="406"/>
      <c r="E548" s="505"/>
      <c r="F548" s="406"/>
      <c r="G548" s="406"/>
      <c r="H548" s="406"/>
      <c r="I548" s="406"/>
      <c r="J548" s="406"/>
      <c r="K548" s="406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</row>
    <row r="549" spans="1:26" ht="24.75" customHeight="1">
      <c r="A549" s="406"/>
      <c r="B549" s="475"/>
      <c r="C549" s="406"/>
      <c r="D549" s="406"/>
      <c r="E549" s="505"/>
      <c r="F549" s="406"/>
      <c r="G549" s="406"/>
      <c r="H549" s="406"/>
      <c r="I549" s="406"/>
      <c r="J549" s="406"/>
      <c r="K549" s="406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</row>
    <row r="550" spans="1:26" ht="24.75" customHeight="1">
      <c r="A550" s="406"/>
      <c r="B550" s="475"/>
      <c r="C550" s="406"/>
      <c r="D550" s="406"/>
      <c r="E550" s="505"/>
      <c r="F550" s="406"/>
      <c r="G550" s="406"/>
      <c r="H550" s="406"/>
      <c r="I550" s="406"/>
      <c r="J550" s="406"/>
      <c r="K550" s="406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</row>
    <row r="551" spans="1:26" ht="24.75" customHeight="1">
      <c r="A551" s="406"/>
      <c r="B551" s="475"/>
      <c r="C551" s="406"/>
      <c r="D551" s="406"/>
      <c r="E551" s="505"/>
      <c r="F551" s="406"/>
      <c r="G551" s="406"/>
      <c r="H551" s="406"/>
      <c r="I551" s="406"/>
      <c r="J551" s="406"/>
      <c r="K551" s="406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</row>
    <row r="552" spans="1:26" ht="24.75" customHeight="1">
      <c r="A552" s="406"/>
      <c r="B552" s="475"/>
      <c r="C552" s="406"/>
      <c r="D552" s="406"/>
      <c r="E552" s="505"/>
      <c r="F552" s="406"/>
      <c r="G552" s="406"/>
      <c r="H552" s="406"/>
      <c r="I552" s="406"/>
      <c r="J552" s="406"/>
      <c r="K552" s="406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</row>
    <row r="553" spans="1:26" ht="24.75" customHeight="1">
      <c r="A553" s="406"/>
      <c r="B553" s="475"/>
      <c r="C553" s="406"/>
      <c r="D553" s="406"/>
      <c r="E553" s="505"/>
      <c r="F553" s="406"/>
      <c r="G553" s="406"/>
      <c r="H553" s="406"/>
      <c r="I553" s="406"/>
      <c r="J553" s="406"/>
      <c r="K553" s="406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</row>
    <row r="554" spans="1:26" ht="24.75" customHeight="1">
      <c r="A554" s="406"/>
      <c r="B554" s="475"/>
      <c r="C554" s="406"/>
      <c r="D554" s="406"/>
      <c r="E554" s="505"/>
      <c r="F554" s="406"/>
      <c r="G554" s="406"/>
      <c r="H554" s="406"/>
      <c r="I554" s="406"/>
      <c r="J554" s="406"/>
      <c r="K554" s="406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</row>
    <row r="555" spans="1:26" ht="24.75" customHeight="1">
      <c r="A555" s="406"/>
      <c r="B555" s="475"/>
      <c r="C555" s="406"/>
      <c r="D555" s="406"/>
      <c r="E555" s="505"/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</row>
    <row r="556" spans="1:26" ht="24.75" customHeight="1">
      <c r="A556" s="406"/>
      <c r="B556" s="475"/>
      <c r="C556" s="406"/>
      <c r="D556" s="406"/>
      <c r="E556" s="505"/>
      <c r="F556" s="406"/>
      <c r="G556" s="406"/>
      <c r="H556" s="406"/>
      <c r="I556" s="406"/>
      <c r="J556" s="406"/>
      <c r="K556" s="406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</row>
    <row r="557" spans="1:26" ht="24.75" customHeight="1">
      <c r="A557" s="406"/>
      <c r="B557" s="475"/>
      <c r="C557" s="406"/>
      <c r="D557" s="406"/>
      <c r="E557" s="505"/>
      <c r="F557" s="406"/>
      <c r="G557" s="406"/>
      <c r="H557" s="406"/>
      <c r="I557" s="406"/>
      <c r="J557" s="406"/>
      <c r="K557" s="406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</row>
    <row r="558" spans="1:26" ht="24.75" customHeight="1">
      <c r="A558" s="406"/>
      <c r="B558" s="475"/>
      <c r="C558" s="406"/>
      <c r="D558" s="406"/>
      <c r="E558" s="505"/>
      <c r="F558" s="406"/>
      <c r="G558" s="406"/>
      <c r="H558" s="406"/>
      <c r="I558" s="406"/>
      <c r="J558" s="406"/>
      <c r="K558" s="406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</row>
    <row r="559" spans="1:26" ht="24.75" customHeight="1">
      <c r="A559" s="406"/>
      <c r="B559" s="475"/>
      <c r="C559" s="406"/>
      <c r="D559" s="406"/>
      <c r="E559" s="505"/>
      <c r="F559" s="406"/>
      <c r="G559" s="406"/>
      <c r="H559" s="406"/>
      <c r="I559" s="406"/>
      <c r="J559" s="406"/>
      <c r="K559" s="406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</row>
    <row r="560" spans="1:26" ht="24.75" customHeight="1">
      <c r="A560" s="406"/>
      <c r="B560" s="475"/>
      <c r="C560" s="406"/>
      <c r="D560" s="406"/>
      <c r="E560" s="505"/>
      <c r="F560" s="406"/>
      <c r="G560" s="406"/>
      <c r="H560" s="406"/>
      <c r="I560" s="406"/>
      <c r="J560" s="406"/>
      <c r="K560" s="406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</row>
    <row r="561" spans="1:26" ht="24.75" customHeight="1">
      <c r="A561" s="406"/>
      <c r="B561" s="475"/>
      <c r="C561" s="406"/>
      <c r="D561" s="406"/>
      <c r="E561" s="505"/>
      <c r="F561" s="406"/>
      <c r="G561" s="406"/>
      <c r="H561" s="406"/>
      <c r="I561" s="406"/>
      <c r="J561" s="406"/>
      <c r="K561" s="406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</row>
    <row r="562" spans="1:26" ht="24.75" customHeight="1">
      <c r="A562" s="406"/>
      <c r="B562" s="475"/>
      <c r="C562" s="406"/>
      <c r="D562" s="406"/>
      <c r="E562" s="505"/>
      <c r="F562" s="406"/>
      <c r="G562" s="406"/>
      <c r="H562" s="406"/>
      <c r="I562" s="406"/>
      <c r="J562" s="406"/>
      <c r="K562" s="406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</row>
    <row r="563" spans="1:26" ht="24.75" customHeight="1">
      <c r="A563" s="406"/>
      <c r="B563" s="475"/>
      <c r="C563" s="406"/>
      <c r="D563" s="406"/>
      <c r="E563" s="505"/>
      <c r="F563" s="406"/>
      <c r="G563" s="406"/>
      <c r="H563" s="406"/>
      <c r="I563" s="406"/>
      <c r="J563" s="406"/>
      <c r="K563" s="406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</row>
    <row r="564" spans="1:26" ht="24.75" customHeight="1">
      <c r="A564" s="406"/>
      <c r="B564" s="475"/>
      <c r="C564" s="406"/>
      <c r="D564" s="406"/>
      <c r="E564" s="505"/>
      <c r="F564" s="406"/>
      <c r="G564" s="406"/>
      <c r="H564" s="406"/>
      <c r="I564" s="406"/>
      <c r="J564" s="406"/>
      <c r="K564" s="406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</row>
    <row r="565" spans="1:26" ht="24.75" customHeight="1">
      <c r="A565" s="406"/>
      <c r="B565" s="475"/>
      <c r="C565" s="406"/>
      <c r="D565" s="406"/>
      <c r="E565" s="505"/>
      <c r="F565" s="406"/>
      <c r="G565" s="406"/>
      <c r="H565" s="406"/>
      <c r="I565" s="406"/>
      <c r="J565" s="406"/>
      <c r="K565" s="406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</row>
    <row r="566" spans="1:26" ht="24.75" customHeight="1">
      <c r="A566" s="406"/>
      <c r="B566" s="475"/>
      <c r="C566" s="406"/>
      <c r="D566" s="406"/>
      <c r="E566" s="505"/>
      <c r="F566" s="406"/>
      <c r="G566" s="406"/>
      <c r="H566" s="406"/>
      <c r="I566" s="406"/>
      <c r="J566" s="406"/>
      <c r="K566" s="406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</row>
    <row r="567" spans="1:26" ht="24.75" customHeight="1">
      <c r="A567" s="406"/>
      <c r="B567" s="475"/>
      <c r="C567" s="406"/>
      <c r="D567" s="406"/>
      <c r="E567" s="505"/>
      <c r="F567" s="406"/>
      <c r="G567" s="406"/>
      <c r="H567" s="406"/>
      <c r="I567" s="406"/>
      <c r="J567" s="406"/>
      <c r="K567" s="406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</row>
    <row r="568" spans="1:26" ht="24.75" customHeight="1">
      <c r="A568" s="406"/>
      <c r="B568" s="475"/>
      <c r="C568" s="406"/>
      <c r="D568" s="406"/>
      <c r="E568" s="505"/>
      <c r="F568" s="406"/>
      <c r="G568" s="406"/>
      <c r="H568" s="406"/>
      <c r="I568" s="406"/>
      <c r="J568" s="406"/>
      <c r="K568" s="406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</row>
    <row r="569" spans="1:26" ht="24.75" customHeight="1">
      <c r="A569" s="406"/>
      <c r="B569" s="475"/>
      <c r="C569" s="406"/>
      <c r="D569" s="406"/>
      <c r="E569" s="505"/>
      <c r="F569" s="406"/>
      <c r="G569" s="406"/>
      <c r="H569" s="406"/>
      <c r="I569" s="406"/>
      <c r="J569" s="406"/>
      <c r="K569" s="406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</row>
    <row r="570" spans="1:26" ht="24.75" customHeight="1">
      <c r="A570" s="406"/>
      <c r="B570" s="475"/>
      <c r="C570" s="406"/>
      <c r="D570" s="406"/>
      <c r="E570" s="505"/>
      <c r="F570" s="406"/>
      <c r="G570" s="406"/>
      <c r="H570" s="406"/>
      <c r="I570" s="406"/>
      <c r="J570" s="406"/>
      <c r="K570" s="406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</row>
    <row r="571" spans="1:26" ht="24.75" customHeight="1">
      <c r="A571" s="406"/>
      <c r="B571" s="475"/>
      <c r="C571" s="406"/>
      <c r="D571" s="406"/>
      <c r="E571" s="505"/>
      <c r="F571" s="406"/>
      <c r="G571" s="406"/>
      <c r="H571" s="406"/>
      <c r="I571" s="406"/>
      <c r="J571" s="406"/>
      <c r="K571" s="406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</row>
    <row r="572" spans="1:26" ht="24.75" customHeight="1">
      <c r="A572" s="406"/>
      <c r="B572" s="475"/>
      <c r="C572" s="406"/>
      <c r="D572" s="406"/>
      <c r="E572" s="505"/>
      <c r="F572" s="406"/>
      <c r="G572" s="406"/>
      <c r="H572" s="406"/>
      <c r="I572" s="406"/>
      <c r="J572" s="406"/>
      <c r="K572" s="406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</row>
    <row r="573" spans="1:26" ht="24.75" customHeight="1">
      <c r="A573" s="406"/>
      <c r="B573" s="475"/>
      <c r="C573" s="406"/>
      <c r="D573" s="406"/>
      <c r="E573" s="505"/>
      <c r="F573" s="406"/>
      <c r="G573" s="406"/>
      <c r="H573" s="406"/>
      <c r="I573" s="406"/>
      <c r="J573" s="406"/>
      <c r="K573" s="406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</row>
    <row r="574" spans="1:26" ht="24.75" customHeight="1">
      <c r="A574" s="406"/>
      <c r="B574" s="475"/>
      <c r="C574" s="406"/>
      <c r="D574" s="406"/>
      <c r="E574" s="505"/>
      <c r="F574" s="406"/>
      <c r="G574" s="406"/>
      <c r="H574" s="406"/>
      <c r="I574" s="406"/>
      <c r="J574" s="406"/>
      <c r="K574" s="406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</row>
    <row r="575" spans="1:26" ht="24.75" customHeight="1">
      <c r="A575" s="406"/>
      <c r="B575" s="475"/>
      <c r="C575" s="406"/>
      <c r="D575" s="406"/>
      <c r="E575" s="505"/>
      <c r="F575" s="406"/>
      <c r="G575" s="406"/>
      <c r="H575" s="406"/>
      <c r="I575" s="406"/>
      <c r="J575" s="406"/>
      <c r="K575" s="406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</row>
    <row r="576" spans="1:26" ht="24.75" customHeight="1">
      <c r="A576" s="406"/>
      <c r="B576" s="475"/>
      <c r="C576" s="406"/>
      <c r="D576" s="406"/>
      <c r="E576" s="505"/>
      <c r="F576" s="406"/>
      <c r="G576" s="406"/>
      <c r="H576" s="406"/>
      <c r="I576" s="406"/>
      <c r="J576" s="406"/>
      <c r="K576" s="406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</row>
    <row r="577" spans="1:26" ht="24.75" customHeight="1">
      <c r="A577" s="406"/>
      <c r="B577" s="475"/>
      <c r="C577" s="406"/>
      <c r="D577" s="406"/>
      <c r="E577" s="505"/>
      <c r="F577" s="406"/>
      <c r="G577" s="406"/>
      <c r="H577" s="406"/>
      <c r="I577" s="406"/>
      <c r="J577" s="406"/>
      <c r="K577" s="406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</row>
    <row r="578" spans="1:26" ht="24.75" customHeight="1">
      <c r="A578" s="406"/>
      <c r="B578" s="475"/>
      <c r="C578" s="406"/>
      <c r="D578" s="406"/>
      <c r="E578" s="505"/>
      <c r="F578" s="406"/>
      <c r="G578" s="406"/>
      <c r="H578" s="406"/>
      <c r="I578" s="406"/>
      <c r="J578" s="406"/>
      <c r="K578" s="406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</row>
    <row r="579" spans="1:26" ht="24.75" customHeight="1">
      <c r="A579" s="406"/>
      <c r="B579" s="475"/>
      <c r="C579" s="406"/>
      <c r="D579" s="406"/>
      <c r="E579" s="505"/>
      <c r="F579" s="406"/>
      <c r="G579" s="406"/>
      <c r="H579" s="406"/>
      <c r="I579" s="406"/>
      <c r="J579" s="406"/>
      <c r="K579" s="406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</row>
    <row r="580" spans="1:26" ht="24.75" customHeight="1">
      <c r="A580" s="406"/>
      <c r="B580" s="475"/>
      <c r="C580" s="406"/>
      <c r="D580" s="406"/>
      <c r="E580" s="505"/>
      <c r="F580" s="406"/>
      <c r="G580" s="406"/>
      <c r="H580" s="406"/>
      <c r="I580" s="406"/>
      <c r="J580" s="406"/>
      <c r="K580" s="406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</row>
    <row r="581" spans="1:26" ht="24.75" customHeight="1">
      <c r="A581" s="406"/>
      <c r="B581" s="475"/>
      <c r="C581" s="406"/>
      <c r="D581" s="406"/>
      <c r="E581" s="505"/>
      <c r="F581" s="406"/>
      <c r="G581" s="406"/>
      <c r="H581" s="406"/>
      <c r="I581" s="406"/>
      <c r="J581" s="406"/>
      <c r="K581" s="406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</row>
    <row r="582" spans="1:26" ht="24.75" customHeight="1">
      <c r="A582" s="406"/>
      <c r="B582" s="475"/>
      <c r="C582" s="406"/>
      <c r="D582" s="406"/>
      <c r="E582" s="505"/>
      <c r="F582" s="406"/>
      <c r="G582" s="406"/>
      <c r="H582" s="406"/>
      <c r="I582" s="406"/>
      <c r="J582" s="406"/>
      <c r="K582" s="406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</row>
    <row r="583" spans="1:26" ht="24.75" customHeight="1">
      <c r="A583" s="406"/>
      <c r="B583" s="475"/>
      <c r="C583" s="406"/>
      <c r="D583" s="406"/>
      <c r="E583" s="505"/>
      <c r="F583" s="406"/>
      <c r="G583" s="406"/>
      <c r="H583" s="406"/>
      <c r="I583" s="406"/>
      <c r="J583" s="406"/>
      <c r="K583" s="406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</row>
    <row r="584" spans="1:26" ht="24.75" customHeight="1">
      <c r="A584" s="406"/>
      <c r="B584" s="475"/>
      <c r="C584" s="406"/>
      <c r="D584" s="406"/>
      <c r="E584" s="505"/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</row>
    <row r="585" spans="1:26" ht="24.75" customHeight="1">
      <c r="A585" s="406"/>
      <c r="B585" s="475"/>
      <c r="C585" s="406"/>
      <c r="D585" s="406"/>
      <c r="E585" s="505"/>
      <c r="F585" s="406"/>
      <c r="G585" s="406"/>
      <c r="H585" s="406"/>
      <c r="I585" s="406"/>
      <c r="J585" s="406"/>
      <c r="K585" s="406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</row>
    <row r="586" spans="1:26" ht="24.75" customHeight="1">
      <c r="A586" s="406"/>
      <c r="B586" s="475"/>
      <c r="C586" s="406"/>
      <c r="D586" s="406"/>
      <c r="E586" s="505"/>
      <c r="F586" s="406"/>
      <c r="G586" s="406"/>
      <c r="H586" s="406"/>
      <c r="I586" s="406"/>
      <c r="J586" s="406"/>
      <c r="K586" s="406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</row>
    <row r="587" spans="1:26" ht="24.75" customHeight="1">
      <c r="A587" s="406"/>
      <c r="B587" s="475"/>
      <c r="C587" s="406"/>
      <c r="D587" s="406"/>
      <c r="E587" s="505"/>
      <c r="F587" s="406"/>
      <c r="G587" s="406"/>
      <c r="H587" s="406"/>
      <c r="I587" s="406"/>
      <c r="J587" s="406"/>
      <c r="K587" s="406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</row>
    <row r="588" spans="1:26" ht="24.75" customHeight="1">
      <c r="A588" s="406"/>
      <c r="B588" s="475"/>
      <c r="C588" s="406"/>
      <c r="D588" s="406"/>
      <c r="E588" s="505"/>
      <c r="F588" s="406"/>
      <c r="G588" s="406"/>
      <c r="H588" s="406"/>
      <c r="I588" s="406"/>
      <c r="J588" s="406"/>
      <c r="K588" s="406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</row>
    <row r="589" spans="1:26" ht="24.75" customHeight="1">
      <c r="A589" s="406"/>
      <c r="B589" s="475"/>
      <c r="C589" s="406"/>
      <c r="D589" s="406"/>
      <c r="E589" s="505"/>
      <c r="F589" s="406"/>
      <c r="G589" s="406"/>
      <c r="H589" s="406"/>
      <c r="I589" s="406"/>
      <c r="J589" s="406"/>
      <c r="K589" s="406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</row>
    <row r="590" spans="1:26" ht="24.75" customHeight="1">
      <c r="A590" s="406"/>
      <c r="B590" s="475"/>
      <c r="C590" s="406"/>
      <c r="D590" s="406"/>
      <c r="E590" s="505"/>
      <c r="F590" s="406"/>
      <c r="G590" s="406"/>
      <c r="H590" s="406"/>
      <c r="I590" s="406"/>
      <c r="J590" s="406"/>
      <c r="K590" s="406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</row>
    <row r="591" spans="1:26" ht="24.75" customHeight="1">
      <c r="A591" s="406"/>
      <c r="B591" s="475"/>
      <c r="C591" s="406"/>
      <c r="D591" s="406"/>
      <c r="E591" s="505"/>
      <c r="F591" s="406"/>
      <c r="G591" s="406"/>
      <c r="H591" s="406"/>
      <c r="I591" s="406"/>
      <c r="J591" s="406"/>
      <c r="K591" s="406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</row>
    <row r="592" spans="1:26" ht="24.75" customHeight="1">
      <c r="A592" s="406"/>
      <c r="B592" s="475"/>
      <c r="C592" s="406"/>
      <c r="D592" s="406"/>
      <c r="E592" s="505"/>
      <c r="F592" s="406"/>
      <c r="G592" s="406"/>
      <c r="H592" s="406"/>
      <c r="I592" s="406"/>
      <c r="J592" s="406"/>
      <c r="K592" s="406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</row>
    <row r="593" spans="1:26" ht="24.75" customHeight="1">
      <c r="A593" s="406"/>
      <c r="B593" s="475"/>
      <c r="C593" s="406"/>
      <c r="D593" s="406"/>
      <c r="E593" s="505"/>
      <c r="F593" s="406"/>
      <c r="G593" s="406"/>
      <c r="H593" s="406"/>
      <c r="I593" s="406"/>
      <c r="J593" s="406"/>
      <c r="K593" s="406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</row>
    <row r="594" spans="1:26" ht="24.75" customHeight="1">
      <c r="A594" s="406"/>
      <c r="B594" s="475"/>
      <c r="C594" s="406"/>
      <c r="D594" s="406"/>
      <c r="E594" s="505"/>
      <c r="F594" s="406"/>
      <c r="G594" s="406"/>
      <c r="H594" s="406"/>
      <c r="I594" s="406"/>
      <c r="J594" s="406"/>
      <c r="K594" s="406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</row>
    <row r="595" spans="1:26" ht="24.75" customHeight="1">
      <c r="A595" s="406"/>
      <c r="B595" s="475"/>
      <c r="C595" s="406"/>
      <c r="D595" s="406"/>
      <c r="E595" s="505"/>
      <c r="F595" s="406"/>
      <c r="G595" s="406"/>
      <c r="H595" s="406"/>
      <c r="I595" s="406"/>
      <c r="J595" s="406"/>
      <c r="K595" s="406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</row>
    <row r="596" spans="1:26" ht="24.75" customHeight="1">
      <c r="A596" s="406"/>
      <c r="B596" s="475"/>
      <c r="C596" s="406"/>
      <c r="D596" s="406"/>
      <c r="E596" s="505"/>
      <c r="F596" s="406"/>
      <c r="G596" s="406"/>
      <c r="H596" s="406"/>
      <c r="I596" s="406"/>
      <c r="J596" s="406"/>
      <c r="K596" s="406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</row>
    <row r="597" spans="1:26" ht="24.75" customHeight="1">
      <c r="A597" s="406"/>
      <c r="B597" s="475"/>
      <c r="C597" s="406"/>
      <c r="D597" s="406"/>
      <c r="E597" s="505"/>
      <c r="F597" s="406"/>
      <c r="G597" s="406"/>
      <c r="H597" s="406"/>
      <c r="I597" s="406"/>
      <c r="J597" s="406"/>
      <c r="K597" s="406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</row>
    <row r="598" spans="1:26" ht="24.75" customHeight="1">
      <c r="A598" s="406"/>
      <c r="B598" s="475"/>
      <c r="C598" s="406"/>
      <c r="D598" s="406"/>
      <c r="E598" s="505"/>
      <c r="F598" s="406"/>
      <c r="G598" s="406"/>
      <c r="H598" s="406"/>
      <c r="I598" s="406"/>
      <c r="J598" s="406"/>
      <c r="K598" s="406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</row>
    <row r="599" spans="1:26" ht="24.75" customHeight="1">
      <c r="A599" s="406"/>
      <c r="B599" s="475"/>
      <c r="C599" s="406"/>
      <c r="D599" s="406"/>
      <c r="E599" s="505"/>
      <c r="F599" s="406"/>
      <c r="G599" s="406"/>
      <c r="H599" s="406"/>
      <c r="I599" s="406"/>
      <c r="J599" s="406"/>
      <c r="K599" s="406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</row>
    <row r="600" spans="1:26" ht="24.75" customHeight="1">
      <c r="A600" s="406"/>
      <c r="B600" s="475"/>
      <c r="C600" s="406"/>
      <c r="D600" s="406"/>
      <c r="E600" s="505"/>
      <c r="F600" s="406"/>
      <c r="G600" s="406"/>
      <c r="H600" s="406"/>
      <c r="I600" s="406"/>
      <c r="J600" s="406"/>
      <c r="K600" s="406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</row>
    <row r="601" spans="1:26" ht="24.75" customHeight="1">
      <c r="A601" s="406"/>
      <c r="B601" s="475"/>
      <c r="C601" s="406"/>
      <c r="D601" s="406"/>
      <c r="E601" s="505"/>
      <c r="F601" s="406"/>
      <c r="G601" s="406"/>
      <c r="H601" s="406"/>
      <c r="I601" s="406"/>
      <c r="J601" s="406"/>
      <c r="K601" s="406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</row>
    <row r="602" spans="1:26" ht="24.75" customHeight="1">
      <c r="A602" s="406"/>
      <c r="B602" s="475"/>
      <c r="C602" s="406"/>
      <c r="D602" s="406"/>
      <c r="E602" s="505"/>
      <c r="F602" s="406"/>
      <c r="G602" s="406"/>
      <c r="H602" s="406"/>
      <c r="I602" s="406"/>
      <c r="J602" s="406"/>
      <c r="K602" s="406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</row>
    <row r="603" spans="1:26" ht="24.75" customHeight="1">
      <c r="A603" s="406"/>
      <c r="B603" s="475"/>
      <c r="C603" s="406"/>
      <c r="D603" s="406"/>
      <c r="E603" s="505"/>
      <c r="F603" s="406"/>
      <c r="G603" s="406"/>
      <c r="H603" s="406"/>
      <c r="I603" s="406"/>
      <c r="J603" s="406"/>
      <c r="K603" s="406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</row>
    <row r="604" spans="1:26" ht="24.75" customHeight="1">
      <c r="A604" s="406"/>
      <c r="B604" s="475"/>
      <c r="C604" s="406"/>
      <c r="D604" s="406"/>
      <c r="E604" s="505"/>
      <c r="F604" s="406"/>
      <c r="G604" s="406"/>
      <c r="H604" s="406"/>
      <c r="I604" s="406"/>
      <c r="J604" s="406"/>
      <c r="K604" s="406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</row>
    <row r="605" spans="1:26" ht="24.75" customHeight="1">
      <c r="A605" s="406"/>
      <c r="B605" s="475"/>
      <c r="C605" s="406"/>
      <c r="D605" s="406"/>
      <c r="E605" s="505"/>
      <c r="F605" s="406"/>
      <c r="G605" s="406"/>
      <c r="H605" s="406"/>
      <c r="I605" s="406"/>
      <c r="J605" s="406"/>
      <c r="K605" s="406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</row>
    <row r="606" spans="1:26" ht="24.75" customHeight="1">
      <c r="A606" s="406"/>
      <c r="B606" s="475"/>
      <c r="C606" s="406"/>
      <c r="D606" s="406"/>
      <c r="E606" s="505"/>
      <c r="F606" s="406"/>
      <c r="G606" s="406"/>
      <c r="H606" s="406"/>
      <c r="I606" s="406"/>
      <c r="J606" s="406"/>
      <c r="K606" s="406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</row>
    <row r="607" spans="1:26" ht="24.75" customHeight="1">
      <c r="A607" s="406"/>
      <c r="B607" s="475"/>
      <c r="C607" s="406"/>
      <c r="D607" s="406"/>
      <c r="E607" s="505"/>
      <c r="F607" s="406"/>
      <c r="G607" s="406"/>
      <c r="H607" s="406"/>
      <c r="I607" s="406"/>
      <c r="J607" s="406"/>
      <c r="K607" s="406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</row>
    <row r="608" spans="1:26" ht="24.75" customHeight="1">
      <c r="A608" s="406"/>
      <c r="B608" s="475"/>
      <c r="C608" s="406"/>
      <c r="D608" s="406"/>
      <c r="E608" s="505"/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</row>
    <row r="609" spans="1:26" ht="24.75" customHeight="1">
      <c r="A609" s="406"/>
      <c r="B609" s="475"/>
      <c r="C609" s="406"/>
      <c r="D609" s="406"/>
      <c r="E609" s="505"/>
      <c r="F609" s="406"/>
      <c r="G609" s="406"/>
      <c r="H609" s="406"/>
      <c r="I609" s="406"/>
      <c r="J609" s="406"/>
      <c r="K609" s="406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</row>
    <row r="610" spans="1:26" ht="24.75" customHeight="1">
      <c r="A610" s="406"/>
      <c r="B610" s="475"/>
      <c r="C610" s="406"/>
      <c r="D610" s="406"/>
      <c r="E610" s="505"/>
      <c r="F610" s="406"/>
      <c r="G610" s="406"/>
      <c r="H610" s="406"/>
      <c r="I610" s="406"/>
      <c r="J610" s="406"/>
      <c r="K610" s="406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</row>
    <row r="611" spans="1:26" ht="24.75" customHeight="1">
      <c r="A611" s="406"/>
      <c r="B611" s="475"/>
      <c r="C611" s="406"/>
      <c r="D611" s="406"/>
      <c r="E611" s="505"/>
      <c r="F611" s="406"/>
      <c r="G611" s="406"/>
      <c r="H611" s="406"/>
      <c r="I611" s="406"/>
      <c r="J611" s="406"/>
      <c r="K611" s="406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</row>
    <row r="612" spans="1:26" ht="24.75" customHeight="1">
      <c r="A612" s="406"/>
      <c r="B612" s="475"/>
      <c r="C612" s="406"/>
      <c r="D612" s="406"/>
      <c r="E612" s="505"/>
      <c r="F612" s="406"/>
      <c r="G612" s="406"/>
      <c r="H612" s="406"/>
      <c r="I612" s="406"/>
      <c r="J612" s="406"/>
      <c r="K612" s="406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</row>
    <row r="613" spans="1:26" ht="24.75" customHeight="1">
      <c r="A613" s="406"/>
      <c r="B613" s="475"/>
      <c r="C613" s="406"/>
      <c r="D613" s="406"/>
      <c r="E613" s="505"/>
      <c r="F613" s="406"/>
      <c r="G613" s="406"/>
      <c r="H613" s="406"/>
      <c r="I613" s="406"/>
      <c r="J613" s="406"/>
      <c r="K613" s="406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</row>
    <row r="614" spans="1:26" ht="24.75" customHeight="1">
      <c r="A614" s="406"/>
      <c r="B614" s="475"/>
      <c r="C614" s="406"/>
      <c r="D614" s="406"/>
      <c r="E614" s="505"/>
      <c r="F614" s="406"/>
      <c r="G614" s="406"/>
      <c r="H614" s="406"/>
      <c r="I614" s="406"/>
      <c r="J614" s="406"/>
      <c r="K614" s="406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</row>
    <row r="615" spans="1:26" ht="24.75" customHeight="1">
      <c r="A615" s="406"/>
      <c r="B615" s="475"/>
      <c r="C615" s="406"/>
      <c r="D615" s="406"/>
      <c r="E615" s="505"/>
      <c r="F615" s="406"/>
      <c r="G615" s="406"/>
      <c r="H615" s="406"/>
      <c r="I615" s="406"/>
      <c r="J615" s="406"/>
      <c r="K615" s="406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</row>
    <row r="616" spans="1:26" ht="24.75" customHeight="1">
      <c r="A616" s="406"/>
      <c r="B616" s="475"/>
      <c r="C616" s="406"/>
      <c r="D616" s="406"/>
      <c r="E616" s="505"/>
      <c r="F616" s="406"/>
      <c r="G616" s="406"/>
      <c r="H616" s="406"/>
      <c r="I616" s="406"/>
      <c r="J616" s="406"/>
      <c r="K616" s="406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</row>
    <row r="617" spans="1:26" ht="24.75" customHeight="1">
      <c r="A617" s="406"/>
      <c r="B617" s="475"/>
      <c r="C617" s="406"/>
      <c r="D617" s="406"/>
      <c r="E617" s="505"/>
      <c r="F617" s="406"/>
      <c r="G617" s="406"/>
      <c r="H617" s="406"/>
      <c r="I617" s="406"/>
      <c r="J617" s="406"/>
      <c r="K617" s="406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</row>
    <row r="618" spans="1:26" ht="24.75" customHeight="1">
      <c r="A618" s="406"/>
      <c r="B618" s="475"/>
      <c r="C618" s="406"/>
      <c r="D618" s="406"/>
      <c r="E618" s="505"/>
      <c r="F618" s="406"/>
      <c r="G618" s="406"/>
      <c r="H618" s="406"/>
      <c r="I618" s="406"/>
      <c r="J618" s="406"/>
      <c r="K618" s="406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</row>
    <row r="619" spans="1:26" ht="24.75" customHeight="1">
      <c r="A619" s="406"/>
      <c r="B619" s="475"/>
      <c r="C619" s="406"/>
      <c r="D619" s="406"/>
      <c r="E619" s="505"/>
      <c r="F619" s="406"/>
      <c r="G619" s="406"/>
      <c r="H619" s="406"/>
      <c r="I619" s="406"/>
      <c r="J619" s="406"/>
      <c r="K619" s="406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</row>
    <row r="620" spans="1:26" ht="24.75" customHeight="1">
      <c r="A620" s="406"/>
      <c r="B620" s="475"/>
      <c r="C620" s="406"/>
      <c r="D620" s="406"/>
      <c r="E620" s="505"/>
      <c r="F620" s="406"/>
      <c r="G620" s="406"/>
      <c r="H620" s="406"/>
      <c r="I620" s="406"/>
      <c r="J620" s="406"/>
      <c r="K620" s="406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</row>
    <row r="621" spans="1:26" ht="24.75" customHeight="1">
      <c r="A621" s="406"/>
      <c r="B621" s="475"/>
      <c r="C621" s="406"/>
      <c r="D621" s="406"/>
      <c r="E621" s="505"/>
      <c r="F621" s="406"/>
      <c r="G621" s="406"/>
      <c r="H621" s="406"/>
      <c r="I621" s="406"/>
      <c r="J621" s="406"/>
      <c r="K621" s="406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</row>
    <row r="622" spans="1:26" ht="24.75" customHeight="1">
      <c r="A622" s="406"/>
      <c r="B622" s="475"/>
      <c r="C622" s="406"/>
      <c r="D622" s="406"/>
      <c r="E622" s="505"/>
      <c r="F622" s="406"/>
      <c r="G622" s="406"/>
      <c r="H622" s="406"/>
      <c r="I622" s="406"/>
      <c r="J622" s="406"/>
      <c r="K622" s="406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</row>
    <row r="623" spans="1:26" ht="24.75" customHeight="1">
      <c r="A623" s="406"/>
      <c r="B623" s="475"/>
      <c r="C623" s="406"/>
      <c r="D623" s="406"/>
      <c r="E623" s="505"/>
      <c r="F623" s="406"/>
      <c r="G623" s="406"/>
      <c r="H623" s="406"/>
      <c r="I623" s="406"/>
      <c r="J623" s="406"/>
      <c r="K623" s="406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</row>
    <row r="624" spans="1:26" ht="24.75" customHeight="1">
      <c r="A624" s="406"/>
      <c r="B624" s="475"/>
      <c r="C624" s="406"/>
      <c r="D624" s="406"/>
      <c r="E624" s="505"/>
      <c r="F624" s="406"/>
      <c r="G624" s="406"/>
      <c r="H624" s="406"/>
      <c r="I624" s="406"/>
      <c r="J624" s="406"/>
      <c r="K624" s="406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</row>
    <row r="625" spans="1:26" ht="24.75" customHeight="1">
      <c r="A625" s="406"/>
      <c r="B625" s="475"/>
      <c r="C625" s="406"/>
      <c r="D625" s="406"/>
      <c r="E625" s="505"/>
      <c r="F625" s="406"/>
      <c r="G625" s="406"/>
      <c r="H625" s="406"/>
      <c r="I625" s="406"/>
      <c r="J625" s="406"/>
      <c r="K625" s="406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</row>
    <row r="626" spans="1:26" ht="24.75" customHeight="1">
      <c r="A626" s="406"/>
      <c r="B626" s="475"/>
      <c r="C626" s="406"/>
      <c r="D626" s="406"/>
      <c r="E626" s="505"/>
      <c r="F626" s="406"/>
      <c r="G626" s="406"/>
      <c r="H626" s="406"/>
      <c r="I626" s="406"/>
      <c r="J626" s="406"/>
      <c r="K626" s="406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</row>
    <row r="627" spans="1:26" ht="24.75" customHeight="1">
      <c r="A627" s="406"/>
      <c r="B627" s="475"/>
      <c r="C627" s="406"/>
      <c r="D627" s="406"/>
      <c r="E627" s="505"/>
      <c r="F627" s="406"/>
      <c r="G627" s="406"/>
      <c r="H627" s="406"/>
      <c r="I627" s="406"/>
      <c r="J627" s="406"/>
      <c r="K627" s="406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</row>
    <row r="628" spans="1:26" ht="24.75" customHeight="1">
      <c r="A628" s="406"/>
      <c r="B628" s="475"/>
      <c r="C628" s="406"/>
      <c r="D628" s="406"/>
      <c r="E628" s="505"/>
      <c r="F628" s="406"/>
      <c r="G628" s="406"/>
      <c r="H628" s="406"/>
      <c r="I628" s="406"/>
      <c r="J628" s="406"/>
      <c r="K628" s="406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</row>
    <row r="629" spans="1:26" ht="24.75" customHeight="1">
      <c r="A629" s="406"/>
      <c r="B629" s="475"/>
      <c r="C629" s="406"/>
      <c r="D629" s="406"/>
      <c r="E629" s="505"/>
      <c r="F629" s="406"/>
      <c r="G629" s="406"/>
      <c r="H629" s="406"/>
      <c r="I629" s="406"/>
      <c r="J629" s="406"/>
      <c r="K629" s="406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</row>
    <row r="630" spans="1:26" ht="24.75" customHeight="1">
      <c r="A630" s="406"/>
      <c r="B630" s="475"/>
      <c r="C630" s="406"/>
      <c r="D630" s="406"/>
      <c r="E630" s="505"/>
      <c r="F630" s="406"/>
      <c r="G630" s="406"/>
      <c r="H630" s="406"/>
      <c r="I630" s="406"/>
      <c r="J630" s="406"/>
      <c r="K630" s="406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</row>
    <row r="631" spans="1:26" ht="24.75" customHeight="1">
      <c r="A631" s="406"/>
      <c r="B631" s="475"/>
      <c r="C631" s="406"/>
      <c r="D631" s="406"/>
      <c r="E631" s="505"/>
      <c r="F631" s="406"/>
      <c r="G631" s="406"/>
      <c r="H631" s="406"/>
      <c r="I631" s="406"/>
      <c r="J631" s="406"/>
      <c r="K631" s="406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</row>
    <row r="632" spans="1:26" ht="24.75" customHeight="1">
      <c r="A632" s="406"/>
      <c r="B632" s="475"/>
      <c r="C632" s="406"/>
      <c r="D632" s="406"/>
      <c r="E632" s="505"/>
      <c r="F632" s="406"/>
      <c r="G632" s="406"/>
      <c r="H632" s="406"/>
      <c r="I632" s="406"/>
      <c r="J632" s="406"/>
      <c r="K632" s="406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</row>
    <row r="633" spans="1:26" ht="24.75" customHeight="1">
      <c r="A633" s="406"/>
      <c r="B633" s="475"/>
      <c r="C633" s="406"/>
      <c r="D633" s="406"/>
      <c r="E633" s="505"/>
      <c r="F633" s="406"/>
      <c r="G633" s="406"/>
      <c r="H633" s="406"/>
      <c r="I633" s="406"/>
      <c r="J633" s="406"/>
      <c r="K633" s="406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</row>
    <row r="634" spans="1:26" ht="24.75" customHeight="1">
      <c r="A634" s="406"/>
      <c r="B634" s="475"/>
      <c r="C634" s="406"/>
      <c r="D634" s="406"/>
      <c r="E634" s="505"/>
      <c r="F634" s="406"/>
      <c r="G634" s="406"/>
      <c r="H634" s="406"/>
      <c r="I634" s="406"/>
      <c r="J634" s="406"/>
      <c r="K634" s="406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</row>
    <row r="635" spans="1:26" ht="24.75" customHeight="1">
      <c r="A635" s="406"/>
      <c r="B635" s="475"/>
      <c r="C635" s="406"/>
      <c r="D635" s="406"/>
      <c r="E635" s="505"/>
      <c r="F635" s="406"/>
      <c r="G635" s="406"/>
      <c r="H635" s="406"/>
      <c r="I635" s="406"/>
      <c r="J635" s="406"/>
      <c r="K635" s="406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</row>
    <row r="636" spans="1:26" ht="24.75" customHeight="1">
      <c r="A636" s="406"/>
      <c r="B636" s="475"/>
      <c r="C636" s="406"/>
      <c r="D636" s="406"/>
      <c r="E636" s="505"/>
      <c r="F636" s="406"/>
      <c r="G636" s="406"/>
      <c r="H636" s="406"/>
      <c r="I636" s="406"/>
      <c r="J636" s="406"/>
      <c r="K636" s="406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</row>
    <row r="637" spans="1:26" ht="24.75" customHeight="1">
      <c r="A637" s="406"/>
      <c r="B637" s="475"/>
      <c r="C637" s="406"/>
      <c r="D637" s="406"/>
      <c r="E637" s="505"/>
      <c r="F637" s="406"/>
      <c r="G637" s="406"/>
      <c r="H637" s="406"/>
      <c r="I637" s="406"/>
      <c r="J637" s="406"/>
      <c r="K637" s="406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</row>
    <row r="638" spans="1:26" ht="24.75" customHeight="1">
      <c r="A638" s="406"/>
      <c r="B638" s="475"/>
      <c r="C638" s="406"/>
      <c r="D638" s="406"/>
      <c r="E638" s="505"/>
      <c r="F638" s="406"/>
      <c r="G638" s="406"/>
      <c r="H638" s="406"/>
      <c r="I638" s="406"/>
      <c r="J638" s="406"/>
      <c r="K638" s="406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</row>
    <row r="639" spans="1:26" ht="24.75" customHeight="1">
      <c r="A639" s="406"/>
      <c r="B639" s="475"/>
      <c r="C639" s="406"/>
      <c r="D639" s="406"/>
      <c r="E639" s="505"/>
      <c r="F639" s="406"/>
      <c r="G639" s="406"/>
      <c r="H639" s="406"/>
      <c r="I639" s="406"/>
      <c r="J639" s="406"/>
      <c r="K639" s="406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</row>
    <row r="640" spans="1:26" ht="24.75" customHeight="1">
      <c r="A640" s="406"/>
      <c r="B640" s="475"/>
      <c r="C640" s="406"/>
      <c r="D640" s="406"/>
      <c r="E640" s="505"/>
      <c r="F640" s="406"/>
      <c r="G640" s="406"/>
      <c r="H640" s="406"/>
      <c r="I640" s="406"/>
      <c r="J640" s="406"/>
      <c r="K640" s="406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</row>
    <row r="641" spans="1:26" ht="24.75" customHeight="1">
      <c r="A641" s="406"/>
      <c r="B641" s="475"/>
      <c r="C641" s="406"/>
      <c r="D641" s="406"/>
      <c r="E641" s="505"/>
      <c r="F641" s="406"/>
      <c r="G641" s="406"/>
      <c r="H641" s="406"/>
      <c r="I641" s="406"/>
      <c r="J641" s="406"/>
      <c r="K641" s="406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</row>
    <row r="642" spans="1:26" ht="24.75" customHeight="1">
      <c r="A642" s="406"/>
      <c r="B642" s="475"/>
      <c r="C642" s="406"/>
      <c r="D642" s="406"/>
      <c r="E642" s="505"/>
      <c r="F642" s="406"/>
      <c r="G642" s="406"/>
      <c r="H642" s="406"/>
      <c r="I642" s="406"/>
      <c r="J642" s="406"/>
      <c r="K642" s="406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</row>
    <row r="643" spans="1:26" ht="24.75" customHeight="1">
      <c r="A643" s="406"/>
      <c r="B643" s="475"/>
      <c r="C643" s="406"/>
      <c r="D643" s="406"/>
      <c r="E643" s="505"/>
      <c r="F643" s="406"/>
      <c r="G643" s="406"/>
      <c r="H643" s="406"/>
      <c r="I643" s="406"/>
      <c r="J643" s="406"/>
      <c r="K643" s="406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</row>
    <row r="644" spans="1:26" ht="24.75" customHeight="1">
      <c r="A644" s="406"/>
      <c r="B644" s="475"/>
      <c r="C644" s="406"/>
      <c r="D644" s="406"/>
      <c r="E644" s="505"/>
      <c r="F644" s="406"/>
      <c r="G644" s="406"/>
      <c r="H644" s="406"/>
      <c r="I644" s="406"/>
      <c r="J644" s="406"/>
      <c r="K644" s="406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</row>
    <row r="645" spans="1:26" ht="24.75" customHeight="1">
      <c r="A645" s="406"/>
      <c r="B645" s="475"/>
      <c r="C645" s="406"/>
      <c r="D645" s="406"/>
      <c r="E645" s="505"/>
      <c r="F645" s="406"/>
      <c r="G645" s="406"/>
      <c r="H645" s="406"/>
      <c r="I645" s="406"/>
      <c r="J645" s="406"/>
      <c r="K645" s="406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</row>
    <row r="646" spans="1:26" ht="24.75" customHeight="1">
      <c r="A646" s="406"/>
      <c r="B646" s="475"/>
      <c r="C646" s="406"/>
      <c r="D646" s="406"/>
      <c r="E646" s="505"/>
      <c r="F646" s="406"/>
      <c r="G646" s="406"/>
      <c r="H646" s="406"/>
      <c r="I646" s="406"/>
      <c r="J646" s="406"/>
      <c r="K646" s="406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</row>
    <row r="647" spans="1:26" ht="24.75" customHeight="1">
      <c r="A647" s="406"/>
      <c r="B647" s="475"/>
      <c r="C647" s="406"/>
      <c r="D647" s="406"/>
      <c r="E647" s="505"/>
      <c r="F647" s="406"/>
      <c r="G647" s="406"/>
      <c r="H647" s="406"/>
      <c r="I647" s="406"/>
      <c r="J647" s="406"/>
      <c r="K647" s="406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</row>
    <row r="648" spans="1:26" ht="24.75" customHeight="1">
      <c r="A648" s="406"/>
      <c r="B648" s="475"/>
      <c r="C648" s="406"/>
      <c r="D648" s="406"/>
      <c r="E648" s="505"/>
      <c r="F648" s="406"/>
      <c r="G648" s="406"/>
      <c r="H648" s="406"/>
      <c r="I648" s="406"/>
      <c r="J648" s="406"/>
      <c r="K648" s="406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</row>
    <row r="649" spans="1:26" ht="24.75" customHeight="1">
      <c r="A649" s="406"/>
      <c r="B649" s="475"/>
      <c r="C649" s="406"/>
      <c r="D649" s="406"/>
      <c r="E649" s="505"/>
      <c r="F649" s="406"/>
      <c r="G649" s="406"/>
      <c r="H649" s="406"/>
      <c r="I649" s="406"/>
      <c r="J649" s="406"/>
      <c r="K649" s="406"/>
      <c r="L649" s="406"/>
      <c r="M649" s="406"/>
      <c r="N649" s="406"/>
      <c r="O649" s="406"/>
      <c r="P649" s="406"/>
      <c r="Q649" s="406"/>
      <c r="R649" s="406"/>
      <c r="S649" s="406"/>
      <c r="T649" s="406"/>
      <c r="U649" s="406"/>
      <c r="V649" s="406"/>
      <c r="W649" s="406"/>
      <c r="X649" s="406"/>
      <c r="Y649" s="406"/>
      <c r="Z649" s="406"/>
    </row>
    <row r="650" spans="1:26" ht="24.75" customHeight="1">
      <c r="A650" s="406"/>
      <c r="B650" s="475"/>
      <c r="C650" s="406"/>
      <c r="D650" s="406"/>
      <c r="E650" s="505"/>
      <c r="F650" s="406"/>
      <c r="G650" s="406"/>
      <c r="H650" s="406"/>
      <c r="I650" s="406"/>
      <c r="J650" s="406"/>
      <c r="K650" s="406"/>
      <c r="L650" s="406"/>
      <c r="M650" s="406"/>
      <c r="N650" s="406"/>
      <c r="O650" s="406"/>
      <c r="P650" s="406"/>
      <c r="Q650" s="406"/>
      <c r="R650" s="406"/>
      <c r="S650" s="406"/>
      <c r="T650" s="406"/>
      <c r="U650" s="406"/>
      <c r="V650" s="406"/>
      <c r="W650" s="406"/>
      <c r="X650" s="406"/>
      <c r="Y650" s="406"/>
      <c r="Z650" s="406"/>
    </row>
    <row r="651" spans="1:26" ht="24.75" customHeight="1">
      <c r="A651" s="406"/>
      <c r="B651" s="475"/>
      <c r="C651" s="406"/>
      <c r="D651" s="406"/>
      <c r="E651" s="505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06"/>
      <c r="R651" s="406"/>
      <c r="S651" s="406"/>
      <c r="T651" s="406"/>
      <c r="U651" s="406"/>
      <c r="V651" s="406"/>
      <c r="W651" s="406"/>
      <c r="X651" s="406"/>
      <c r="Y651" s="406"/>
      <c r="Z651" s="406"/>
    </row>
    <row r="652" spans="1:26" ht="24.75" customHeight="1">
      <c r="A652" s="406"/>
      <c r="B652" s="475"/>
      <c r="C652" s="406"/>
      <c r="D652" s="406"/>
      <c r="E652" s="505"/>
      <c r="F652" s="406"/>
      <c r="G652" s="406"/>
      <c r="H652" s="406"/>
      <c r="I652" s="406"/>
      <c r="J652" s="406"/>
      <c r="K652" s="406"/>
      <c r="L652" s="406"/>
      <c r="M652" s="406"/>
      <c r="N652" s="406"/>
      <c r="O652" s="406"/>
      <c r="P652" s="406"/>
      <c r="Q652" s="406"/>
      <c r="R652" s="406"/>
      <c r="S652" s="406"/>
      <c r="T652" s="406"/>
      <c r="U652" s="406"/>
      <c r="V652" s="406"/>
      <c r="W652" s="406"/>
      <c r="X652" s="406"/>
      <c r="Y652" s="406"/>
      <c r="Z652" s="406"/>
    </row>
    <row r="653" spans="1:26" ht="24.75" customHeight="1">
      <c r="A653" s="406"/>
      <c r="B653" s="475"/>
      <c r="C653" s="406"/>
      <c r="D653" s="406"/>
      <c r="E653" s="505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06"/>
      <c r="R653" s="406"/>
      <c r="S653" s="406"/>
      <c r="T653" s="406"/>
      <c r="U653" s="406"/>
      <c r="V653" s="406"/>
      <c r="W653" s="406"/>
      <c r="X653" s="406"/>
      <c r="Y653" s="406"/>
      <c r="Z653" s="406"/>
    </row>
    <row r="654" spans="1:26" ht="24.75" customHeight="1">
      <c r="A654" s="406"/>
      <c r="B654" s="475"/>
      <c r="C654" s="406"/>
      <c r="D654" s="406"/>
      <c r="E654" s="505"/>
      <c r="F654" s="406"/>
      <c r="G654" s="406"/>
      <c r="H654" s="406"/>
      <c r="I654" s="406"/>
      <c r="J654" s="406"/>
      <c r="K654" s="406"/>
      <c r="L654" s="406"/>
      <c r="M654" s="406"/>
      <c r="N654" s="406"/>
      <c r="O654" s="406"/>
      <c r="P654" s="406"/>
      <c r="Q654" s="406"/>
      <c r="R654" s="406"/>
      <c r="S654" s="406"/>
      <c r="T654" s="406"/>
      <c r="U654" s="406"/>
      <c r="V654" s="406"/>
      <c r="W654" s="406"/>
      <c r="X654" s="406"/>
      <c r="Y654" s="406"/>
      <c r="Z654" s="406"/>
    </row>
    <row r="655" spans="1:26" ht="24.75" customHeight="1">
      <c r="A655" s="406"/>
      <c r="B655" s="475"/>
      <c r="C655" s="406"/>
      <c r="D655" s="406"/>
      <c r="E655" s="505"/>
      <c r="F655" s="406"/>
      <c r="G655" s="406"/>
      <c r="H655" s="406"/>
      <c r="I655" s="406"/>
      <c r="J655" s="406"/>
      <c r="K655" s="406"/>
      <c r="L655" s="406"/>
      <c r="M655" s="406"/>
      <c r="N655" s="406"/>
      <c r="O655" s="406"/>
      <c r="P655" s="406"/>
      <c r="Q655" s="406"/>
      <c r="R655" s="406"/>
      <c r="S655" s="406"/>
      <c r="T655" s="406"/>
      <c r="U655" s="406"/>
      <c r="V655" s="406"/>
      <c r="W655" s="406"/>
      <c r="X655" s="406"/>
      <c r="Y655" s="406"/>
      <c r="Z655" s="406"/>
    </row>
    <row r="656" spans="1:26" ht="24.75" customHeight="1">
      <c r="A656" s="406"/>
      <c r="B656" s="475"/>
      <c r="C656" s="406"/>
      <c r="D656" s="406"/>
      <c r="E656" s="505"/>
      <c r="F656" s="406"/>
      <c r="G656" s="406"/>
      <c r="H656" s="406"/>
      <c r="I656" s="406"/>
      <c r="J656" s="406"/>
      <c r="K656" s="406"/>
      <c r="L656" s="406"/>
      <c r="M656" s="406"/>
      <c r="N656" s="406"/>
      <c r="O656" s="406"/>
      <c r="P656" s="406"/>
      <c r="Q656" s="406"/>
      <c r="R656" s="406"/>
      <c r="S656" s="406"/>
      <c r="T656" s="406"/>
      <c r="U656" s="406"/>
      <c r="V656" s="406"/>
      <c r="W656" s="406"/>
      <c r="X656" s="406"/>
      <c r="Y656" s="406"/>
      <c r="Z656" s="406"/>
    </row>
    <row r="657" spans="1:26" ht="24.75" customHeight="1">
      <c r="A657" s="406"/>
      <c r="B657" s="475"/>
      <c r="C657" s="406"/>
      <c r="D657" s="406"/>
      <c r="E657" s="505"/>
      <c r="F657" s="406"/>
      <c r="G657" s="406"/>
      <c r="H657" s="406"/>
      <c r="I657" s="406"/>
      <c r="J657" s="406"/>
      <c r="K657" s="406"/>
      <c r="L657" s="406"/>
      <c r="M657" s="406"/>
      <c r="N657" s="406"/>
      <c r="O657" s="406"/>
      <c r="P657" s="406"/>
      <c r="Q657" s="406"/>
      <c r="R657" s="406"/>
      <c r="S657" s="406"/>
      <c r="T657" s="406"/>
      <c r="U657" s="406"/>
      <c r="V657" s="406"/>
      <c r="W657" s="406"/>
      <c r="X657" s="406"/>
      <c r="Y657" s="406"/>
      <c r="Z657" s="406"/>
    </row>
    <row r="658" spans="1:26" ht="24.75" customHeight="1">
      <c r="A658" s="406"/>
      <c r="B658" s="475"/>
      <c r="C658" s="406"/>
      <c r="D658" s="406"/>
      <c r="E658" s="505"/>
      <c r="F658" s="406"/>
      <c r="G658" s="406"/>
      <c r="H658" s="406"/>
      <c r="I658" s="406"/>
      <c r="J658" s="406"/>
      <c r="K658" s="406"/>
      <c r="L658" s="406"/>
      <c r="M658" s="406"/>
      <c r="N658" s="406"/>
      <c r="O658" s="406"/>
      <c r="P658" s="406"/>
      <c r="Q658" s="406"/>
      <c r="R658" s="406"/>
      <c r="S658" s="406"/>
      <c r="T658" s="406"/>
      <c r="U658" s="406"/>
      <c r="V658" s="406"/>
      <c r="W658" s="406"/>
      <c r="X658" s="406"/>
      <c r="Y658" s="406"/>
      <c r="Z658" s="406"/>
    </row>
    <row r="659" spans="1:26" ht="24.75" customHeight="1">
      <c r="A659" s="406"/>
      <c r="B659" s="475"/>
      <c r="C659" s="406"/>
      <c r="D659" s="406"/>
      <c r="E659" s="505"/>
      <c r="F659" s="406"/>
      <c r="G659" s="406"/>
      <c r="H659" s="406"/>
      <c r="I659" s="406"/>
      <c r="J659" s="406"/>
      <c r="K659" s="406"/>
      <c r="L659" s="406"/>
      <c r="M659" s="406"/>
      <c r="N659" s="406"/>
      <c r="O659" s="406"/>
      <c r="P659" s="406"/>
      <c r="Q659" s="406"/>
      <c r="R659" s="406"/>
      <c r="S659" s="406"/>
      <c r="T659" s="406"/>
      <c r="U659" s="406"/>
      <c r="V659" s="406"/>
      <c r="W659" s="406"/>
      <c r="X659" s="406"/>
      <c r="Y659" s="406"/>
      <c r="Z659" s="406"/>
    </row>
    <row r="660" spans="1:26" ht="24.75" customHeight="1">
      <c r="A660" s="406"/>
      <c r="B660" s="475"/>
      <c r="C660" s="406"/>
      <c r="D660" s="406"/>
      <c r="E660" s="505"/>
      <c r="F660" s="406"/>
      <c r="G660" s="406"/>
      <c r="H660" s="406"/>
      <c r="I660" s="406"/>
      <c r="J660" s="406"/>
      <c r="K660" s="406"/>
      <c r="L660" s="406"/>
      <c r="M660" s="406"/>
      <c r="N660" s="406"/>
      <c r="O660" s="406"/>
      <c r="P660" s="406"/>
      <c r="Q660" s="406"/>
      <c r="R660" s="406"/>
      <c r="S660" s="406"/>
      <c r="T660" s="406"/>
      <c r="U660" s="406"/>
      <c r="V660" s="406"/>
      <c r="W660" s="406"/>
      <c r="X660" s="406"/>
      <c r="Y660" s="406"/>
      <c r="Z660" s="406"/>
    </row>
    <row r="661" spans="1:26" ht="24.75" customHeight="1">
      <c r="A661" s="406"/>
      <c r="B661" s="475"/>
      <c r="C661" s="406"/>
      <c r="D661" s="406"/>
      <c r="E661" s="505"/>
      <c r="F661" s="406"/>
      <c r="G661" s="406"/>
      <c r="H661" s="406"/>
      <c r="I661" s="406"/>
      <c r="J661" s="406"/>
      <c r="K661" s="406"/>
      <c r="L661" s="406"/>
      <c r="M661" s="406"/>
      <c r="N661" s="406"/>
      <c r="O661" s="406"/>
      <c r="P661" s="406"/>
      <c r="Q661" s="406"/>
      <c r="R661" s="406"/>
      <c r="S661" s="406"/>
      <c r="T661" s="406"/>
      <c r="U661" s="406"/>
      <c r="V661" s="406"/>
      <c r="W661" s="406"/>
      <c r="X661" s="406"/>
      <c r="Y661" s="406"/>
      <c r="Z661" s="406"/>
    </row>
    <row r="662" spans="1:26" ht="24.75" customHeight="1">
      <c r="A662" s="406"/>
      <c r="B662" s="475"/>
      <c r="C662" s="406"/>
      <c r="D662" s="406"/>
      <c r="E662" s="505"/>
      <c r="F662" s="406"/>
      <c r="G662" s="406"/>
      <c r="H662" s="406"/>
      <c r="I662" s="406"/>
      <c r="J662" s="406"/>
      <c r="K662" s="406"/>
      <c r="L662" s="406"/>
      <c r="M662" s="406"/>
      <c r="N662" s="406"/>
      <c r="O662" s="406"/>
      <c r="P662" s="406"/>
      <c r="Q662" s="406"/>
      <c r="R662" s="406"/>
      <c r="S662" s="406"/>
      <c r="T662" s="406"/>
      <c r="U662" s="406"/>
      <c r="V662" s="406"/>
      <c r="W662" s="406"/>
      <c r="X662" s="406"/>
      <c r="Y662" s="406"/>
      <c r="Z662" s="406"/>
    </row>
    <row r="663" spans="1:26" ht="24.75" customHeight="1">
      <c r="A663" s="406"/>
      <c r="B663" s="475"/>
      <c r="C663" s="406"/>
      <c r="D663" s="406"/>
      <c r="E663" s="505"/>
      <c r="F663" s="406"/>
      <c r="G663" s="406"/>
      <c r="H663" s="406"/>
      <c r="I663" s="406"/>
      <c r="J663" s="406"/>
      <c r="K663" s="406"/>
      <c r="L663" s="406"/>
      <c r="M663" s="406"/>
      <c r="N663" s="406"/>
      <c r="O663" s="406"/>
      <c r="P663" s="406"/>
      <c r="Q663" s="406"/>
      <c r="R663" s="406"/>
      <c r="S663" s="406"/>
      <c r="T663" s="406"/>
      <c r="U663" s="406"/>
      <c r="V663" s="406"/>
      <c r="W663" s="406"/>
      <c r="X663" s="406"/>
      <c r="Y663" s="406"/>
      <c r="Z663" s="406"/>
    </row>
    <row r="664" spans="1:26" ht="24.75" customHeight="1">
      <c r="A664" s="406"/>
      <c r="B664" s="475"/>
      <c r="C664" s="406"/>
      <c r="D664" s="406"/>
      <c r="E664" s="505"/>
      <c r="F664" s="406"/>
      <c r="G664" s="406"/>
      <c r="H664" s="406"/>
      <c r="I664" s="406"/>
      <c r="J664" s="406"/>
      <c r="K664" s="406"/>
      <c r="L664" s="406"/>
      <c r="M664" s="406"/>
      <c r="N664" s="406"/>
      <c r="O664" s="406"/>
      <c r="P664" s="406"/>
      <c r="Q664" s="406"/>
      <c r="R664" s="406"/>
      <c r="S664" s="406"/>
      <c r="T664" s="406"/>
      <c r="U664" s="406"/>
      <c r="V664" s="406"/>
      <c r="W664" s="406"/>
      <c r="X664" s="406"/>
      <c r="Y664" s="406"/>
      <c r="Z664" s="406"/>
    </row>
    <row r="665" spans="1:26" ht="24.75" customHeight="1">
      <c r="A665" s="406"/>
      <c r="B665" s="475"/>
      <c r="C665" s="406"/>
      <c r="D665" s="406"/>
      <c r="E665" s="505"/>
      <c r="F665" s="406"/>
      <c r="G665" s="406"/>
      <c r="H665" s="406"/>
      <c r="I665" s="406"/>
      <c r="J665" s="406"/>
      <c r="K665" s="406"/>
      <c r="L665" s="406"/>
      <c r="M665" s="406"/>
      <c r="N665" s="406"/>
      <c r="O665" s="406"/>
      <c r="P665" s="406"/>
      <c r="Q665" s="406"/>
      <c r="R665" s="406"/>
      <c r="S665" s="406"/>
      <c r="T665" s="406"/>
      <c r="U665" s="406"/>
      <c r="V665" s="406"/>
      <c r="W665" s="406"/>
      <c r="X665" s="406"/>
      <c r="Y665" s="406"/>
      <c r="Z665" s="406"/>
    </row>
    <row r="666" spans="1:26" ht="24.75" customHeight="1">
      <c r="A666" s="406"/>
      <c r="B666" s="475"/>
      <c r="C666" s="406"/>
      <c r="D666" s="406"/>
      <c r="E666" s="505"/>
      <c r="F666" s="406"/>
      <c r="G666" s="406"/>
      <c r="H666" s="406"/>
      <c r="I666" s="406"/>
      <c r="J666" s="406"/>
      <c r="K666" s="406"/>
      <c r="L666" s="406"/>
      <c r="M666" s="406"/>
      <c r="N666" s="406"/>
      <c r="O666" s="406"/>
      <c r="P666" s="406"/>
      <c r="Q666" s="406"/>
      <c r="R666" s="406"/>
      <c r="S666" s="406"/>
      <c r="T666" s="406"/>
      <c r="U666" s="406"/>
      <c r="V666" s="406"/>
      <c r="W666" s="406"/>
      <c r="X666" s="406"/>
      <c r="Y666" s="406"/>
      <c r="Z666" s="406"/>
    </row>
    <row r="667" spans="1:26" ht="24.75" customHeight="1">
      <c r="A667" s="406"/>
      <c r="B667" s="475"/>
      <c r="C667" s="406"/>
      <c r="D667" s="406"/>
      <c r="E667" s="505"/>
      <c r="F667" s="406"/>
      <c r="G667" s="406"/>
      <c r="H667" s="406"/>
      <c r="I667" s="406"/>
      <c r="J667" s="406"/>
      <c r="K667" s="406"/>
      <c r="L667" s="406"/>
      <c r="M667" s="406"/>
      <c r="N667" s="406"/>
      <c r="O667" s="406"/>
      <c r="P667" s="406"/>
      <c r="Q667" s="406"/>
      <c r="R667" s="406"/>
      <c r="S667" s="406"/>
      <c r="T667" s="406"/>
      <c r="U667" s="406"/>
      <c r="V667" s="406"/>
      <c r="W667" s="406"/>
      <c r="X667" s="406"/>
      <c r="Y667" s="406"/>
      <c r="Z667" s="406"/>
    </row>
    <row r="668" spans="1:26" ht="24.75" customHeight="1">
      <c r="A668" s="406"/>
      <c r="B668" s="475"/>
      <c r="C668" s="406"/>
      <c r="D668" s="406"/>
      <c r="E668" s="505"/>
      <c r="F668" s="406"/>
      <c r="G668" s="406"/>
      <c r="H668" s="406"/>
      <c r="I668" s="406"/>
      <c r="J668" s="406"/>
      <c r="K668" s="406"/>
      <c r="L668" s="406"/>
      <c r="M668" s="406"/>
      <c r="N668" s="406"/>
      <c r="O668" s="406"/>
      <c r="P668" s="406"/>
      <c r="Q668" s="406"/>
      <c r="R668" s="406"/>
      <c r="S668" s="406"/>
      <c r="T668" s="406"/>
      <c r="U668" s="406"/>
      <c r="V668" s="406"/>
      <c r="W668" s="406"/>
      <c r="X668" s="406"/>
      <c r="Y668" s="406"/>
      <c r="Z668" s="406"/>
    </row>
    <row r="669" spans="1:26" ht="24.75" customHeight="1">
      <c r="A669" s="406"/>
      <c r="B669" s="475"/>
      <c r="C669" s="406"/>
      <c r="D669" s="406"/>
      <c r="E669" s="505"/>
      <c r="F669" s="406"/>
      <c r="G669" s="406"/>
      <c r="H669" s="406"/>
      <c r="I669" s="406"/>
      <c r="J669" s="406"/>
      <c r="K669" s="406"/>
      <c r="L669" s="406"/>
      <c r="M669" s="406"/>
      <c r="N669" s="406"/>
      <c r="O669" s="406"/>
      <c r="P669" s="406"/>
      <c r="Q669" s="406"/>
      <c r="R669" s="406"/>
      <c r="S669" s="406"/>
      <c r="T669" s="406"/>
      <c r="U669" s="406"/>
      <c r="V669" s="406"/>
      <c r="W669" s="406"/>
      <c r="X669" s="406"/>
      <c r="Y669" s="406"/>
      <c r="Z669" s="406"/>
    </row>
    <row r="670" spans="1:26" ht="24.75" customHeight="1">
      <c r="A670" s="406"/>
      <c r="B670" s="475"/>
      <c r="C670" s="406"/>
      <c r="D670" s="406"/>
      <c r="E670" s="505"/>
      <c r="F670" s="406"/>
      <c r="G670" s="406"/>
      <c r="H670" s="406"/>
      <c r="I670" s="406"/>
      <c r="J670" s="406"/>
      <c r="K670" s="406"/>
      <c r="L670" s="406"/>
      <c r="M670" s="406"/>
      <c r="N670" s="406"/>
      <c r="O670" s="406"/>
      <c r="P670" s="406"/>
      <c r="Q670" s="406"/>
      <c r="R670" s="406"/>
      <c r="S670" s="406"/>
      <c r="T670" s="406"/>
      <c r="U670" s="406"/>
      <c r="V670" s="406"/>
      <c r="W670" s="406"/>
      <c r="X670" s="406"/>
      <c r="Y670" s="406"/>
      <c r="Z670" s="406"/>
    </row>
    <row r="671" spans="1:26" ht="24.75" customHeight="1">
      <c r="A671" s="406"/>
      <c r="B671" s="475"/>
      <c r="C671" s="406"/>
      <c r="D671" s="406"/>
      <c r="E671" s="505"/>
      <c r="F671" s="406"/>
      <c r="G671" s="406"/>
      <c r="H671" s="406"/>
      <c r="I671" s="406"/>
      <c r="J671" s="406"/>
      <c r="K671" s="406"/>
      <c r="L671" s="406"/>
      <c r="M671" s="406"/>
      <c r="N671" s="406"/>
      <c r="O671" s="406"/>
      <c r="P671" s="406"/>
      <c r="Q671" s="406"/>
      <c r="R671" s="406"/>
      <c r="S671" s="406"/>
      <c r="T671" s="406"/>
      <c r="U671" s="406"/>
      <c r="V671" s="406"/>
      <c r="W671" s="406"/>
      <c r="X671" s="406"/>
      <c r="Y671" s="406"/>
      <c r="Z671" s="406"/>
    </row>
    <row r="672" spans="1:26" ht="24.75" customHeight="1">
      <c r="A672" s="406"/>
      <c r="B672" s="475"/>
      <c r="C672" s="406"/>
      <c r="D672" s="406"/>
      <c r="E672" s="505"/>
      <c r="F672" s="406"/>
      <c r="G672" s="406"/>
      <c r="H672" s="406"/>
      <c r="I672" s="406"/>
      <c r="J672" s="406"/>
      <c r="K672" s="406"/>
      <c r="L672" s="406"/>
      <c r="M672" s="406"/>
      <c r="N672" s="406"/>
      <c r="O672" s="406"/>
      <c r="P672" s="406"/>
      <c r="Q672" s="406"/>
      <c r="R672" s="406"/>
      <c r="S672" s="406"/>
      <c r="T672" s="406"/>
      <c r="U672" s="406"/>
      <c r="V672" s="406"/>
      <c r="W672" s="406"/>
      <c r="X672" s="406"/>
      <c r="Y672" s="406"/>
      <c r="Z672" s="406"/>
    </row>
    <row r="673" spans="1:26" ht="24.75" customHeight="1">
      <c r="A673" s="406"/>
      <c r="B673" s="475"/>
      <c r="C673" s="406"/>
      <c r="D673" s="406"/>
      <c r="E673" s="505"/>
      <c r="F673" s="406"/>
      <c r="G673" s="406"/>
      <c r="H673" s="406"/>
      <c r="I673" s="406"/>
      <c r="J673" s="406"/>
      <c r="K673" s="406"/>
      <c r="L673" s="406"/>
      <c r="M673" s="406"/>
      <c r="N673" s="406"/>
      <c r="O673" s="406"/>
      <c r="P673" s="406"/>
      <c r="Q673" s="406"/>
      <c r="R673" s="406"/>
      <c r="S673" s="406"/>
      <c r="T673" s="406"/>
      <c r="U673" s="406"/>
      <c r="V673" s="406"/>
      <c r="W673" s="406"/>
      <c r="X673" s="406"/>
      <c r="Y673" s="406"/>
      <c r="Z673" s="406"/>
    </row>
    <row r="674" spans="1:26" ht="24.75" customHeight="1">
      <c r="A674" s="406"/>
      <c r="B674" s="475"/>
      <c r="C674" s="406"/>
      <c r="D674" s="406"/>
      <c r="E674" s="505"/>
      <c r="F674" s="406"/>
      <c r="G674" s="406"/>
      <c r="H674" s="406"/>
      <c r="I674" s="406"/>
      <c r="J674" s="406"/>
      <c r="K674" s="406"/>
      <c r="L674" s="406"/>
      <c r="M674" s="406"/>
      <c r="N674" s="406"/>
      <c r="O674" s="406"/>
      <c r="P674" s="406"/>
      <c r="Q674" s="406"/>
      <c r="R674" s="406"/>
      <c r="S674" s="406"/>
      <c r="T674" s="406"/>
      <c r="U674" s="406"/>
      <c r="V674" s="406"/>
      <c r="W674" s="406"/>
      <c r="X674" s="406"/>
      <c r="Y674" s="406"/>
      <c r="Z674" s="406"/>
    </row>
    <row r="675" spans="1:26" ht="24.75" customHeight="1">
      <c r="A675" s="406"/>
      <c r="B675" s="475"/>
      <c r="C675" s="406"/>
      <c r="D675" s="406"/>
      <c r="E675" s="505"/>
      <c r="F675" s="406"/>
      <c r="G675" s="406"/>
      <c r="H675" s="406"/>
      <c r="I675" s="406"/>
      <c r="J675" s="406"/>
      <c r="K675" s="406"/>
      <c r="L675" s="406"/>
      <c r="M675" s="406"/>
      <c r="N675" s="406"/>
      <c r="O675" s="406"/>
      <c r="P675" s="406"/>
      <c r="Q675" s="406"/>
      <c r="R675" s="406"/>
      <c r="S675" s="406"/>
      <c r="T675" s="406"/>
      <c r="U675" s="406"/>
      <c r="V675" s="406"/>
      <c r="W675" s="406"/>
      <c r="X675" s="406"/>
      <c r="Y675" s="406"/>
      <c r="Z675" s="406"/>
    </row>
    <row r="676" spans="1:26" ht="24.75" customHeight="1">
      <c r="A676" s="406"/>
      <c r="B676" s="475"/>
      <c r="C676" s="406"/>
      <c r="D676" s="406"/>
      <c r="E676" s="505"/>
      <c r="F676" s="406"/>
      <c r="G676" s="406"/>
      <c r="H676" s="406"/>
      <c r="I676" s="406"/>
      <c r="J676" s="406"/>
      <c r="K676" s="406"/>
      <c r="L676" s="406"/>
      <c r="M676" s="406"/>
      <c r="N676" s="406"/>
      <c r="O676" s="406"/>
      <c r="P676" s="406"/>
      <c r="Q676" s="406"/>
      <c r="R676" s="406"/>
      <c r="S676" s="406"/>
      <c r="T676" s="406"/>
      <c r="U676" s="406"/>
      <c r="V676" s="406"/>
      <c r="W676" s="406"/>
      <c r="X676" s="406"/>
      <c r="Y676" s="406"/>
      <c r="Z676" s="406"/>
    </row>
    <row r="677" spans="1:26" ht="24.75" customHeight="1">
      <c r="A677" s="406"/>
      <c r="B677" s="475"/>
      <c r="C677" s="406"/>
      <c r="D677" s="406"/>
      <c r="E677" s="505"/>
      <c r="F677" s="406"/>
      <c r="G677" s="406"/>
      <c r="H677" s="406"/>
      <c r="I677" s="406"/>
      <c r="J677" s="406"/>
      <c r="K677" s="406"/>
      <c r="L677" s="406"/>
      <c r="M677" s="406"/>
      <c r="N677" s="406"/>
      <c r="O677" s="406"/>
      <c r="P677" s="406"/>
      <c r="Q677" s="406"/>
      <c r="R677" s="406"/>
      <c r="S677" s="406"/>
      <c r="T677" s="406"/>
      <c r="U677" s="406"/>
      <c r="V677" s="406"/>
      <c r="W677" s="406"/>
      <c r="X677" s="406"/>
      <c r="Y677" s="406"/>
      <c r="Z677" s="406"/>
    </row>
    <row r="678" spans="1:26" ht="24.75" customHeight="1">
      <c r="A678" s="406"/>
      <c r="B678" s="475"/>
      <c r="C678" s="406"/>
      <c r="D678" s="406"/>
      <c r="E678" s="505"/>
      <c r="F678" s="406"/>
      <c r="G678" s="406"/>
      <c r="H678" s="406"/>
      <c r="I678" s="406"/>
      <c r="J678" s="406"/>
      <c r="K678" s="406"/>
      <c r="L678" s="406"/>
      <c r="M678" s="406"/>
      <c r="N678" s="406"/>
      <c r="O678" s="406"/>
      <c r="P678" s="406"/>
      <c r="Q678" s="406"/>
      <c r="R678" s="406"/>
      <c r="S678" s="406"/>
      <c r="T678" s="406"/>
      <c r="U678" s="406"/>
      <c r="V678" s="406"/>
      <c r="W678" s="406"/>
      <c r="X678" s="406"/>
      <c r="Y678" s="406"/>
      <c r="Z678" s="406"/>
    </row>
    <row r="679" spans="1:26" ht="24.75" customHeight="1">
      <c r="A679" s="406"/>
      <c r="B679" s="475"/>
      <c r="C679" s="406"/>
      <c r="D679" s="406"/>
      <c r="E679" s="505"/>
      <c r="F679" s="406"/>
      <c r="G679" s="406"/>
      <c r="H679" s="406"/>
      <c r="I679" s="406"/>
      <c r="J679" s="406"/>
      <c r="K679" s="406"/>
      <c r="L679" s="406"/>
      <c r="M679" s="406"/>
      <c r="N679" s="406"/>
      <c r="O679" s="406"/>
      <c r="P679" s="406"/>
      <c r="Q679" s="406"/>
      <c r="R679" s="406"/>
      <c r="S679" s="406"/>
      <c r="T679" s="406"/>
      <c r="U679" s="406"/>
      <c r="V679" s="406"/>
      <c r="W679" s="406"/>
      <c r="X679" s="406"/>
      <c r="Y679" s="406"/>
      <c r="Z679" s="406"/>
    </row>
    <row r="680" spans="1:26" ht="24.75" customHeight="1">
      <c r="A680" s="406"/>
      <c r="B680" s="475"/>
      <c r="C680" s="406"/>
      <c r="D680" s="406"/>
      <c r="E680" s="505"/>
      <c r="F680" s="406"/>
      <c r="G680" s="406"/>
      <c r="H680" s="406"/>
      <c r="I680" s="406"/>
      <c r="J680" s="406"/>
      <c r="K680" s="406"/>
      <c r="L680" s="406"/>
      <c r="M680" s="406"/>
      <c r="N680" s="406"/>
      <c r="O680" s="406"/>
      <c r="P680" s="406"/>
      <c r="Q680" s="406"/>
      <c r="R680" s="406"/>
      <c r="S680" s="406"/>
      <c r="T680" s="406"/>
      <c r="U680" s="406"/>
      <c r="V680" s="406"/>
      <c r="W680" s="406"/>
      <c r="X680" s="406"/>
      <c r="Y680" s="406"/>
      <c r="Z680" s="406"/>
    </row>
    <row r="681" spans="1:26" ht="24.75" customHeight="1">
      <c r="A681" s="406"/>
      <c r="B681" s="475"/>
      <c r="C681" s="406"/>
      <c r="D681" s="406"/>
      <c r="E681" s="505"/>
      <c r="F681" s="406"/>
      <c r="G681" s="406"/>
      <c r="H681" s="406"/>
      <c r="I681" s="406"/>
      <c r="J681" s="406"/>
      <c r="K681" s="406"/>
      <c r="L681" s="406"/>
      <c r="M681" s="406"/>
      <c r="N681" s="406"/>
      <c r="O681" s="406"/>
      <c r="P681" s="406"/>
      <c r="Q681" s="406"/>
      <c r="R681" s="406"/>
      <c r="S681" s="406"/>
      <c r="T681" s="406"/>
      <c r="U681" s="406"/>
      <c r="V681" s="406"/>
      <c r="W681" s="406"/>
      <c r="X681" s="406"/>
      <c r="Y681" s="406"/>
      <c r="Z681" s="406"/>
    </row>
    <row r="682" spans="1:26" ht="24.75" customHeight="1">
      <c r="A682" s="406"/>
      <c r="B682" s="475"/>
      <c r="C682" s="406"/>
      <c r="D682" s="406"/>
      <c r="E682" s="505"/>
      <c r="F682" s="406"/>
      <c r="G682" s="406"/>
      <c r="H682" s="406"/>
      <c r="I682" s="406"/>
      <c r="J682" s="406"/>
      <c r="K682" s="406"/>
      <c r="L682" s="406"/>
      <c r="M682" s="406"/>
      <c r="N682" s="406"/>
      <c r="O682" s="406"/>
      <c r="P682" s="406"/>
      <c r="Q682" s="406"/>
      <c r="R682" s="406"/>
      <c r="S682" s="406"/>
      <c r="T682" s="406"/>
      <c r="U682" s="406"/>
      <c r="V682" s="406"/>
      <c r="W682" s="406"/>
      <c r="X682" s="406"/>
      <c r="Y682" s="406"/>
      <c r="Z682" s="406"/>
    </row>
    <row r="683" spans="1:26" ht="24.75" customHeight="1">
      <c r="A683" s="406"/>
      <c r="B683" s="475"/>
      <c r="C683" s="406"/>
      <c r="D683" s="406"/>
      <c r="E683" s="505"/>
      <c r="F683" s="406"/>
      <c r="G683" s="406"/>
      <c r="H683" s="406"/>
      <c r="I683" s="406"/>
      <c r="J683" s="406"/>
      <c r="K683" s="406"/>
      <c r="L683" s="406"/>
      <c r="M683" s="406"/>
      <c r="N683" s="406"/>
      <c r="O683" s="406"/>
      <c r="P683" s="406"/>
      <c r="Q683" s="406"/>
      <c r="R683" s="406"/>
      <c r="S683" s="406"/>
      <c r="T683" s="406"/>
      <c r="U683" s="406"/>
      <c r="V683" s="406"/>
      <c r="W683" s="406"/>
      <c r="X683" s="406"/>
      <c r="Y683" s="406"/>
      <c r="Z683" s="406"/>
    </row>
    <row r="684" spans="1:26" ht="24.75" customHeight="1">
      <c r="A684" s="406"/>
      <c r="B684" s="475"/>
      <c r="C684" s="406"/>
      <c r="D684" s="406"/>
      <c r="E684" s="505"/>
      <c r="F684" s="406"/>
      <c r="G684" s="406"/>
      <c r="H684" s="406"/>
      <c r="I684" s="406"/>
      <c r="J684" s="406"/>
      <c r="K684" s="406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</row>
    <row r="685" spans="1:26" ht="24.75" customHeight="1">
      <c r="A685" s="406"/>
      <c r="B685" s="475"/>
      <c r="C685" s="406"/>
      <c r="D685" s="406"/>
      <c r="E685" s="505"/>
      <c r="F685" s="406"/>
      <c r="G685" s="406"/>
      <c r="H685" s="406"/>
      <c r="I685" s="406"/>
      <c r="J685" s="406"/>
      <c r="K685" s="406"/>
      <c r="L685" s="406"/>
      <c r="M685" s="406"/>
      <c r="N685" s="406"/>
      <c r="O685" s="406"/>
      <c r="P685" s="406"/>
      <c r="Q685" s="406"/>
      <c r="R685" s="406"/>
      <c r="S685" s="406"/>
      <c r="T685" s="406"/>
      <c r="U685" s="406"/>
      <c r="V685" s="406"/>
      <c r="W685" s="406"/>
      <c r="X685" s="406"/>
      <c r="Y685" s="406"/>
      <c r="Z685" s="406"/>
    </row>
    <row r="686" spans="1:26" ht="24.75" customHeight="1">
      <c r="A686" s="406"/>
      <c r="B686" s="475"/>
      <c r="C686" s="406"/>
      <c r="D686" s="406"/>
      <c r="E686" s="505"/>
      <c r="F686" s="406"/>
      <c r="G686" s="406"/>
      <c r="H686" s="406"/>
      <c r="I686" s="406"/>
      <c r="J686" s="406"/>
      <c r="K686" s="406"/>
      <c r="L686" s="406"/>
      <c r="M686" s="406"/>
      <c r="N686" s="406"/>
      <c r="O686" s="406"/>
      <c r="P686" s="406"/>
      <c r="Q686" s="406"/>
      <c r="R686" s="406"/>
      <c r="S686" s="406"/>
      <c r="T686" s="406"/>
      <c r="U686" s="406"/>
      <c r="V686" s="406"/>
      <c r="W686" s="406"/>
      <c r="X686" s="406"/>
      <c r="Y686" s="406"/>
      <c r="Z686" s="406"/>
    </row>
    <row r="687" spans="1:26" ht="24.75" customHeight="1">
      <c r="A687" s="406"/>
      <c r="B687" s="475"/>
      <c r="C687" s="406"/>
      <c r="D687" s="406"/>
      <c r="E687" s="505"/>
      <c r="F687" s="406"/>
      <c r="G687" s="406"/>
      <c r="H687" s="406"/>
      <c r="I687" s="406"/>
      <c r="J687" s="406"/>
      <c r="K687" s="406"/>
      <c r="L687" s="406"/>
      <c r="M687" s="406"/>
      <c r="N687" s="406"/>
      <c r="O687" s="406"/>
      <c r="P687" s="406"/>
      <c r="Q687" s="406"/>
      <c r="R687" s="406"/>
      <c r="S687" s="406"/>
      <c r="T687" s="406"/>
      <c r="U687" s="406"/>
      <c r="V687" s="406"/>
      <c r="W687" s="406"/>
      <c r="X687" s="406"/>
      <c r="Y687" s="406"/>
      <c r="Z687" s="406"/>
    </row>
    <row r="688" spans="1:26" ht="24.75" customHeight="1">
      <c r="A688" s="406"/>
      <c r="B688" s="475"/>
      <c r="C688" s="406"/>
      <c r="D688" s="406"/>
      <c r="E688" s="505"/>
      <c r="F688" s="406"/>
      <c r="G688" s="406"/>
      <c r="H688" s="406"/>
      <c r="I688" s="406"/>
      <c r="J688" s="406"/>
      <c r="K688" s="406"/>
      <c r="L688" s="406"/>
      <c r="M688" s="406"/>
      <c r="N688" s="406"/>
      <c r="O688" s="406"/>
      <c r="P688" s="406"/>
      <c r="Q688" s="406"/>
      <c r="R688" s="406"/>
      <c r="S688" s="406"/>
      <c r="T688" s="406"/>
      <c r="U688" s="406"/>
      <c r="V688" s="406"/>
      <c r="W688" s="406"/>
      <c r="X688" s="406"/>
      <c r="Y688" s="406"/>
      <c r="Z688" s="406"/>
    </row>
    <row r="689" spans="1:26" ht="24.75" customHeight="1">
      <c r="A689" s="406"/>
      <c r="B689" s="475"/>
      <c r="C689" s="406"/>
      <c r="D689" s="406"/>
      <c r="E689" s="505"/>
      <c r="F689" s="406"/>
      <c r="G689" s="406"/>
      <c r="H689" s="406"/>
      <c r="I689" s="406"/>
      <c r="J689" s="406"/>
      <c r="K689" s="406"/>
      <c r="L689" s="406"/>
      <c r="M689" s="406"/>
      <c r="N689" s="406"/>
      <c r="O689" s="406"/>
      <c r="P689" s="406"/>
      <c r="Q689" s="406"/>
      <c r="R689" s="406"/>
      <c r="S689" s="406"/>
      <c r="T689" s="406"/>
      <c r="U689" s="406"/>
      <c r="V689" s="406"/>
      <c r="W689" s="406"/>
      <c r="X689" s="406"/>
      <c r="Y689" s="406"/>
      <c r="Z689" s="406"/>
    </row>
    <row r="690" spans="1:26" ht="24.75" customHeight="1">
      <c r="A690" s="406"/>
      <c r="B690" s="475"/>
      <c r="C690" s="406"/>
      <c r="D690" s="406"/>
      <c r="E690" s="505"/>
      <c r="F690" s="406"/>
      <c r="G690" s="406"/>
      <c r="H690" s="406"/>
      <c r="I690" s="406"/>
      <c r="J690" s="406"/>
      <c r="K690" s="406"/>
      <c r="L690" s="406"/>
      <c r="M690" s="406"/>
      <c r="N690" s="406"/>
      <c r="O690" s="406"/>
      <c r="P690" s="406"/>
      <c r="Q690" s="406"/>
      <c r="R690" s="406"/>
      <c r="S690" s="406"/>
      <c r="T690" s="406"/>
      <c r="U690" s="406"/>
      <c r="V690" s="406"/>
      <c r="W690" s="406"/>
      <c r="X690" s="406"/>
      <c r="Y690" s="406"/>
      <c r="Z690" s="406"/>
    </row>
    <row r="691" spans="1:26" ht="24.75" customHeight="1">
      <c r="A691" s="406"/>
      <c r="B691" s="475"/>
      <c r="C691" s="406"/>
      <c r="D691" s="406"/>
      <c r="E691" s="505"/>
      <c r="F691" s="406"/>
      <c r="G691" s="406"/>
      <c r="H691" s="406"/>
      <c r="I691" s="406"/>
      <c r="J691" s="406"/>
      <c r="K691" s="406"/>
      <c r="L691" s="406"/>
      <c r="M691" s="406"/>
      <c r="N691" s="406"/>
      <c r="O691" s="406"/>
      <c r="P691" s="406"/>
      <c r="Q691" s="406"/>
      <c r="R691" s="406"/>
      <c r="S691" s="406"/>
      <c r="T691" s="406"/>
      <c r="U691" s="406"/>
      <c r="V691" s="406"/>
      <c r="W691" s="406"/>
      <c r="X691" s="406"/>
      <c r="Y691" s="406"/>
      <c r="Z691" s="406"/>
    </row>
    <row r="692" spans="1:26" ht="24.75" customHeight="1">
      <c r="A692" s="406"/>
      <c r="B692" s="475"/>
      <c r="C692" s="406"/>
      <c r="D692" s="406"/>
      <c r="E692" s="505"/>
      <c r="F692" s="406"/>
      <c r="G692" s="406"/>
      <c r="H692" s="406"/>
      <c r="I692" s="406"/>
      <c r="J692" s="406"/>
      <c r="K692" s="406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</row>
    <row r="693" spans="1:26" ht="24.75" customHeight="1">
      <c r="A693" s="406"/>
      <c r="B693" s="475"/>
      <c r="C693" s="406"/>
      <c r="D693" s="406"/>
      <c r="E693" s="505"/>
      <c r="F693" s="406"/>
      <c r="G693" s="406"/>
      <c r="H693" s="406"/>
      <c r="I693" s="406"/>
      <c r="J693" s="406"/>
      <c r="K693" s="406"/>
      <c r="L693" s="406"/>
      <c r="M693" s="406"/>
      <c r="N693" s="406"/>
      <c r="O693" s="406"/>
      <c r="P693" s="406"/>
      <c r="Q693" s="406"/>
      <c r="R693" s="406"/>
      <c r="S693" s="406"/>
      <c r="T693" s="406"/>
      <c r="U693" s="406"/>
      <c r="V693" s="406"/>
      <c r="W693" s="406"/>
      <c r="X693" s="406"/>
      <c r="Y693" s="406"/>
      <c r="Z693" s="406"/>
    </row>
    <row r="694" spans="1:26" ht="24.75" customHeight="1">
      <c r="A694" s="406"/>
      <c r="B694" s="475"/>
      <c r="C694" s="406"/>
      <c r="D694" s="406"/>
      <c r="E694" s="505"/>
      <c r="F694" s="406"/>
      <c r="G694" s="406"/>
      <c r="H694" s="406"/>
      <c r="I694" s="406"/>
      <c r="J694" s="406"/>
      <c r="K694" s="406"/>
      <c r="L694" s="406"/>
      <c r="M694" s="406"/>
      <c r="N694" s="406"/>
      <c r="O694" s="406"/>
      <c r="P694" s="406"/>
      <c r="Q694" s="406"/>
      <c r="R694" s="406"/>
      <c r="S694" s="406"/>
      <c r="T694" s="406"/>
      <c r="U694" s="406"/>
      <c r="V694" s="406"/>
      <c r="W694" s="406"/>
      <c r="X694" s="406"/>
      <c r="Y694" s="406"/>
      <c r="Z694" s="406"/>
    </row>
    <row r="695" spans="1:26" ht="24.75" customHeight="1">
      <c r="A695" s="406"/>
      <c r="B695" s="475"/>
      <c r="C695" s="406"/>
      <c r="D695" s="406"/>
      <c r="E695" s="505"/>
      <c r="F695" s="406"/>
      <c r="G695" s="406"/>
      <c r="H695" s="406"/>
      <c r="I695" s="406"/>
      <c r="J695" s="406"/>
      <c r="K695" s="406"/>
      <c r="L695" s="406"/>
      <c r="M695" s="406"/>
      <c r="N695" s="406"/>
      <c r="O695" s="406"/>
      <c r="P695" s="406"/>
      <c r="Q695" s="406"/>
      <c r="R695" s="406"/>
      <c r="S695" s="406"/>
      <c r="T695" s="406"/>
      <c r="U695" s="406"/>
      <c r="V695" s="406"/>
      <c r="W695" s="406"/>
      <c r="X695" s="406"/>
      <c r="Y695" s="406"/>
      <c r="Z695" s="406"/>
    </row>
    <row r="696" spans="1:26" ht="24.75" customHeight="1">
      <c r="A696" s="406"/>
      <c r="B696" s="475"/>
      <c r="C696" s="406"/>
      <c r="D696" s="406"/>
      <c r="E696" s="505"/>
      <c r="F696" s="406"/>
      <c r="G696" s="406"/>
      <c r="H696" s="406"/>
      <c r="I696" s="406"/>
      <c r="J696" s="406"/>
      <c r="K696" s="406"/>
      <c r="L696" s="406"/>
      <c r="M696" s="406"/>
      <c r="N696" s="406"/>
      <c r="O696" s="406"/>
      <c r="P696" s="406"/>
      <c r="Q696" s="406"/>
      <c r="R696" s="406"/>
      <c r="S696" s="406"/>
      <c r="T696" s="406"/>
      <c r="U696" s="406"/>
      <c r="V696" s="406"/>
      <c r="W696" s="406"/>
      <c r="X696" s="406"/>
      <c r="Y696" s="406"/>
      <c r="Z696" s="406"/>
    </row>
    <row r="697" spans="1:26" ht="24.75" customHeight="1">
      <c r="A697" s="406"/>
      <c r="B697" s="475"/>
      <c r="C697" s="406"/>
      <c r="D697" s="406"/>
      <c r="E697" s="505"/>
      <c r="F697" s="406"/>
      <c r="G697" s="406"/>
      <c r="H697" s="406"/>
      <c r="I697" s="406"/>
      <c r="J697" s="406"/>
      <c r="K697" s="406"/>
      <c r="L697" s="406"/>
      <c r="M697" s="406"/>
      <c r="N697" s="406"/>
      <c r="O697" s="406"/>
      <c r="P697" s="406"/>
      <c r="Q697" s="406"/>
      <c r="R697" s="406"/>
      <c r="S697" s="406"/>
      <c r="T697" s="406"/>
      <c r="U697" s="406"/>
      <c r="V697" s="406"/>
      <c r="W697" s="406"/>
      <c r="X697" s="406"/>
      <c r="Y697" s="406"/>
      <c r="Z697" s="406"/>
    </row>
    <row r="698" spans="1:26" ht="24.75" customHeight="1">
      <c r="A698" s="406"/>
      <c r="B698" s="475"/>
      <c r="C698" s="406"/>
      <c r="D698" s="406"/>
      <c r="E698" s="505"/>
      <c r="F698" s="406"/>
      <c r="G698" s="406"/>
      <c r="H698" s="406"/>
      <c r="I698" s="406"/>
      <c r="J698" s="406"/>
      <c r="K698" s="406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</row>
    <row r="699" spans="1:26" ht="24.75" customHeight="1">
      <c r="A699" s="406"/>
      <c r="B699" s="475"/>
      <c r="C699" s="406"/>
      <c r="D699" s="406"/>
      <c r="E699" s="505"/>
      <c r="F699" s="406"/>
      <c r="G699" s="406"/>
      <c r="H699" s="406"/>
      <c r="I699" s="406"/>
      <c r="J699" s="406"/>
      <c r="K699" s="406"/>
      <c r="L699" s="406"/>
      <c r="M699" s="406"/>
      <c r="N699" s="406"/>
      <c r="O699" s="406"/>
      <c r="P699" s="406"/>
      <c r="Q699" s="406"/>
      <c r="R699" s="406"/>
      <c r="S699" s="406"/>
      <c r="T699" s="406"/>
      <c r="U699" s="406"/>
      <c r="V699" s="406"/>
      <c r="W699" s="406"/>
      <c r="X699" s="406"/>
      <c r="Y699" s="406"/>
      <c r="Z699" s="406"/>
    </row>
    <row r="700" spans="1:26" ht="24.75" customHeight="1">
      <c r="A700" s="406"/>
      <c r="B700" s="475"/>
      <c r="C700" s="406"/>
      <c r="D700" s="406"/>
      <c r="E700" s="505"/>
      <c r="F700" s="406"/>
      <c r="G700" s="406"/>
      <c r="H700" s="406"/>
      <c r="I700" s="406"/>
      <c r="J700" s="406"/>
      <c r="K700" s="406"/>
      <c r="L700" s="406"/>
      <c r="M700" s="406"/>
      <c r="N700" s="406"/>
      <c r="O700" s="406"/>
      <c r="P700" s="406"/>
      <c r="Q700" s="406"/>
      <c r="R700" s="406"/>
      <c r="S700" s="406"/>
      <c r="T700" s="406"/>
      <c r="U700" s="406"/>
      <c r="V700" s="406"/>
      <c r="W700" s="406"/>
      <c r="X700" s="406"/>
      <c r="Y700" s="406"/>
      <c r="Z700" s="406"/>
    </row>
    <row r="701" spans="1:26" ht="24.75" customHeight="1">
      <c r="A701" s="406"/>
      <c r="B701" s="475"/>
      <c r="C701" s="406"/>
      <c r="D701" s="406"/>
      <c r="E701" s="505"/>
      <c r="F701" s="406"/>
      <c r="G701" s="406"/>
      <c r="H701" s="406"/>
      <c r="I701" s="406"/>
      <c r="J701" s="406"/>
      <c r="K701" s="406"/>
      <c r="L701" s="406"/>
      <c r="M701" s="406"/>
      <c r="N701" s="406"/>
      <c r="O701" s="406"/>
      <c r="P701" s="406"/>
      <c r="Q701" s="406"/>
      <c r="R701" s="406"/>
      <c r="S701" s="406"/>
      <c r="T701" s="406"/>
      <c r="U701" s="406"/>
      <c r="V701" s="406"/>
      <c r="W701" s="406"/>
      <c r="X701" s="406"/>
      <c r="Y701" s="406"/>
      <c r="Z701" s="406"/>
    </row>
    <row r="702" spans="1:26" ht="24.75" customHeight="1">
      <c r="A702" s="406"/>
      <c r="B702" s="475"/>
      <c r="C702" s="406"/>
      <c r="D702" s="406"/>
      <c r="E702" s="505"/>
      <c r="F702" s="406"/>
      <c r="G702" s="406"/>
      <c r="H702" s="406"/>
      <c r="I702" s="406"/>
      <c r="J702" s="406"/>
      <c r="K702" s="406"/>
      <c r="L702" s="406"/>
      <c r="M702" s="406"/>
      <c r="N702" s="406"/>
      <c r="O702" s="406"/>
      <c r="P702" s="406"/>
      <c r="Q702" s="406"/>
      <c r="R702" s="406"/>
      <c r="S702" s="406"/>
      <c r="T702" s="406"/>
      <c r="U702" s="406"/>
      <c r="V702" s="406"/>
      <c r="W702" s="406"/>
      <c r="X702" s="406"/>
      <c r="Y702" s="406"/>
      <c r="Z702" s="406"/>
    </row>
    <row r="703" spans="1:26" ht="24.75" customHeight="1">
      <c r="A703" s="406"/>
      <c r="B703" s="475"/>
      <c r="C703" s="406"/>
      <c r="D703" s="406"/>
      <c r="E703" s="505"/>
      <c r="F703" s="406"/>
      <c r="G703" s="406"/>
      <c r="H703" s="406"/>
      <c r="I703" s="406"/>
      <c r="J703" s="406"/>
      <c r="K703" s="406"/>
      <c r="L703" s="406"/>
      <c r="M703" s="406"/>
      <c r="N703" s="406"/>
      <c r="O703" s="406"/>
      <c r="P703" s="406"/>
      <c r="Q703" s="406"/>
      <c r="R703" s="406"/>
      <c r="S703" s="406"/>
      <c r="T703" s="406"/>
      <c r="U703" s="406"/>
      <c r="V703" s="406"/>
      <c r="W703" s="406"/>
      <c r="X703" s="406"/>
      <c r="Y703" s="406"/>
      <c r="Z703" s="406"/>
    </row>
    <row r="704" spans="1:26" ht="24.75" customHeight="1">
      <c r="A704" s="406"/>
      <c r="B704" s="475"/>
      <c r="C704" s="406"/>
      <c r="D704" s="406"/>
      <c r="E704" s="505"/>
      <c r="F704" s="406"/>
      <c r="G704" s="406"/>
      <c r="H704" s="406"/>
      <c r="I704" s="406"/>
      <c r="J704" s="406"/>
      <c r="K704" s="406"/>
      <c r="L704" s="406"/>
      <c r="M704" s="406"/>
      <c r="N704" s="406"/>
      <c r="O704" s="406"/>
      <c r="P704" s="406"/>
      <c r="Q704" s="406"/>
      <c r="R704" s="406"/>
      <c r="S704" s="406"/>
      <c r="T704" s="406"/>
      <c r="U704" s="406"/>
      <c r="V704" s="406"/>
      <c r="W704" s="406"/>
      <c r="X704" s="406"/>
      <c r="Y704" s="406"/>
      <c r="Z704" s="406"/>
    </row>
    <row r="705" spans="1:26" ht="24.75" customHeight="1">
      <c r="A705" s="406"/>
      <c r="B705" s="475"/>
      <c r="C705" s="406"/>
      <c r="D705" s="406"/>
      <c r="E705" s="505"/>
      <c r="F705" s="406"/>
      <c r="G705" s="406"/>
      <c r="H705" s="406"/>
      <c r="I705" s="406"/>
      <c r="J705" s="406"/>
      <c r="K705" s="406"/>
      <c r="L705" s="406"/>
      <c r="M705" s="406"/>
      <c r="N705" s="406"/>
      <c r="O705" s="406"/>
      <c r="P705" s="406"/>
      <c r="Q705" s="406"/>
      <c r="R705" s="406"/>
      <c r="S705" s="406"/>
      <c r="T705" s="406"/>
      <c r="U705" s="406"/>
      <c r="V705" s="406"/>
      <c r="W705" s="406"/>
      <c r="X705" s="406"/>
      <c r="Y705" s="406"/>
      <c r="Z705" s="406"/>
    </row>
    <row r="706" spans="1:26" ht="24.75" customHeight="1">
      <c r="A706" s="406"/>
      <c r="B706" s="475"/>
      <c r="C706" s="406"/>
      <c r="D706" s="406"/>
      <c r="E706" s="505"/>
      <c r="F706" s="406"/>
      <c r="G706" s="406"/>
      <c r="H706" s="406"/>
      <c r="I706" s="406"/>
      <c r="J706" s="406"/>
      <c r="K706" s="406"/>
      <c r="L706" s="406"/>
      <c r="M706" s="406"/>
      <c r="N706" s="406"/>
      <c r="O706" s="406"/>
      <c r="P706" s="406"/>
      <c r="Q706" s="406"/>
      <c r="R706" s="406"/>
      <c r="S706" s="406"/>
      <c r="T706" s="406"/>
      <c r="U706" s="406"/>
      <c r="V706" s="406"/>
      <c r="W706" s="406"/>
      <c r="X706" s="406"/>
      <c r="Y706" s="406"/>
      <c r="Z706" s="406"/>
    </row>
    <row r="707" spans="1:26" ht="24.75" customHeight="1">
      <c r="A707" s="406"/>
      <c r="B707" s="475"/>
      <c r="C707" s="406"/>
      <c r="D707" s="406"/>
      <c r="E707" s="505"/>
      <c r="F707" s="406"/>
      <c r="G707" s="406"/>
      <c r="H707" s="406"/>
      <c r="I707" s="406"/>
      <c r="J707" s="406"/>
      <c r="K707" s="406"/>
      <c r="L707" s="406"/>
      <c r="M707" s="406"/>
      <c r="N707" s="406"/>
      <c r="O707" s="406"/>
      <c r="P707" s="406"/>
      <c r="Q707" s="406"/>
      <c r="R707" s="406"/>
      <c r="S707" s="406"/>
      <c r="T707" s="406"/>
      <c r="U707" s="406"/>
      <c r="V707" s="406"/>
      <c r="W707" s="406"/>
      <c r="X707" s="406"/>
      <c r="Y707" s="406"/>
      <c r="Z707" s="406"/>
    </row>
    <row r="708" spans="1:26" ht="24.75" customHeight="1">
      <c r="A708" s="406"/>
      <c r="B708" s="475"/>
      <c r="C708" s="406"/>
      <c r="D708" s="406"/>
      <c r="E708" s="505"/>
      <c r="F708" s="406"/>
      <c r="G708" s="406"/>
      <c r="H708" s="406"/>
      <c r="I708" s="406"/>
      <c r="J708" s="406"/>
      <c r="K708" s="406"/>
      <c r="L708" s="406"/>
      <c r="M708" s="406"/>
      <c r="N708" s="406"/>
      <c r="O708" s="406"/>
      <c r="P708" s="406"/>
      <c r="Q708" s="406"/>
      <c r="R708" s="406"/>
      <c r="S708" s="406"/>
      <c r="T708" s="406"/>
      <c r="U708" s="406"/>
      <c r="V708" s="406"/>
      <c r="W708" s="406"/>
      <c r="X708" s="406"/>
      <c r="Y708" s="406"/>
      <c r="Z708" s="406"/>
    </row>
    <row r="709" spans="1:26" ht="24.75" customHeight="1">
      <c r="A709" s="406"/>
      <c r="B709" s="475"/>
      <c r="C709" s="406"/>
      <c r="D709" s="406"/>
      <c r="E709" s="505"/>
      <c r="F709" s="406"/>
      <c r="G709" s="406"/>
      <c r="H709" s="406"/>
      <c r="I709" s="406"/>
      <c r="J709" s="406"/>
      <c r="K709" s="406"/>
      <c r="L709" s="406"/>
      <c r="M709" s="406"/>
      <c r="N709" s="406"/>
      <c r="O709" s="406"/>
      <c r="P709" s="406"/>
      <c r="Q709" s="406"/>
      <c r="R709" s="406"/>
      <c r="S709" s="406"/>
      <c r="T709" s="406"/>
      <c r="U709" s="406"/>
      <c r="V709" s="406"/>
      <c r="W709" s="406"/>
      <c r="X709" s="406"/>
      <c r="Y709" s="406"/>
      <c r="Z709" s="406"/>
    </row>
    <row r="710" spans="1:26" ht="24.75" customHeight="1">
      <c r="A710" s="406"/>
      <c r="B710" s="475"/>
      <c r="C710" s="406"/>
      <c r="D710" s="406"/>
      <c r="E710" s="505"/>
      <c r="F710" s="406"/>
      <c r="G710" s="406"/>
      <c r="H710" s="406"/>
      <c r="I710" s="406"/>
      <c r="J710" s="406"/>
      <c r="K710" s="406"/>
      <c r="L710" s="406"/>
      <c r="M710" s="406"/>
      <c r="N710" s="406"/>
      <c r="O710" s="406"/>
      <c r="P710" s="406"/>
      <c r="Q710" s="406"/>
      <c r="R710" s="406"/>
      <c r="S710" s="406"/>
      <c r="T710" s="406"/>
      <c r="U710" s="406"/>
      <c r="V710" s="406"/>
      <c r="W710" s="406"/>
      <c r="X710" s="406"/>
      <c r="Y710" s="406"/>
      <c r="Z710" s="406"/>
    </row>
    <row r="711" spans="1:26" ht="24.75" customHeight="1">
      <c r="A711" s="406"/>
      <c r="B711" s="475"/>
      <c r="C711" s="406"/>
      <c r="D711" s="406"/>
      <c r="E711" s="505"/>
      <c r="F711" s="406"/>
      <c r="G711" s="406"/>
      <c r="H711" s="406"/>
      <c r="I711" s="406"/>
      <c r="J711" s="406"/>
      <c r="K711" s="406"/>
      <c r="L711" s="406"/>
      <c r="M711" s="406"/>
      <c r="N711" s="406"/>
      <c r="O711" s="406"/>
      <c r="P711" s="406"/>
      <c r="Q711" s="406"/>
      <c r="R711" s="406"/>
      <c r="S711" s="406"/>
      <c r="T711" s="406"/>
      <c r="U711" s="406"/>
      <c r="V711" s="406"/>
      <c r="W711" s="406"/>
      <c r="X711" s="406"/>
      <c r="Y711" s="406"/>
      <c r="Z711" s="406"/>
    </row>
    <row r="712" spans="1:26" ht="24.75" customHeight="1">
      <c r="A712" s="406"/>
      <c r="B712" s="475"/>
      <c r="C712" s="406"/>
      <c r="D712" s="406"/>
      <c r="E712" s="505"/>
      <c r="F712" s="406"/>
      <c r="G712" s="406"/>
      <c r="H712" s="406"/>
      <c r="I712" s="406"/>
      <c r="J712" s="406"/>
      <c r="K712" s="406"/>
      <c r="L712" s="406"/>
      <c r="M712" s="406"/>
      <c r="N712" s="406"/>
      <c r="O712" s="406"/>
      <c r="P712" s="406"/>
      <c r="Q712" s="406"/>
      <c r="R712" s="406"/>
      <c r="S712" s="406"/>
      <c r="T712" s="406"/>
      <c r="U712" s="406"/>
      <c r="V712" s="406"/>
      <c r="W712" s="406"/>
      <c r="X712" s="406"/>
      <c r="Y712" s="406"/>
      <c r="Z712" s="406"/>
    </row>
    <row r="713" spans="1:26" ht="24.75" customHeight="1">
      <c r="A713" s="406"/>
      <c r="B713" s="475"/>
      <c r="C713" s="406"/>
      <c r="D713" s="406"/>
      <c r="E713" s="505"/>
      <c r="F713" s="406"/>
      <c r="G713" s="406"/>
      <c r="H713" s="406"/>
      <c r="I713" s="406"/>
      <c r="J713" s="406"/>
      <c r="K713" s="406"/>
      <c r="L713" s="406"/>
      <c r="M713" s="406"/>
      <c r="N713" s="406"/>
      <c r="O713" s="406"/>
      <c r="P713" s="406"/>
      <c r="Q713" s="406"/>
      <c r="R713" s="406"/>
      <c r="S713" s="406"/>
      <c r="T713" s="406"/>
      <c r="U713" s="406"/>
      <c r="V713" s="406"/>
      <c r="W713" s="406"/>
      <c r="X713" s="406"/>
      <c r="Y713" s="406"/>
      <c r="Z713" s="406"/>
    </row>
    <row r="714" spans="1:26" ht="24.75" customHeight="1">
      <c r="A714" s="406"/>
      <c r="B714" s="475"/>
      <c r="C714" s="406"/>
      <c r="D714" s="406"/>
      <c r="E714" s="505"/>
      <c r="F714" s="406"/>
      <c r="G714" s="406"/>
      <c r="H714" s="406"/>
      <c r="I714" s="406"/>
      <c r="J714" s="406"/>
      <c r="K714" s="406"/>
      <c r="L714" s="406"/>
      <c r="M714" s="406"/>
      <c r="N714" s="406"/>
      <c r="O714" s="406"/>
      <c r="P714" s="406"/>
      <c r="Q714" s="406"/>
      <c r="R714" s="406"/>
      <c r="S714" s="406"/>
      <c r="T714" s="406"/>
      <c r="U714" s="406"/>
      <c r="V714" s="406"/>
      <c r="W714" s="406"/>
      <c r="X714" s="406"/>
      <c r="Y714" s="406"/>
      <c r="Z714" s="406"/>
    </row>
    <row r="715" spans="1:26" ht="24.75" customHeight="1">
      <c r="A715" s="406"/>
      <c r="B715" s="475"/>
      <c r="C715" s="406"/>
      <c r="D715" s="406"/>
      <c r="E715" s="505"/>
      <c r="F715" s="406"/>
      <c r="G715" s="406"/>
      <c r="H715" s="406"/>
      <c r="I715" s="406"/>
      <c r="J715" s="406"/>
      <c r="K715" s="406"/>
      <c r="L715" s="406"/>
      <c r="M715" s="406"/>
      <c r="N715" s="406"/>
      <c r="O715" s="406"/>
      <c r="P715" s="406"/>
      <c r="Q715" s="406"/>
      <c r="R715" s="406"/>
      <c r="S715" s="406"/>
      <c r="T715" s="406"/>
      <c r="U715" s="406"/>
      <c r="V715" s="406"/>
      <c r="W715" s="406"/>
      <c r="X715" s="406"/>
      <c r="Y715" s="406"/>
      <c r="Z715" s="406"/>
    </row>
    <row r="716" spans="1:26" ht="24.75" customHeight="1">
      <c r="A716" s="406"/>
      <c r="B716" s="475"/>
      <c r="C716" s="406"/>
      <c r="D716" s="406"/>
      <c r="E716" s="505"/>
      <c r="F716" s="406"/>
      <c r="G716" s="406"/>
      <c r="H716" s="406"/>
      <c r="I716" s="406"/>
      <c r="J716" s="406"/>
      <c r="K716" s="406"/>
      <c r="L716" s="406"/>
      <c r="M716" s="406"/>
      <c r="N716" s="406"/>
      <c r="O716" s="406"/>
      <c r="P716" s="406"/>
      <c r="Q716" s="406"/>
      <c r="R716" s="406"/>
      <c r="S716" s="406"/>
      <c r="T716" s="406"/>
      <c r="U716" s="406"/>
      <c r="V716" s="406"/>
      <c r="W716" s="406"/>
      <c r="X716" s="406"/>
      <c r="Y716" s="406"/>
      <c r="Z716" s="406"/>
    </row>
    <row r="717" spans="1:26" ht="24.75" customHeight="1">
      <c r="A717" s="406"/>
      <c r="B717" s="475"/>
      <c r="C717" s="406"/>
      <c r="D717" s="406"/>
      <c r="E717" s="505"/>
      <c r="F717" s="406"/>
      <c r="G717" s="406"/>
      <c r="H717" s="406"/>
      <c r="I717" s="406"/>
      <c r="J717" s="406"/>
      <c r="K717" s="406"/>
      <c r="L717" s="406"/>
      <c r="M717" s="406"/>
      <c r="N717" s="406"/>
      <c r="O717" s="406"/>
      <c r="P717" s="406"/>
      <c r="Q717" s="406"/>
      <c r="R717" s="406"/>
      <c r="S717" s="406"/>
      <c r="T717" s="406"/>
      <c r="U717" s="406"/>
      <c r="V717" s="406"/>
      <c r="W717" s="406"/>
      <c r="X717" s="406"/>
      <c r="Y717" s="406"/>
      <c r="Z717" s="406"/>
    </row>
    <row r="718" spans="1:26" ht="24.75" customHeight="1">
      <c r="A718" s="406"/>
      <c r="B718" s="475"/>
      <c r="C718" s="406"/>
      <c r="D718" s="406"/>
      <c r="E718" s="505"/>
      <c r="F718" s="406"/>
      <c r="G718" s="406"/>
      <c r="H718" s="406"/>
      <c r="I718" s="406"/>
      <c r="J718" s="406"/>
      <c r="K718" s="406"/>
      <c r="L718" s="406"/>
      <c r="M718" s="406"/>
      <c r="N718" s="406"/>
      <c r="O718" s="406"/>
      <c r="P718" s="406"/>
      <c r="Q718" s="406"/>
      <c r="R718" s="406"/>
      <c r="S718" s="406"/>
      <c r="T718" s="406"/>
      <c r="U718" s="406"/>
      <c r="V718" s="406"/>
      <c r="W718" s="406"/>
      <c r="X718" s="406"/>
      <c r="Y718" s="406"/>
      <c r="Z718" s="406"/>
    </row>
    <row r="719" spans="1:26" ht="24.75" customHeight="1">
      <c r="A719" s="406"/>
      <c r="B719" s="475"/>
      <c r="C719" s="406"/>
      <c r="D719" s="406"/>
      <c r="E719" s="505"/>
      <c r="F719" s="406"/>
      <c r="G719" s="406"/>
      <c r="H719" s="406"/>
      <c r="I719" s="406"/>
      <c r="J719" s="406"/>
      <c r="K719" s="406"/>
      <c r="L719" s="406"/>
      <c r="M719" s="406"/>
      <c r="N719" s="406"/>
      <c r="O719" s="406"/>
      <c r="P719" s="406"/>
      <c r="Q719" s="406"/>
      <c r="R719" s="406"/>
      <c r="S719" s="406"/>
      <c r="T719" s="406"/>
      <c r="U719" s="406"/>
      <c r="V719" s="406"/>
      <c r="W719" s="406"/>
      <c r="X719" s="406"/>
      <c r="Y719" s="406"/>
      <c r="Z719" s="406"/>
    </row>
    <row r="720" spans="1:26" ht="24.75" customHeight="1">
      <c r="A720" s="406"/>
      <c r="B720" s="475"/>
      <c r="C720" s="406"/>
      <c r="D720" s="406"/>
      <c r="E720" s="505"/>
      <c r="F720" s="406"/>
      <c r="G720" s="406"/>
      <c r="H720" s="406"/>
      <c r="I720" s="406"/>
      <c r="J720" s="406"/>
      <c r="K720" s="406"/>
      <c r="L720" s="406"/>
      <c r="M720" s="406"/>
      <c r="N720" s="406"/>
      <c r="O720" s="406"/>
      <c r="P720" s="406"/>
      <c r="Q720" s="406"/>
      <c r="R720" s="406"/>
      <c r="S720" s="406"/>
      <c r="T720" s="406"/>
      <c r="U720" s="406"/>
      <c r="V720" s="406"/>
      <c r="W720" s="406"/>
      <c r="X720" s="406"/>
      <c r="Y720" s="406"/>
      <c r="Z720" s="406"/>
    </row>
    <row r="721" spans="1:26" ht="24.75" customHeight="1">
      <c r="A721" s="406"/>
      <c r="B721" s="475"/>
      <c r="C721" s="406"/>
      <c r="D721" s="406"/>
      <c r="E721" s="505"/>
      <c r="F721" s="406"/>
      <c r="G721" s="406"/>
      <c r="H721" s="406"/>
      <c r="I721" s="406"/>
      <c r="J721" s="406"/>
      <c r="K721" s="406"/>
      <c r="L721" s="406"/>
      <c r="M721" s="406"/>
      <c r="N721" s="406"/>
      <c r="O721" s="406"/>
      <c r="P721" s="406"/>
      <c r="Q721" s="406"/>
      <c r="R721" s="406"/>
      <c r="S721" s="406"/>
      <c r="T721" s="406"/>
      <c r="U721" s="406"/>
      <c r="V721" s="406"/>
      <c r="W721" s="406"/>
      <c r="X721" s="406"/>
      <c r="Y721" s="406"/>
      <c r="Z721" s="406"/>
    </row>
    <row r="722" spans="1:26" ht="24.75" customHeight="1">
      <c r="A722" s="406"/>
      <c r="B722" s="475"/>
      <c r="C722" s="406"/>
      <c r="D722" s="406"/>
      <c r="E722" s="505"/>
      <c r="F722" s="406"/>
      <c r="G722" s="406"/>
      <c r="H722" s="406"/>
      <c r="I722" s="406"/>
      <c r="J722" s="406"/>
      <c r="K722" s="406"/>
      <c r="L722" s="406"/>
      <c r="M722" s="406"/>
      <c r="N722" s="406"/>
      <c r="O722" s="406"/>
      <c r="P722" s="406"/>
      <c r="Q722" s="406"/>
      <c r="R722" s="406"/>
      <c r="S722" s="406"/>
      <c r="T722" s="406"/>
      <c r="U722" s="406"/>
      <c r="V722" s="406"/>
      <c r="W722" s="406"/>
      <c r="X722" s="406"/>
      <c r="Y722" s="406"/>
      <c r="Z722" s="406"/>
    </row>
    <row r="723" spans="1:26" ht="24.75" customHeight="1">
      <c r="A723" s="406"/>
      <c r="B723" s="475"/>
      <c r="C723" s="406"/>
      <c r="D723" s="406"/>
      <c r="E723" s="505"/>
      <c r="F723" s="406"/>
      <c r="G723" s="406"/>
      <c r="H723" s="406"/>
      <c r="I723" s="406"/>
      <c r="J723" s="406"/>
      <c r="K723" s="406"/>
      <c r="L723" s="406"/>
      <c r="M723" s="406"/>
      <c r="N723" s="406"/>
      <c r="O723" s="406"/>
      <c r="P723" s="406"/>
      <c r="Q723" s="406"/>
      <c r="R723" s="406"/>
      <c r="S723" s="406"/>
      <c r="T723" s="406"/>
      <c r="U723" s="406"/>
      <c r="V723" s="406"/>
      <c r="W723" s="406"/>
      <c r="X723" s="406"/>
      <c r="Y723" s="406"/>
      <c r="Z723" s="406"/>
    </row>
    <row r="724" spans="1:26" ht="24.75" customHeight="1">
      <c r="A724" s="406"/>
      <c r="B724" s="475"/>
      <c r="C724" s="406"/>
      <c r="D724" s="406"/>
      <c r="E724" s="505"/>
      <c r="F724" s="406"/>
      <c r="G724" s="406"/>
      <c r="H724" s="406"/>
      <c r="I724" s="406"/>
      <c r="J724" s="406"/>
      <c r="K724" s="406"/>
      <c r="L724" s="406"/>
      <c r="M724" s="406"/>
      <c r="N724" s="406"/>
      <c r="O724" s="406"/>
      <c r="P724" s="406"/>
      <c r="Q724" s="406"/>
      <c r="R724" s="406"/>
      <c r="S724" s="406"/>
      <c r="T724" s="406"/>
      <c r="U724" s="406"/>
      <c r="V724" s="406"/>
      <c r="W724" s="406"/>
      <c r="X724" s="406"/>
      <c r="Y724" s="406"/>
      <c r="Z724" s="406"/>
    </row>
    <row r="725" spans="1:26" ht="24.75" customHeight="1">
      <c r="A725" s="406"/>
      <c r="B725" s="475"/>
      <c r="C725" s="406"/>
      <c r="D725" s="406"/>
      <c r="E725" s="505"/>
      <c r="F725" s="406"/>
      <c r="G725" s="406"/>
      <c r="H725" s="406"/>
      <c r="I725" s="406"/>
      <c r="J725" s="406"/>
      <c r="K725" s="406"/>
      <c r="L725" s="406"/>
      <c r="M725" s="406"/>
      <c r="N725" s="406"/>
      <c r="O725" s="406"/>
      <c r="P725" s="406"/>
      <c r="Q725" s="406"/>
      <c r="R725" s="406"/>
      <c r="S725" s="406"/>
      <c r="T725" s="406"/>
      <c r="U725" s="406"/>
      <c r="V725" s="406"/>
      <c r="W725" s="406"/>
      <c r="X725" s="406"/>
      <c r="Y725" s="406"/>
      <c r="Z725" s="406"/>
    </row>
    <row r="726" spans="1:26" ht="24.75" customHeight="1">
      <c r="A726" s="406"/>
      <c r="B726" s="475"/>
      <c r="C726" s="406"/>
      <c r="D726" s="406"/>
      <c r="E726" s="505"/>
      <c r="F726" s="406"/>
      <c r="G726" s="406"/>
      <c r="H726" s="406"/>
      <c r="I726" s="406"/>
      <c r="J726" s="406"/>
      <c r="K726" s="406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</row>
    <row r="727" spans="1:26" ht="24.75" customHeight="1">
      <c r="A727" s="406"/>
      <c r="B727" s="475"/>
      <c r="C727" s="406"/>
      <c r="D727" s="406"/>
      <c r="E727" s="505"/>
      <c r="F727" s="406"/>
      <c r="G727" s="406"/>
      <c r="H727" s="406"/>
      <c r="I727" s="406"/>
      <c r="J727" s="406"/>
      <c r="K727" s="406"/>
      <c r="L727" s="406"/>
      <c r="M727" s="406"/>
      <c r="N727" s="406"/>
      <c r="O727" s="406"/>
      <c r="P727" s="406"/>
      <c r="Q727" s="406"/>
      <c r="R727" s="406"/>
      <c r="S727" s="406"/>
      <c r="T727" s="406"/>
      <c r="U727" s="406"/>
      <c r="V727" s="406"/>
      <c r="W727" s="406"/>
      <c r="X727" s="406"/>
      <c r="Y727" s="406"/>
      <c r="Z727" s="406"/>
    </row>
    <row r="728" spans="1:26" ht="24.75" customHeight="1">
      <c r="A728" s="406"/>
      <c r="B728" s="475"/>
      <c r="C728" s="406"/>
      <c r="D728" s="406"/>
      <c r="E728" s="505"/>
      <c r="F728" s="406"/>
      <c r="G728" s="406"/>
      <c r="H728" s="406"/>
      <c r="I728" s="406"/>
      <c r="J728" s="406"/>
      <c r="K728" s="406"/>
      <c r="L728" s="406"/>
      <c r="M728" s="406"/>
      <c r="N728" s="406"/>
      <c r="O728" s="406"/>
      <c r="P728" s="406"/>
      <c r="Q728" s="406"/>
      <c r="R728" s="406"/>
      <c r="S728" s="406"/>
      <c r="T728" s="406"/>
      <c r="U728" s="406"/>
      <c r="V728" s="406"/>
      <c r="W728" s="406"/>
      <c r="X728" s="406"/>
      <c r="Y728" s="406"/>
      <c r="Z728" s="406"/>
    </row>
    <row r="729" spans="1:26" ht="24.75" customHeight="1">
      <c r="A729" s="406"/>
      <c r="B729" s="475"/>
      <c r="C729" s="406"/>
      <c r="D729" s="406"/>
      <c r="E729" s="505"/>
      <c r="F729" s="406"/>
      <c r="G729" s="406"/>
      <c r="H729" s="406"/>
      <c r="I729" s="406"/>
      <c r="J729" s="406"/>
      <c r="K729" s="406"/>
      <c r="L729" s="406"/>
      <c r="M729" s="406"/>
      <c r="N729" s="406"/>
      <c r="O729" s="406"/>
      <c r="P729" s="406"/>
      <c r="Q729" s="406"/>
      <c r="R729" s="406"/>
      <c r="S729" s="406"/>
      <c r="T729" s="406"/>
      <c r="U729" s="406"/>
      <c r="V729" s="406"/>
      <c r="W729" s="406"/>
      <c r="X729" s="406"/>
      <c r="Y729" s="406"/>
      <c r="Z729" s="406"/>
    </row>
    <row r="730" spans="1:26" ht="24.75" customHeight="1">
      <c r="A730" s="406"/>
      <c r="B730" s="475"/>
      <c r="C730" s="406"/>
      <c r="D730" s="406"/>
      <c r="E730" s="505"/>
      <c r="F730" s="406"/>
      <c r="G730" s="406"/>
      <c r="H730" s="406"/>
      <c r="I730" s="406"/>
      <c r="J730" s="406"/>
      <c r="K730" s="406"/>
      <c r="L730" s="406"/>
      <c r="M730" s="406"/>
      <c r="N730" s="406"/>
      <c r="O730" s="406"/>
      <c r="P730" s="406"/>
      <c r="Q730" s="406"/>
      <c r="R730" s="406"/>
      <c r="S730" s="406"/>
      <c r="T730" s="406"/>
      <c r="U730" s="406"/>
      <c r="V730" s="406"/>
      <c r="W730" s="406"/>
      <c r="X730" s="406"/>
      <c r="Y730" s="406"/>
      <c r="Z730" s="406"/>
    </row>
    <row r="731" spans="1:26" ht="24.75" customHeight="1">
      <c r="A731" s="406"/>
      <c r="B731" s="475"/>
      <c r="C731" s="406"/>
      <c r="D731" s="406"/>
      <c r="E731" s="505"/>
      <c r="F731" s="406"/>
      <c r="G731" s="406"/>
      <c r="H731" s="406"/>
      <c r="I731" s="406"/>
      <c r="J731" s="406"/>
      <c r="K731" s="406"/>
      <c r="L731" s="406"/>
      <c r="M731" s="406"/>
      <c r="N731" s="406"/>
      <c r="O731" s="406"/>
      <c r="P731" s="406"/>
      <c r="Q731" s="406"/>
      <c r="R731" s="406"/>
      <c r="S731" s="406"/>
      <c r="T731" s="406"/>
      <c r="U731" s="406"/>
      <c r="V731" s="406"/>
      <c r="W731" s="406"/>
      <c r="X731" s="406"/>
      <c r="Y731" s="406"/>
      <c r="Z731" s="406"/>
    </row>
    <row r="732" spans="1:26" ht="24.75" customHeight="1">
      <c r="A732" s="406"/>
      <c r="B732" s="475"/>
      <c r="C732" s="406"/>
      <c r="D732" s="406"/>
      <c r="E732" s="505"/>
      <c r="F732" s="406"/>
      <c r="G732" s="406"/>
      <c r="H732" s="406"/>
      <c r="I732" s="406"/>
      <c r="J732" s="406"/>
      <c r="K732" s="406"/>
      <c r="L732" s="406"/>
      <c r="M732" s="406"/>
      <c r="N732" s="406"/>
      <c r="O732" s="406"/>
      <c r="P732" s="406"/>
      <c r="Q732" s="406"/>
      <c r="R732" s="406"/>
      <c r="S732" s="406"/>
      <c r="T732" s="406"/>
      <c r="U732" s="406"/>
      <c r="V732" s="406"/>
      <c r="W732" s="406"/>
      <c r="X732" s="406"/>
      <c r="Y732" s="406"/>
      <c r="Z732" s="406"/>
    </row>
    <row r="733" spans="1:26" ht="24.75" customHeight="1">
      <c r="A733" s="406"/>
      <c r="B733" s="475"/>
      <c r="C733" s="406"/>
      <c r="D733" s="406"/>
      <c r="E733" s="505"/>
      <c r="F733" s="406"/>
      <c r="G733" s="406"/>
      <c r="H733" s="406"/>
      <c r="I733" s="406"/>
      <c r="J733" s="406"/>
      <c r="K733" s="406"/>
      <c r="L733" s="406"/>
      <c r="M733" s="406"/>
      <c r="N733" s="406"/>
      <c r="O733" s="406"/>
      <c r="P733" s="406"/>
      <c r="Q733" s="406"/>
      <c r="R733" s="406"/>
      <c r="S733" s="406"/>
      <c r="T733" s="406"/>
      <c r="U733" s="406"/>
      <c r="V733" s="406"/>
      <c r="W733" s="406"/>
      <c r="X733" s="406"/>
      <c r="Y733" s="406"/>
      <c r="Z733" s="406"/>
    </row>
    <row r="734" spans="1:26" ht="24.75" customHeight="1">
      <c r="A734" s="406"/>
      <c r="B734" s="475"/>
      <c r="C734" s="406"/>
      <c r="D734" s="406"/>
      <c r="E734" s="505"/>
      <c r="F734" s="406"/>
      <c r="G734" s="406"/>
      <c r="H734" s="406"/>
      <c r="I734" s="406"/>
      <c r="J734" s="406"/>
      <c r="K734" s="406"/>
      <c r="L734" s="406"/>
      <c r="M734" s="406"/>
      <c r="N734" s="406"/>
      <c r="O734" s="406"/>
      <c r="P734" s="406"/>
      <c r="Q734" s="406"/>
      <c r="R734" s="406"/>
      <c r="S734" s="406"/>
      <c r="T734" s="406"/>
      <c r="U734" s="406"/>
      <c r="V734" s="406"/>
      <c r="W734" s="406"/>
      <c r="X734" s="406"/>
      <c r="Y734" s="406"/>
      <c r="Z734" s="406"/>
    </row>
    <row r="735" spans="1:26" ht="24.75" customHeight="1">
      <c r="A735" s="406"/>
      <c r="B735" s="475"/>
      <c r="C735" s="406"/>
      <c r="D735" s="406"/>
      <c r="E735" s="505"/>
      <c r="F735" s="406"/>
      <c r="G735" s="406"/>
      <c r="H735" s="406"/>
      <c r="I735" s="406"/>
      <c r="J735" s="406"/>
      <c r="K735" s="406"/>
      <c r="L735" s="406"/>
      <c r="M735" s="406"/>
      <c r="N735" s="406"/>
      <c r="O735" s="406"/>
      <c r="P735" s="406"/>
      <c r="Q735" s="406"/>
      <c r="R735" s="406"/>
      <c r="S735" s="406"/>
      <c r="T735" s="406"/>
      <c r="U735" s="406"/>
      <c r="V735" s="406"/>
      <c r="W735" s="406"/>
      <c r="X735" s="406"/>
      <c r="Y735" s="406"/>
      <c r="Z735" s="406"/>
    </row>
    <row r="736" spans="1:26" ht="24.75" customHeight="1">
      <c r="A736" s="406"/>
      <c r="B736" s="475"/>
      <c r="C736" s="406"/>
      <c r="D736" s="406"/>
      <c r="E736" s="505"/>
      <c r="F736" s="406"/>
      <c r="G736" s="406"/>
      <c r="H736" s="406"/>
      <c r="I736" s="406"/>
      <c r="J736" s="406"/>
      <c r="K736" s="406"/>
      <c r="L736" s="406"/>
      <c r="M736" s="406"/>
      <c r="N736" s="406"/>
      <c r="O736" s="406"/>
      <c r="P736" s="406"/>
      <c r="Q736" s="406"/>
      <c r="R736" s="406"/>
      <c r="S736" s="406"/>
      <c r="T736" s="406"/>
      <c r="U736" s="406"/>
      <c r="V736" s="406"/>
      <c r="W736" s="406"/>
      <c r="X736" s="406"/>
      <c r="Y736" s="406"/>
      <c r="Z736" s="406"/>
    </row>
    <row r="737" spans="1:26" ht="24.75" customHeight="1">
      <c r="A737" s="406"/>
      <c r="B737" s="475"/>
      <c r="C737" s="406"/>
      <c r="D737" s="406"/>
      <c r="E737" s="505"/>
      <c r="F737" s="406"/>
      <c r="G737" s="406"/>
      <c r="H737" s="406"/>
      <c r="I737" s="406"/>
      <c r="J737" s="406"/>
      <c r="K737" s="406"/>
      <c r="L737" s="406"/>
      <c r="M737" s="406"/>
      <c r="N737" s="406"/>
      <c r="O737" s="406"/>
      <c r="P737" s="406"/>
      <c r="Q737" s="406"/>
      <c r="R737" s="406"/>
      <c r="S737" s="406"/>
      <c r="T737" s="406"/>
      <c r="U737" s="406"/>
      <c r="V737" s="406"/>
      <c r="W737" s="406"/>
      <c r="X737" s="406"/>
      <c r="Y737" s="406"/>
      <c r="Z737" s="406"/>
    </row>
    <row r="738" spans="1:26" ht="24.75" customHeight="1">
      <c r="A738" s="406"/>
      <c r="B738" s="475"/>
      <c r="C738" s="406"/>
      <c r="D738" s="406"/>
      <c r="E738" s="505"/>
      <c r="F738" s="406"/>
      <c r="G738" s="406"/>
      <c r="H738" s="406"/>
      <c r="I738" s="406"/>
      <c r="J738" s="406"/>
      <c r="K738" s="406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</row>
    <row r="739" spans="1:26" ht="24.75" customHeight="1">
      <c r="A739" s="406"/>
      <c r="B739" s="475"/>
      <c r="C739" s="406"/>
      <c r="D739" s="406"/>
      <c r="E739" s="505"/>
      <c r="F739" s="406"/>
      <c r="G739" s="406"/>
      <c r="H739" s="406"/>
      <c r="I739" s="406"/>
      <c r="J739" s="406"/>
      <c r="K739" s="406"/>
      <c r="L739" s="406"/>
      <c r="M739" s="406"/>
      <c r="N739" s="406"/>
      <c r="O739" s="406"/>
      <c r="P739" s="406"/>
      <c r="Q739" s="406"/>
      <c r="R739" s="406"/>
      <c r="S739" s="406"/>
      <c r="T739" s="406"/>
      <c r="U739" s="406"/>
      <c r="V739" s="406"/>
      <c r="W739" s="406"/>
      <c r="X739" s="406"/>
      <c r="Y739" s="406"/>
      <c r="Z739" s="406"/>
    </row>
    <row r="740" spans="1:26" ht="24.75" customHeight="1">
      <c r="A740" s="406"/>
      <c r="B740" s="475"/>
      <c r="C740" s="406"/>
      <c r="D740" s="406"/>
      <c r="E740" s="505"/>
      <c r="F740" s="406"/>
      <c r="G740" s="406"/>
      <c r="H740" s="406"/>
      <c r="I740" s="406"/>
      <c r="J740" s="406"/>
      <c r="K740" s="406"/>
      <c r="L740" s="406"/>
      <c r="M740" s="406"/>
      <c r="N740" s="406"/>
      <c r="O740" s="406"/>
      <c r="P740" s="406"/>
      <c r="Q740" s="406"/>
      <c r="R740" s="406"/>
      <c r="S740" s="406"/>
      <c r="T740" s="406"/>
      <c r="U740" s="406"/>
      <c r="V740" s="406"/>
      <c r="W740" s="406"/>
      <c r="X740" s="406"/>
      <c r="Y740" s="406"/>
      <c r="Z740" s="406"/>
    </row>
    <row r="741" spans="1:26" ht="24.75" customHeight="1">
      <c r="A741" s="406"/>
      <c r="B741" s="475"/>
      <c r="C741" s="406"/>
      <c r="D741" s="406"/>
      <c r="E741" s="505"/>
      <c r="F741" s="406"/>
      <c r="G741" s="406"/>
      <c r="H741" s="406"/>
      <c r="I741" s="406"/>
      <c r="J741" s="406"/>
      <c r="K741" s="406"/>
      <c r="L741" s="406"/>
      <c r="M741" s="406"/>
      <c r="N741" s="406"/>
      <c r="O741" s="406"/>
      <c r="P741" s="406"/>
      <c r="Q741" s="406"/>
      <c r="R741" s="406"/>
      <c r="S741" s="406"/>
      <c r="T741" s="406"/>
      <c r="U741" s="406"/>
      <c r="V741" s="406"/>
      <c r="W741" s="406"/>
      <c r="X741" s="406"/>
      <c r="Y741" s="406"/>
      <c r="Z741" s="406"/>
    </row>
    <row r="742" spans="1:26" ht="24.75" customHeight="1">
      <c r="A742" s="406"/>
      <c r="B742" s="475"/>
      <c r="C742" s="406"/>
      <c r="D742" s="406"/>
      <c r="E742" s="505"/>
      <c r="F742" s="406"/>
      <c r="G742" s="406"/>
      <c r="H742" s="406"/>
      <c r="I742" s="406"/>
      <c r="J742" s="406"/>
      <c r="K742" s="406"/>
      <c r="L742" s="406"/>
      <c r="M742" s="406"/>
      <c r="N742" s="406"/>
      <c r="O742" s="406"/>
      <c r="P742" s="406"/>
      <c r="Q742" s="406"/>
      <c r="R742" s="406"/>
      <c r="S742" s="406"/>
      <c r="T742" s="406"/>
      <c r="U742" s="406"/>
      <c r="V742" s="406"/>
      <c r="W742" s="406"/>
      <c r="X742" s="406"/>
      <c r="Y742" s="406"/>
      <c r="Z742" s="406"/>
    </row>
    <row r="743" spans="1:26" ht="24.75" customHeight="1">
      <c r="A743" s="406"/>
      <c r="B743" s="475"/>
      <c r="C743" s="406"/>
      <c r="D743" s="406"/>
      <c r="E743" s="505"/>
      <c r="F743" s="406"/>
      <c r="G743" s="406"/>
      <c r="H743" s="406"/>
      <c r="I743" s="406"/>
      <c r="J743" s="406"/>
      <c r="K743" s="406"/>
      <c r="L743" s="406"/>
      <c r="M743" s="406"/>
      <c r="N743" s="406"/>
      <c r="O743" s="406"/>
      <c r="P743" s="406"/>
      <c r="Q743" s="406"/>
      <c r="R743" s="406"/>
      <c r="S743" s="406"/>
      <c r="T743" s="406"/>
      <c r="U743" s="406"/>
      <c r="V743" s="406"/>
      <c r="W743" s="406"/>
      <c r="X743" s="406"/>
      <c r="Y743" s="406"/>
      <c r="Z743" s="406"/>
    </row>
    <row r="744" spans="1:26" ht="24.75" customHeight="1">
      <c r="A744" s="406"/>
      <c r="B744" s="475"/>
      <c r="C744" s="406"/>
      <c r="D744" s="406"/>
      <c r="E744" s="505"/>
      <c r="F744" s="406"/>
      <c r="G744" s="406"/>
      <c r="H744" s="406"/>
      <c r="I744" s="406"/>
      <c r="J744" s="406"/>
      <c r="K744" s="406"/>
      <c r="L744" s="406"/>
      <c r="M744" s="406"/>
      <c r="N744" s="406"/>
      <c r="O744" s="406"/>
      <c r="P744" s="406"/>
      <c r="Q744" s="406"/>
      <c r="R744" s="406"/>
      <c r="S744" s="406"/>
      <c r="T744" s="406"/>
      <c r="U744" s="406"/>
      <c r="V744" s="406"/>
      <c r="W744" s="406"/>
      <c r="X744" s="406"/>
      <c r="Y744" s="406"/>
      <c r="Z744" s="406"/>
    </row>
    <row r="745" spans="1:26" ht="24.75" customHeight="1">
      <c r="A745" s="406"/>
      <c r="B745" s="475"/>
      <c r="C745" s="406"/>
      <c r="D745" s="406"/>
      <c r="E745" s="505"/>
      <c r="F745" s="406"/>
      <c r="G745" s="406"/>
      <c r="H745" s="406"/>
      <c r="I745" s="406"/>
      <c r="J745" s="406"/>
      <c r="K745" s="406"/>
      <c r="L745" s="406"/>
      <c r="M745" s="406"/>
      <c r="N745" s="406"/>
      <c r="O745" s="406"/>
      <c r="P745" s="406"/>
      <c r="Q745" s="406"/>
      <c r="R745" s="406"/>
      <c r="S745" s="406"/>
      <c r="T745" s="406"/>
      <c r="U745" s="406"/>
      <c r="V745" s="406"/>
      <c r="W745" s="406"/>
      <c r="X745" s="406"/>
      <c r="Y745" s="406"/>
      <c r="Z745" s="406"/>
    </row>
    <row r="746" spans="1:26" ht="24.75" customHeight="1">
      <c r="A746" s="406"/>
      <c r="B746" s="475"/>
      <c r="C746" s="406"/>
      <c r="D746" s="406"/>
      <c r="E746" s="505"/>
      <c r="F746" s="406"/>
      <c r="G746" s="406"/>
      <c r="H746" s="406"/>
      <c r="I746" s="406"/>
      <c r="J746" s="406"/>
      <c r="K746" s="406"/>
      <c r="L746" s="406"/>
      <c r="M746" s="406"/>
      <c r="N746" s="406"/>
      <c r="O746" s="406"/>
      <c r="P746" s="406"/>
      <c r="Q746" s="406"/>
      <c r="R746" s="406"/>
      <c r="S746" s="406"/>
      <c r="T746" s="406"/>
      <c r="U746" s="406"/>
      <c r="V746" s="406"/>
      <c r="W746" s="406"/>
      <c r="X746" s="406"/>
      <c r="Y746" s="406"/>
      <c r="Z746" s="406"/>
    </row>
    <row r="747" spans="1:26" ht="24.75" customHeight="1">
      <c r="A747" s="406"/>
      <c r="B747" s="475"/>
      <c r="C747" s="406"/>
      <c r="D747" s="406"/>
      <c r="E747" s="505"/>
      <c r="F747" s="406"/>
      <c r="G747" s="406"/>
      <c r="H747" s="406"/>
      <c r="I747" s="406"/>
      <c r="J747" s="406"/>
      <c r="K747" s="406"/>
      <c r="L747" s="406"/>
      <c r="M747" s="406"/>
      <c r="N747" s="406"/>
      <c r="O747" s="406"/>
      <c r="P747" s="406"/>
      <c r="Q747" s="406"/>
      <c r="R747" s="406"/>
      <c r="S747" s="406"/>
      <c r="T747" s="406"/>
      <c r="U747" s="406"/>
      <c r="V747" s="406"/>
      <c r="W747" s="406"/>
      <c r="X747" s="406"/>
      <c r="Y747" s="406"/>
      <c r="Z747" s="406"/>
    </row>
    <row r="748" spans="1:26" ht="24.75" customHeight="1">
      <c r="A748" s="406"/>
      <c r="B748" s="475"/>
      <c r="C748" s="406"/>
      <c r="D748" s="406"/>
      <c r="E748" s="505"/>
      <c r="F748" s="406"/>
      <c r="G748" s="406"/>
      <c r="H748" s="406"/>
      <c r="I748" s="406"/>
      <c r="J748" s="406"/>
      <c r="K748" s="406"/>
      <c r="L748" s="406"/>
      <c r="M748" s="406"/>
      <c r="N748" s="406"/>
      <c r="O748" s="406"/>
      <c r="P748" s="406"/>
      <c r="Q748" s="406"/>
      <c r="R748" s="406"/>
      <c r="S748" s="406"/>
      <c r="T748" s="406"/>
      <c r="U748" s="406"/>
      <c r="V748" s="406"/>
      <c r="W748" s="406"/>
      <c r="X748" s="406"/>
      <c r="Y748" s="406"/>
      <c r="Z748" s="406"/>
    </row>
    <row r="749" spans="1:26" ht="24.75" customHeight="1">
      <c r="A749" s="406"/>
      <c r="B749" s="475"/>
      <c r="C749" s="406"/>
      <c r="D749" s="406"/>
      <c r="E749" s="505"/>
      <c r="F749" s="406"/>
      <c r="G749" s="406"/>
      <c r="H749" s="406"/>
      <c r="I749" s="406"/>
      <c r="J749" s="406"/>
      <c r="K749" s="406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</row>
    <row r="750" spans="1:26" ht="24.75" customHeight="1">
      <c r="A750" s="406"/>
      <c r="B750" s="475"/>
      <c r="C750" s="406"/>
      <c r="D750" s="406"/>
      <c r="E750" s="505"/>
      <c r="F750" s="406"/>
      <c r="G750" s="406"/>
      <c r="H750" s="406"/>
      <c r="I750" s="406"/>
      <c r="J750" s="406"/>
      <c r="K750" s="406"/>
      <c r="L750" s="406"/>
      <c r="M750" s="406"/>
      <c r="N750" s="406"/>
      <c r="O750" s="406"/>
      <c r="P750" s="406"/>
      <c r="Q750" s="406"/>
      <c r="R750" s="406"/>
      <c r="S750" s="406"/>
      <c r="T750" s="406"/>
      <c r="U750" s="406"/>
      <c r="V750" s="406"/>
      <c r="W750" s="406"/>
      <c r="X750" s="406"/>
      <c r="Y750" s="406"/>
      <c r="Z750" s="406"/>
    </row>
    <row r="751" spans="1:26" ht="24.75" customHeight="1">
      <c r="A751" s="406"/>
      <c r="B751" s="475"/>
      <c r="C751" s="406"/>
      <c r="D751" s="406"/>
      <c r="E751" s="505"/>
      <c r="F751" s="406"/>
      <c r="G751" s="406"/>
      <c r="H751" s="406"/>
      <c r="I751" s="406"/>
      <c r="J751" s="406"/>
      <c r="K751" s="406"/>
      <c r="L751" s="406"/>
      <c r="M751" s="406"/>
      <c r="N751" s="406"/>
      <c r="O751" s="406"/>
      <c r="P751" s="406"/>
      <c r="Q751" s="406"/>
      <c r="R751" s="406"/>
      <c r="S751" s="406"/>
      <c r="T751" s="406"/>
      <c r="U751" s="406"/>
      <c r="V751" s="406"/>
      <c r="W751" s="406"/>
      <c r="X751" s="406"/>
      <c r="Y751" s="406"/>
      <c r="Z751" s="406"/>
    </row>
    <row r="752" spans="1:26" ht="24.75" customHeight="1">
      <c r="A752" s="406"/>
      <c r="B752" s="475"/>
      <c r="C752" s="406"/>
      <c r="D752" s="406"/>
      <c r="E752" s="505"/>
      <c r="F752" s="406"/>
      <c r="G752" s="406"/>
      <c r="H752" s="406"/>
      <c r="I752" s="406"/>
      <c r="J752" s="406"/>
      <c r="K752" s="406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</row>
    <row r="753" spans="1:26" ht="24.75" customHeight="1">
      <c r="A753" s="406"/>
      <c r="B753" s="475"/>
      <c r="C753" s="406"/>
      <c r="D753" s="406"/>
      <c r="E753" s="505"/>
      <c r="F753" s="406"/>
      <c r="G753" s="406"/>
      <c r="H753" s="406"/>
      <c r="I753" s="406"/>
      <c r="J753" s="406"/>
      <c r="K753" s="406"/>
      <c r="L753" s="406"/>
      <c r="M753" s="406"/>
      <c r="N753" s="406"/>
      <c r="O753" s="406"/>
      <c r="P753" s="406"/>
      <c r="Q753" s="406"/>
      <c r="R753" s="406"/>
      <c r="S753" s="406"/>
      <c r="T753" s="406"/>
      <c r="U753" s="406"/>
      <c r="V753" s="406"/>
      <c r="W753" s="406"/>
      <c r="X753" s="406"/>
      <c r="Y753" s="406"/>
      <c r="Z753" s="406"/>
    </row>
    <row r="754" spans="1:26" ht="24.75" customHeight="1">
      <c r="A754" s="406"/>
      <c r="B754" s="475"/>
      <c r="C754" s="406"/>
      <c r="D754" s="406"/>
      <c r="E754" s="505"/>
      <c r="F754" s="406"/>
      <c r="G754" s="406"/>
      <c r="H754" s="406"/>
      <c r="I754" s="406"/>
      <c r="J754" s="406"/>
      <c r="K754" s="406"/>
      <c r="L754" s="406"/>
      <c r="M754" s="406"/>
      <c r="N754" s="406"/>
      <c r="O754" s="406"/>
      <c r="P754" s="406"/>
      <c r="Q754" s="406"/>
      <c r="R754" s="406"/>
      <c r="S754" s="406"/>
      <c r="T754" s="406"/>
      <c r="U754" s="406"/>
      <c r="V754" s="406"/>
      <c r="W754" s="406"/>
      <c r="X754" s="406"/>
      <c r="Y754" s="406"/>
      <c r="Z754" s="406"/>
    </row>
    <row r="755" spans="1:26" ht="24.75" customHeight="1">
      <c r="A755" s="406"/>
      <c r="B755" s="475"/>
      <c r="C755" s="406"/>
      <c r="D755" s="406"/>
      <c r="E755" s="505"/>
      <c r="F755" s="406"/>
      <c r="G755" s="406"/>
      <c r="H755" s="406"/>
      <c r="I755" s="406"/>
      <c r="J755" s="406"/>
      <c r="K755" s="406"/>
      <c r="L755" s="406"/>
      <c r="M755" s="406"/>
      <c r="N755" s="406"/>
      <c r="O755" s="406"/>
      <c r="P755" s="406"/>
      <c r="Q755" s="406"/>
      <c r="R755" s="406"/>
      <c r="S755" s="406"/>
      <c r="T755" s="406"/>
      <c r="U755" s="406"/>
      <c r="V755" s="406"/>
      <c r="W755" s="406"/>
      <c r="X755" s="406"/>
      <c r="Y755" s="406"/>
      <c r="Z755" s="406"/>
    </row>
    <row r="756" spans="1:26" ht="24.75" customHeight="1">
      <c r="A756" s="406"/>
      <c r="B756" s="475"/>
      <c r="C756" s="406"/>
      <c r="D756" s="406"/>
      <c r="E756" s="505"/>
      <c r="F756" s="406"/>
      <c r="G756" s="406"/>
      <c r="H756" s="406"/>
      <c r="I756" s="406"/>
      <c r="J756" s="406"/>
      <c r="K756" s="406"/>
      <c r="L756" s="406"/>
      <c r="M756" s="406"/>
      <c r="N756" s="406"/>
      <c r="O756" s="406"/>
      <c r="P756" s="406"/>
      <c r="Q756" s="406"/>
      <c r="R756" s="406"/>
      <c r="S756" s="406"/>
      <c r="T756" s="406"/>
      <c r="U756" s="406"/>
      <c r="V756" s="406"/>
      <c r="W756" s="406"/>
      <c r="X756" s="406"/>
      <c r="Y756" s="406"/>
      <c r="Z756" s="406"/>
    </row>
    <row r="757" spans="1:26" ht="24.75" customHeight="1">
      <c r="A757" s="406"/>
      <c r="B757" s="475"/>
      <c r="C757" s="406"/>
      <c r="D757" s="406"/>
      <c r="E757" s="505"/>
      <c r="F757" s="406"/>
      <c r="G757" s="406"/>
      <c r="H757" s="406"/>
      <c r="I757" s="406"/>
      <c r="J757" s="406"/>
      <c r="K757" s="406"/>
      <c r="L757" s="406"/>
      <c r="M757" s="406"/>
      <c r="N757" s="406"/>
      <c r="O757" s="406"/>
      <c r="P757" s="406"/>
      <c r="Q757" s="406"/>
      <c r="R757" s="406"/>
      <c r="S757" s="406"/>
      <c r="T757" s="406"/>
      <c r="U757" s="406"/>
      <c r="V757" s="406"/>
      <c r="W757" s="406"/>
      <c r="X757" s="406"/>
      <c r="Y757" s="406"/>
      <c r="Z757" s="406"/>
    </row>
    <row r="758" spans="1:26" ht="24.75" customHeight="1">
      <c r="A758" s="406"/>
      <c r="B758" s="475"/>
      <c r="C758" s="406"/>
      <c r="D758" s="406"/>
      <c r="E758" s="505"/>
      <c r="F758" s="406"/>
      <c r="G758" s="406"/>
      <c r="H758" s="406"/>
      <c r="I758" s="406"/>
      <c r="J758" s="406"/>
      <c r="K758" s="406"/>
      <c r="L758" s="406"/>
      <c r="M758" s="406"/>
      <c r="N758" s="406"/>
      <c r="O758" s="406"/>
      <c r="P758" s="406"/>
      <c r="Q758" s="406"/>
      <c r="R758" s="406"/>
      <c r="S758" s="406"/>
      <c r="T758" s="406"/>
      <c r="U758" s="406"/>
      <c r="V758" s="406"/>
      <c r="W758" s="406"/>
      <c r="X758" s="406"/>
      <c r="Y758" s="406"/>
      <c r="Z758" s="406"/>
    </row>
    <row r="759" spans="1:26" ht="24.75" customHeight="1">
      <c r="A759" s="406"/>
      <c r="B759" s="475"/>
      <c r="C759" s="406"/>
      <c r="D759" s="406"/>
      <c r="E759" s="505"/>
      <c r="F759" s="406"/>
      <c r="G759" s="406"/>
      <c r="H759" s="406"/>
      <c r="I759" s="406"/>
      <c r="J759" s="406"/>
      <c r="K759" s="406"/>
      <c r="L759" s="406"/>
      <c r="M759" s="406"/>
      <c r="N759" s="406"/>
      <c r="O759" s="406"/>
      <c r="P759" s="406"/>
      <c r="Q759" s="406"/>
      <c r="R759" s="406"/>
      <c r="S759" s="406"/>
      <c r="T759" s="406"/>
      <c r="U759" s="406"/>
      <c r="V759" s="406"/>
      <c r="W759" s="406"/>
      <c r="X759" s="406"/>
      <c r="Y759" s="406"/>
      <c r="Z759" s="406"/>
    </row>
    <row r="760" spans="1:26" ht="24.75" customHeight="1">
      <c r="A760" s="406"/>
      <c r="B760" s="475"/>
      <c r="C760" s="406"/>
      <c r="D760" s="406"/>
      <c r="E760" s="505"/>
      <c r="F760" s="406"/>
      <c r="G760" s="406"/>
      <c r="H760" s="406"/>
      <c r="I760" s="406"/>
      <c r="J760" s="406"/>
      <c r="K760" s="406"/>
      <c r="L760" s="406"/>
      <c r="M760" s="406"/>
      <c r="N760" s="406"/>
      <c r="O760" s="406"/>
      <c r="P760" s="406"/>
      <c r="Q760" s="406"/>
      <c r="R760" s="406"/>
      <c r="S760" s="406"/>
      <c r="T760" s="406"/>
      <c r="U760" s="406"/>
      <c r="V760" s="406"/>
      <c r="W760" s="406"/>
      <c r="X760" s="406"/>
      <c r="Y760" s="406"/>
      <c r="Z760" s="406"/>
    </row>
    <row r="761" spans="1:26" ht="24.75" customHeight="1">
      <c r="A761" s="406"/>
      <c r="B761" s="475"/>
      <c r="C761" s="406"/>
      <c r="D761" s="406"/>
      <c r="E761" s="505"/>
      <c r="F761" s="406"/>
      <c r="G761" s="406"/>
      <c r="H761" s="406"/>
      <c r="I761" s="406"/>
      <c r="J761" s="406"/>
      <c r="K761" s="406"/>
      <c r="L761" s="406"/>
      <c r="M761" s="406"/>
      <c r="N761" s="406"/>
      <c r="O761" s="406"/>
      <c r="P761" s="406"/>
      <c r="Q761" s="406"/>
      <c r="R761" s="406"/>
      <c r="S761" s="406"/>
      <c r="T761" s="406"/>
      <c r="U761" s="406"/>
      <c r="V761" s="406"/>
      <c r="W761" s="406"/>
      <c r="X761" s="406"/>
      <c r="Y761" s="406"/>
      <c r="Z761" s="406"/>
    </row>
    <row r="762" spans="1:26" ht="24.75" customHeight="1">
      <c r="A762" s="406"/>
      <c r="B762" s="475"/>
      <c r="C762" s="406"/>
      <c r="D762" s="406"/>
      <c r="E762" s="505"/>
      <c r="F762" s="406"/>
      <c r="G762" s="406"/>
      <c r="H762" s="406"/>
      <c r="I762" s="406"/>
      <c r="J762" s="406"/>
      <c r="K762" s="406"/>
      <c r="L762" s="406"/>
      <c r="M762" s="406"/>
      <c r="N762" s="406"/>
      <c r="O762" s="406"/>
      <c r="P762" s="406"/>
      <c r="Q762" s="406"/>
      <c r="R762" s="406"/>
      <c r="S762" s="406"/>
      <c r="T762" s="406"/>
      <c r="U762" s="406"/>
      <c r="V762" s="406"/>
      <c r="W762" s="406"/>
      <c r="X762" s="406"/>
      <c r="Y762" s="406"/>
      <c r="Z762" s="406"/>
    </row>
    <row r="763" spans="1:26" ht="24.75" customHeight="1">
      <c r="A763" s="406"/>
      <c r="B763" s="475"/>
      <c r="C763" s="406"/>
      <c r="D763" s="406"/>
      <c r="E763" s="505"/>
      <c r="F763" s="406"/>
      <c r="G763" s="406"/>
      <c r="H763" s="406"/>
      <c r="I763" s="406"/>
      <c r="J763" s="406"/>
      <c r="K763" s="406"/>
      <c r="L763" s="406"/>
      <c r="M763" s="406"/>
      <c r="N763" s="406"/>
      <c r="O763" s="406"/>
      <c r="P763" s="406"/>
      <c r="Q763" s="406"/>
      <c r="R763" s="406"/>
      <c r="S763" s="406"/>
      <c r="T763" s="406"/>
      <c r="U763" s="406"/>
      <c r="V763" s="406"/>
      <c r="W763" s="406"/>
      <c r="X763" s="406"/>
      <c r="Y763" s="406"/>
      <c r="Z763" s="406"/>
    </row>
    <row r="764" spans="1:26" ht="24.75" customHeight="1">
      <c r="A764" s="406"/>
      <c r="B764" s="475"/>
      <c r="C764" s="406"/>
      <c r="D764" s="406"/>
      <c r="E764" s="505"/>
      <c r="F764" s="406"/>
      <c r="G764" s="406"/>
      <c r="H764" s="406"/>
      <c r="I764" s="406"/>
      <c r="J764" s="406"/>
      <c r="K764" s="406"/>
      <c r="L764" s="406"/>
      <c r="M764" s="406"/>
      <c r="N764" s="406"/>
      <c r="O764" s="406"/>
      <c r="P764" s="406"/>
      <c r="Q764" s="406"/>
      <c r="R764" s="406"/>
      <c r="S764" s="406"/>
      <c r="T764" s="406"/>
      <c r="U764" s="406"/>
      <c r="V764" s="406"/>
      <c r="W764" s="406"/>
      <c r="X764" s="406"/>
      <c r="Y764" s="406"/>
      <c r="Z764" s="406"/>
    </row>
    <row r="765" spans="1:26" ht="24.75" customHeight="1">
      <c r="A765" s="406"/>
      <c r="B765" s="475"/>
      <c r="C765" s="406"/>
      <c r="D765" s="406"/>
      <c r="E765" s="505"/>
      <c r="F765" s="406"/>
      <c r="G765" s="406"/>
      <c r="H765" s="406"/>
      <c r="I765" s="406"/>
      <c r="J765" s="406"/>
      <c r="K765" s="406"/>
      <c r="L765" s="406"/>
      <c r="M765" s="406"/>
      <c r="N765" s="406"/>
      <c r="O765" s="406"/>
      <c r="P765" s="406"/>
      <c r="Q765" s="406"/>
      <c r="R765" s="406"/>
      <c r="S765" s="406"/>
      <c r="T765" s="406"/>
      <c r="U765" s="406"/>
      <c r="V765" s="406"/>
      <c r="W765" s="406"/>
      <c r="X765" s="406"/>
      <c r="Y765" s="406"/>
      <c r="Z765" s="406"/>
    </row>
    <row r="766" spans="1:26" ht="24.75" customHeight="1">
      <c r="A766" s="406"/>
      <c r="B766" s="475"/>
      <c r="C766" s="406"/>
      <c r="D766" s="406"/>
      <c r="E766" s="505"/>
      <c r="F766" s="406"/>
      <c r="G766" s="406"/>
      <c r="H766" s="406"/>
      <c r="I766" s="406"/>
      <c r="J766" s="406"/>
      <c r="K766" s="406"/>
      <c r="L766" s="406"/>
      <c r="M766" s="406"/>
      <c r="N766" s="406"/>
      <c r="O766" s="406"/>
      <c r="P766" s="406"/>
      <c r="Q766" s="406"/>
      <c r="R766" s="406"/>
      <c r="S766" s="406"/>
      <c r="T766" s="406"/>
      <c r="U766" s="406"/>
      <c r="V766" s="406"/>
      <c r="W766" s="406"/>
      <c r="X766" s="406"/>
      <c r="Y766" s="406"/>
      <c r="Z766" s="406"/>
    </row>
    <row r="767" spans="1:26" ht="24.75" customHeight="1">
      <c r="A767" s="406"/>
      <c r="B767" s="475"/>
      <c r="C767" s="406"/>
      <c r="D767" s="406"/>
      <c r="E767" s="505"/>
      <c r="F767" s="406"/>
      <c r="G767" s="406"/>
      <c r="H767" s="406"/>
      <c r="I767" s="406"/>
      <c r="J767" s="406"/>
      <c r="K767" s="406"/>
      <c r="L767" s="406"/>
      <c r="M767" s="406"/>
      <c r="N767" s="406"/>
      <c r="O767" s="406"/>
      <c r="P767" s="406"/>
      <c r="Q767" s="406"/>
      <c r="R767" s="406"/>
      <c r="S767" s="406"/>
      <c r="T767" s="406"/>
      <c r="U767" s="406"/>
      <c r="V767" s="406"/>
      <c r="W767" s="406"/>
      <c r="X767" s="406"/>
      <c r="Y767" s="406"/>
      <c r="Z767" s="406"/>
    </row>
    <row r="768" spans="1:26" ht="24.75" customHeight="1">
      <c r="A768" s="406"/>
      <c r="B768" s="475"/>
      <c r="C768" s="406"/>
      <c r="D768" s="406"/>
      <c r="E768" s="505"/>
      <c r="F768" s="406"/>
      <c r="G768" s="406"/>
      <c r="H768" s="406"/>
      <c r="I768" s="406"/>
      <c r="J768" s="406"/>
      <c r="K768" s="406"/>
      <c r="L768" s="406"/>
      <c r="M768" s="406"/>
      <c r="N768" s="406"/>
      <c r="O768" s="406"/>
      <c r="P768" s="406"/>
      <c r="Q768" s="406"/>
      <c r="R768" s="406"/>
      <c r="S768" s="406"/>
      <c r="T768" s="406"/>
      <c r="U768" s="406"/>
      <c r="V768" s="406"/>
      <c r="W768" s="406"/>
      <c r="X768" s="406"/>
      <c r="Y768" s="406"/>
      <c r="Z768" s="406"/>
    </row>
    <row r="769" spans="1:26" ht="24.75" customHeight="1">
      <c r="A769" s="406"/>
      <c r="B769" s="475"/>
      <c r="C769" s="406"/>
      <c r="D769" s="406"/>
      <c r="E769" s="505"/>
      <c r="F769" s="406"/>
      <c r="G769" s="406"/>
      <c r="H769" s="406"/>
      <c r="I769" s="406"/>
      <c r="J769" s="406"/>
      <c r="K769" s="406"/>
      <c r="L769" s="406"/>
      <c r="M769" s="406"/>
      <c r="N769" s="406"/>
      <c r="O769" s="406"/>
      <c r="P769" s="406"/>
      <c r="Q769" s="406"/>
      <c r="R769" s="406"/>
      <c r="S769" s="406"/>
      <c r="T769" s="406"/>
      <c r="U769" s="406"/>
      <c r="V769" s="406"/>
      <c r="W769" s="406"/>
      <c r="X769" s="406"/>
      <c r="Y769" s="406"/>
      <c r="Z769" s="406"/>
    </row>
    <row r="770" spans="1:26" ht="24.75" customHeight="1">
      <c r="A770" s="406"/>
      <c r="B770" s="475"/>
      <c r="C770" s="406"/>
      <c r="D770" s="406"/>
      <c r="E770" s="505"/>
      <c r="F770" s="406"/>
      <c r="G770" s="406"/>
      <c r="H770" s="406"/>
      <c r="I770" s="406"/>
      <c r="J770" s="406"/>
      <c r="K770" s="406"/>
      <c r="L770" s="406"/>
      <c r="M770" s="406"/>
      <c r="N770" s="406"/>
      <c r="O770" s="406"/>
      <c r="P770" s="406"/>
      <c r="Q770" s="406"/>
      <c r="R770" s="406"/>
      <c r="S770" s="406"/>
      <c r="T770" s="406"/>
      <c r="U770" s="406"/>
      <c r="V770" s="406"/>
      <c r="W770" s="406"/>
      <c r="X770" s="406"/>
      <c r="Y770" s="406"/>
      <c r="Z770" s="406"/>
    </row>
    <row r="771" spans="1:26" ht="24.75" customHeight="1">
      <c r="A771" s="406"/>
      <c r="B771" s="475"/>
      <c r="C771" s="406"/>
      <c r="D771" s="406"/>
      <c r="E771" s="505"/>
      <c r="F771" s="406"/>
      <c r="G771" s="406"/>
      <c r="H771" s="406"/>
      <c r="I771" s="406"/>
      <c r="J771" s="406"/>
      <c r="K771" s="406"/>
      <c r="L771" s="406"/>
      <c r="M771" s="406"/>
      <c r="N771" s="406"/>
      <c r="O771" s="406"/>
      <c r="P771" s="406"/>
      <c r="Q771" s="406"/>
      <c r="R771" s="406"/>
      <c r="S771" s="406"/>
      <c r="T771" s="406"/>
      <c r="U771" s="406"/>
      <c r="V771" s="406"/>
      <c r="W771" s="406"/>
      <c r="X771" s="406"/>
      <c r="Y771" s="406"/>
      <c r="Z771" s="406"/>
    </row>
    <row r="772" spans="1:26" ht="24.75" customHeight="1">
      <c r="A772" s="406"/>
      <c r="B772" s="475"/>
      <c r="C772" s="406"/>
      <c r="D772" s="406"/>
      <c r="E772" s="505"/>
      <c r="F772" s="406"/>
      <c r="G772" s="406"/>
      <c r="H772" s="406"/>
      <c r="I772" s="406"/>
      <c r="J772" s="406"/>
      <c r="K772" s="406"/>
      <c r="L772" s="406"/>
      <c r="M772" s="406"/>
      <c r="N772" s="406"/>
      <c r="O772" s="406"/>
      <c r="P772" s="406"/>
      <c r="Q772" s="406"/>
      <c r="R772" s="406"/>
      <c r="S772" s="406"/>
      <c r="T772" s="406"/>
      <c r="U772" s="406"/>
      <c r="V772" s="406"/>
      <c r="W772" s="406"/>
      <c r="X772" s="406"/>
      <c r="Y772" s="406"/>
      <c r="Z772" s="406"/>
    </row>
    <row r="773" spans="1:26" ht="24.75" customHeight="1">
      <c r="A773" s="406"/>
      <c r="B773" s="475"/>
      <c r="C773" s="406"/>
      <c r="D773" s="406"/>
      <c r="E773" s="505"/>
      <c r="F773" s="406"/>
      <c r="G773" s="406"/>
      <c r="H773" s="406"/>
      <c r="I773" s="406"/>
      <c r="J773" s="406"/>
      <c r="K773" s="406"/>
      <c r="L773" s="406"/>
      <c r="M773" s="406"/>
      <c r="N773" s="406"/>
      <c r="O773" s="406"/>
      <c r="P773" s="406"/>
      <c r="Q773" s="406"/>
      <c r="R773" s="406"/>
      <c r="S773" s="406"/>
      <c r="T773" s="406"/>
      <c r="U773" s="406"/>
      <c r="V773" s="406"/>
      <c r="W773" s="406"/>
      <c r="X773" s="406"/>
      <c r="Y773" s="406"/>
      <c r="Z773" s="406"/>
    </row>
    <row r="774" spans="1:26" ht="24.75" customHeight="1">
      <c r="A774" s="406"/>
      <c r="B774" s="475"/>
      <c r="C774" s="406"/>
      <c r="D774" s="406"/>
      <c r="E774" s="505"/>
      <c r="F774" s="406"/>
      <c r="G774" s="406"/>
      <c r="H774" s="406"/>
      <c r="I774" s="406"/>
      <c r="J774" s="406"/>
      <c r="K774" s="406"/>
      <c r="L774" s="406"/>
      <c r="M774" s="406"/>
      <c r="N774" s="406"/>
      <c r="O774" s="406"/>
      <c r="P774" s="406"/>
      <c r="Q774" s="406"/>
      <c r="R774" s="406"/>
      <c r="S774" s="406"/>
      <c r="T774" s="406"/>
      <c r="U774" s="406"/>
      <c r="V774" s="406"/>
      <c r="W774" s="406"/>
      <c r="X774" s="406"/>
      <c r="Y774" s="406"/>
      <c r="Z774" s="406"/>
    </row>
    <row r="775" spans="1:26" ht="24.75" customHeight="1">
      <c r="A775" s="406"/>
      <c r="B775" s="475"/>
      <c r="C775" s="406"/>
      <c r="D775" s="406"/>
      <c r="E775" s="505"/>
      <c r="F775" s="406"/>
      <c r="G775" s="406"/>
      <c r="H775" s="406"/>
      <c r="I775" s="406"/>
      <c r="J775" s="406"/>
      <c r="K775" s="406"/>
      <c r="L775" s="406"/>
      <c r="M775" s="406"/>
      <c r="N775" s="406"/>
      <c r="O775" s="406"/>
      <c r="P775" s="406"/>
      <c r="Q775" s="406"/>
      <c r="R775" s="406"/>
      <c r="S775" s="406"/>
      <c r="T775" s="406"/>
      <c r="U775" s="406"/>
      <c r="V775" s="406"/>
      <c r="W775" s="406"/>
      <c r="X775" s="406"/>
      <c r="Y775" s="406"/>
      <c r="Z775" s="406"/>
    </row>
    <row r="776" spans="1:26" ht="24.75" customHeight="1">
      <c r="A776" s="406"/>
      <c r="B776" s="475"/>
      <c r="C776" s="406"/>
      <c r="D776" s="406"/>
      <c r="E776" s="505"/>
      <c r="F776" s="406"/>
      <c r="G776" s="406"/>
      <c r="H776" s="406"/>
      <c r="I776" s="406"/>
      <c r="J776" s="406"/>
      <c r="K776" s="406"/>
      <c r="L776" s="406"/>
      <c r="M776" s="406"/>
      <c r="N776" s="406"/>
      <c r="O776" s="406"/>
      <c r="P776" s="406"/>
      <c r="Q776" s="406"/>
      <c r="R776" s="406"/>
      <c r="S776" s="406"/>
      <c r="T776" s="406"/>
      <c r="U776" s="406"/>
      <c r="V776" s="406"/>
      <c r="W776" s="406"/>
      <c r="X776" s="406"/>
      <c r="Y776" s="406"/>
      <c r="Z776" s="406"/>
    </row>
    <row r="777" spans="1:26" ht="24.75" customHeight="1">
      <c r="A777" s="406"/>
      <c r="B777" s="475"/>
      <c r="C777" s="406"/>
      <c r="D777" s="406"/>
      <c r="E777" s="505"/>
      <c r="F777" s="406"/>
      <c r="G777" s="406"/>
      <c r="H777" s="406"/>
      <c r="I777" s="406"/>
      <c r="J777" s="406"/>
      <c r="K777" s="406"/>
      <c r="L777" s="406"/>
      <c r="M777" s="406"/>
      <c r="N777" s="406"/>
      <c r="O777" s="406"/>
      <c r="P777" s="406"/>
      <c r="Q777" s="406"/>
      <c r="R777" s="406"/>
      <c r="S777" s="406"/>
      <c r="T777" s="406"/>
      <c r="U777" s="406"/>
      <c r="V777" s="406"/>
      <c r="W777" s="406"/>
      <c r="X777" s="406"/>
      <c r="Y777" s="406"/>
      <c r="Z777" s="406"/>
    </row>
    <row r="778" spans="1:26" ht="24.75" customHeight="1">
      <c r="A778" s="406"/>
      <c r="B778" s="475"/>
      <c r="C778" s="406"/>
      <c r="D778" s="406"/>
      <c r="E778" s="505"/>
      <c r="F778" s="406"/>
      <c r="G778" s="406"/>
      <c r="H778" s="406"/>
      <c r="I778" s="406"/>
      <c r="J778" s="406"/>
      <c r="K778" s="406"/>
      <c r="L778" s="406"/>
      <c r="M778" s="406"/>
      <c r="N778" s="406"/>
      <c r="O778" s="406"/>
      <c r="P778" s="406"/>
      <c r="Q778" s="406"/>
      <c r="R778" s="406"/>
      <c r="S778" s="406"/>
      <c r="T778" s="406"/>
      <c r="U778" s="406"/>
      <c r="V778" s="406"/>
      <c r="W778" s="406"/>
      <c r="X778" s="406"/>
      <c r="Y778" s="406"/>
      <c r="Z778" s="406"/>
    </row>
    <row r="779" spans="1:26" ht="24.75" customHeight="1">
      <c r="A779" s="406"/>
      <c r="B779" s="475"/>
      <c r="C779" s="406"/>
      <c r="D779" s="406"/>
      <c r="E779" s="505"/>
      <c r="F779" s="406"/>
      <c r="G779" s="406"/>
      <c r="H779" s="406"/>
      <c r="I779" s="406"/>
      <c r="J779" s="406"/>
      <c r="K779" s="406"/>
      <c r="L779" s="406"/>
      <c r="M779" s="406"/>
      <c r="N779" s="406"/>
      <c r="O779" s="406"/>
      <c r="P779" s="406"/>
      <c r="Q779" s="406"/>
      <c r="R779" s="406"/>
      <c r="S779" s="406"/>
      <c r="T779" s="406"/>
      <c r="U779" s="406"/>
      <c r="V779" s="406"/>
      <c r="W779" s="406"/>
      <c r="X779" s="406"/>
      <c r="Y779" s="406"/>
      <c r="Z779" s="406"/>
    </row>
    <row r="780" spans="1:26" ht="24.75" customHeight="1">
      <c r="A780" s="406"/>
      <c r="B780" s="475"/>
      <c r="C780" s="406"/>
      <c r="D780" s="406"/>
      <c r="E780" s="505"/>
      <c r="F780" s="406"/>
      <c r="G780" s="406"/>
      <c r="H780" s="406"/>
      <c r="I780" s="406"/>
      <c r="J780" s="406"/>
      <c r="K780" s="406"/>
      <c r="L780" s="406"/>
      <c r="M780" s="406"/>
      <c r="N780" s="406"/>
      <c r="O780" s="406"/>
      <c r="P780" s="406"/>
      <c r="Q780" s="406"/>
      <c r="R780" s="406"/>
      <c r="S780" s="406"/>
      <c r="T780" s="406"/>
      <c r="U780" s="406"/>
      <c r="V780" s="406"/>
      <c r="W780" s="406"/>
      <c r="X780" s="406"/>
      <c r="Y780" s="406"/>
      <c r="Z780" s="406"/>
    </row>
    <row r="781" spans="1:26" ht="24.75" customHeight="1">
      <c r="A781" s="406"/>
      <c r="B781" s="475"/>
      <c r="C781" s="406"/>
      <c r="D781" s="406"/>
      <c r="E781" s="505"/>
      <c r="F781" s="406"/>
      <c r="G781" s="406"/>
      <c r="H781" s="406"/>
      <c r="I781" s="406"/>
      <c r="J781" s="406"/>
      <c r="K781" s="406"/>
      <c r="L781" s="406"/>
      <c r="M781" s="406"/>
      <c r="N781" s="406"/>
      <c r="O781" s="406"/>
      <c r="P781" s="406"/>
      <c r="Q781" s="406"/>
      <c r="R781" s="406"/>
      <c r="S781" s="406"/>
      <c r="T781" s="406"/>
      <c r="U781" s="406"/>
      <c r="V781" s="406"/>
      <c r="W781" s="406"/>
      <c r="X781" s="406"/>
      <c r="Y781" s="406"/>
      <c r="Z781" s="406"/>
    </row>
    <row r="782" spans="1:26" ht="24.75" customHeight="1">
      <c r="A782" s="406"/>
      <c r="B782" s="475"/>
      <c r="C782" s="406"/>
      <c r="D782" s="406"/>
      <c r="E782" s="505"/>
      <c r="F782" s="406"/>
      <c r="G782" s="406"/>
      <c r="H782" s="406"/>
      <c r="I782" s="406"/>
      <c r="J782" s="406"/>
      <c r="K782" s="406"/>
      <c r="L782" s="406"/>
      <c r="M782" s="406"/>
      <c r="N782" s="406"/>
      <c r="O782" s="406"/>
      <c r="P782" s="406"/>
      <c r="Q782" s="406"/>
      <c r="R782" s="406"/>
      <c r="S782" s="406"/>
      <c r="T782" s="406"/>
      <c r="U782" s="406"/>
      <c r="V782" s="406"/>
      <c r="W782" s="406"/>
      <c r="X782" s="406"/>
      <c r="Y782" s="406"/>
      <c r="Z782" s="406"/>
    </row>
    <row r="783" spans="1:26" ht="24.75" customHeight="1">
      <c r="A783" s="406"/>
      <c r="B783" s="475"/>
      <c r="C783" s="406"/>
      <c r="D783" s="406"/>
      <c r="E783" s="505"/>
      <c r="F783" s="406"/>
      <c r="G783" s="406"/>
      <c r="H783" s="406"/>
      <c r="I783" s="406"/>
      <c r="J783" s="406"/>
      <c r="K783" s="406"/>
      <c r="L783" s="406"/>
      <c r="M783" s="406"/>
      <c r="N783" s="406"/>
      <c r="O783" s="406"/>
      <c r="P783" s="406"/>
      <c r="Q783" s="406"/>
      <c r="R783" s="406"/>
      <c r="S783" s="406"/>
      <c r="T783" s="406"/>
      <c r="U783" s="406"/>
      <c r="V783" s="406"/>
      <c r="W783" s="406"/>
      <c r="X783" s="406"/>
      <c r="Y783" s="406"/>
      <c r="Z783" s="406"/>
    </row>
    <row r="784" spans="1:26" ht="24.75" customHeight="1">
      <c r="A784" s="406"/>
      <c r="B784" s="475"/>
      <c r="C784" s="406"/>
      <c r="D784" s="406"/>
      <c r="E784" s="505"/>
      <c r="F784" s="406"/>
      <c r="G784" s="406"/>
      <c r="H784" s="406"/>
      <c r="I784" s="406"/>
      <c r="J784" s="406"/>
      <c r="K784" s="406"/>
      <c r="L784" s="406"/>
      <c r="M784" s="406"/>
      <c r="N784" s="406"/>
      <c r="O784" s="406"/>
      <c r="P784" s="406"/>
      <c r="Q784" s="406"/>
      <c r="R784" s="406"/>
      <c r="S784" s="406"/>
      <c r="T784" s="406"/>
      <c r="U784" s="406"/>
      <c r="V784" s="406"/>
      <c r="W784" s="406"/>
      <c r="X784" s="406"/>
      <c r="Y784" s="406"/>
      <c r="Z784" s="406"/>
    </row>
    <row r="785" spans="1:26" ht="24.75" customHeight="1">
      <c r="A785" s="406"/>
      <c r="B785" s="475"/>
      <c r="C785" s="406"/>
      <c r="D785" s="406"/>
      <c r="E785" s="505"/>
      <c r="F785" s="406"/>
      <c r="G785" s="406"/>
      <c r="H785" s="406"/>
      <c r="I785" s="406"/>
      <c r="J785" s="406"/>
      <c r="K785" s="406"/>
      <c r="L785" s="406"/>
      <c r="M785" s="406"/>
      <c r="N785" s="406"/>
      <c r="O785" s="406"/>
      <c r="P785" s="406"/>
      <c r="Q785" s="406"/>
      <c r="R785" s="406"/>
      <c r="S785" s="406"/>
      <c r="T785" s="406"/>
      <c r="U785" s="406"/>
      <c r="V785" s="406"/>
      <c r="W785" s="406"/>
      <c r="X785" s="406"/>
      <c r="Y785" s="406"/>
      <c r="Z785" s="406"/>
    </row>
    <row r="786" spans="1:26" ht="24.75" customHeight="1">
      <c r="A786" s="406"/>
      <c r="B786" s="475"/>
      <c r="C786" s="406"/>
      <c r="D786" s="406"/>
      <c r="E786" s="505"/>
      <c r="F786" s="406"/>
      <c r="G786" s="406"/>
      <c r="H786" s="406"/>
      <c r="I786" s="406"/>
      <c r="J786" s="406"/>
      <c r="K786" s="406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406"/>
    </row>
    <row r="787" spans="1:26" ht="24.75" customHeight="1">
      <c r="A787" s="406"/>
      <c r="B787" s="475"/>
      <c r="C787" s="406"/>
      <c r="D787" s="406"/>
      <c r="E787" s="505"/>
      <c r="F787" s="406"/>
      <c r="G787" s="406"/>
      <c r="H787" s="406"/>
      <c r="I787" s="406"/>
      <c r="J787" s="406"/>
      <c r="K787" s="406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406"/>
    </row>
    <row r="788" spans="1:26" ht="24.75" customHeight="1">
      <c r="A788" s="406"/>
      <c r="B788" s="475"/>
      <c r="C788" s="406"/>
      <c r="D788" s="406"/>
      <c r="E788" s="505"/>
      <c r="F788" s="406"/>
      <c r="G788" s="406"/>
      <c r="H788" s="406"/>
      <c r="I788" s="406"/>
      <c r="J788" s="406"/>
      <c r="K788" s="406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406"/>
    </row>
    <row r="789" spans="1:26" ht="24.75" customHeight="1">
      <c r="A789" s="406"/>
      <c r="B789" s="475"/>
      <c r="C789" s="406"/>
      <c r="D789" s="406"/>
      <c r="E789" s="505"/>
      <c r="F789" s="406"/>
      <c r="G789" s="406"/>
      <c r="H789" s="406"/>
      <c r="I789" s="406"/>
      <c r="J789" s="406"/>
      <c r="K789" s="406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406"/>
    </row>
    <row r="790" spans="1:26" ht="24.75" customHeight="1">
      <c r="A790" s="406"/>
      <c r="B790" s="475"/>
      <c r="C790" s="406"/>
      <c r="D790" s="406"/>
      <c r="E790" s="505"/>
      <c r="F790" s="406"/>
      <c r="G790" s="406"/>
      <c r="H790" s="406"/>
      <c r="I790" s="406"/>
      <c r="J790" s="406"/>
      <c r="K790" s="406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406"/>
    </row>
    <row r="791" spans="1:26" ht="24.75" customHeight="1">
      <c r="A791" s="406"/>
      <c r="B791" s="475"/>
      <c r="C791" s="406"/>
      <c r="D791" s="406"/>
      <c r="E791" s="505"/>
      <c r="F791" s="406"/>
      <c r="G791" s="406"/>
      <c r="H791" s="406"/>
      <c r="I791" s="406"/>
      <c r="J791" s="406"/>
      <c r="K791" s="406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406"/>
    </row>
    <row r="792" spans="1:26" ht="24.75" customHeight="1">
      <c r="A792" s="406"/>
      <c r="B792" s="475"/>
      <c r="C792" s="406"/>
      <c r="D792" s="406"/>
      <c r="E792" s="505"/>
      <c r="F792" s="406"/>
      <c r="G792" s="406"/>
      <c r="H792" s="406"/>
      <c r="I792" s="406"/>
      <c r="J792" s="406"/>
      <c r="K792" s="406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406"/>
    </row>
    <row r="793" spans="1:26" ht="24.75" customHeight="1">
      <c r="A793" s="406"/>
      <c r="B793" s="475"/>
      <c r="C793" s="406"/>
      <c r="D793" s="406"/>
      <c r="E793" s="505"/>
      <c r="F793" s="406"/>
      <c r="G793" s="406"/>
      <c r="H793" s="406"/>
      <c r="I793" s="406"/>
      <c r="J793" s="406"/>
      <c r="K793" s="406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406"/>
    </row>
    <row r="794" spans="1:26" ht="24.75" customHeight="1">
      <c r="A794" s="406"/>
      <c r="B794" s="475"/>
      <c r="C794" s="406"/>
      <c r="D794" s="406"/>
      <c r="E794" s="505"/>
      <c r="F794" s="406"/>
      <c r="G794" s="406"/>
      <c r="H794" s="406"/>
      <c r="I794" s="406"/>
      <c r="J794" s="406"/>
      <c r="K794" s="406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406"/>
    </row>
    <row r="795" spans="1:26" ht="24.75" customHeight="1">
      <c r="A795" s="406"/>
      <c r="B795" s="475"/>
      <c r="C795" s="406"/>
      <c r="D795" s="406"/>
      <c r="E795" s="505"/>
      <c r="F795" s="406"/>
      <c r="G795" s="406"/>
      <c r="H795" s="406"/>
      <c r="I795" s="406"/>
      <c r="J795" s="406"/>
      <c r="K795" s="406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406"/>
    </row>
    <row r="796" spans="1:26" ht="24.75" customHeight="1">
      <c r="A796" s="406"/>
      <c r="B796" s="475"/>
      <c r="C796" s="406"/>
      <c r="D796" s="406"/>
      <c r="E796" s="505"/>
      <c r="F796" s="406"/>
      <c r="G796" s="406"/>
      <c r="H796" s="406"/>
      <c r="I796" s="406"/>
      <c r="J796" s="406"/>
      <c r="K796" s="406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406"/>
    </row>
    <row r="797" spans="1:26" ht="24.75" customHeight="1">
      <c r="A797" s="406"/>
      <c r="B797" s="475"/>
      <c r="C797" s="406"/>
      <c r="D797" s="406"/>
      <c r="E797" s="505"/>
      <c r="F797" s="406"/>
      <c r="G797" s="406"/>
      <c r="H797" s="406"/>
      <c r="I797" s="406"/>
      <c r="J797" s="406"/>
      <c r="K797" s="406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406"/>
    </row>
    <row r="798" spans="1:26" ht="24.75" customHeight="1">
      <c r="A798" s="406"/>
      <c r="B798" s="475"/>
      <c r="C798" s="406"/>
      <c r="D798" s="406"/>
      <c r="E798" s="505"/>
      <c r="F798" s="406"/>
      <c r="G798" s="406"/>
      <c r="H798" s="406"/>
      <c r="I798" s="406"/>
      <c r="J798" s="406"/>
      <c r="K798" s="406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406"/>
    </row>
    <row r="799" spans="1:26" ht="24.75" customHeight="1">
      <c r="A799" s="406"/>
      <c r="B799" s="475"/>
      <c r="C799" s="406"/>
      <c r="D799" s="406"/>
      <c r="E799" s="505"/>
      <c r="F799" s="406"/>
      <c r="G799" s="406"/>
      <c r="H799" s="406"/>
      <c r="I799" s="406"/>
      <c r="J799" s="406"/>
      <c r="K799" s="406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406"/>
    </row>
    <row r="800" spans="1:26" ht="24.75" customHeight="1">
      <c r="A800" s="406"/>
      <c r="B800" s="475"/>
      <c r="C800" s="406"/>
      <c r="D800" s="406"/>
      <c r="E800" s="505"/>
      <c r="F800" s="406"/>
      <c r="G800" s="406"/>
      <c r="H800" s="406"/>
      <c r="I800" s="406"/>
      <c r="J800" s="406"/>
      <c r="K800" s="406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406"/>
    </row>
    <row r="801" spans="1:26" ht="24.75" customHeight="1">
      <c r="A801" s="406"/>
      <c r="B801" s="475"/>
      <c r="C801" s="406"/>
      <c r="D801" s="406"/>
      <c r="E801" s="505"/>
      <c r="F801" s="406"/>
      <c r="G801" s="406"/>
      <c r="H801" s="406"/>
      <c r="I801" s="406"/>
      <c r="J801" s="406"/>
      <c r="K801" s="406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406"/>
    </row>
    <row r="802" spans="1:26" ht="24.75" customHeight="1">
      <c r="A802" s="406"/>
      <c r="B802" s="475"/>
      <c r="C802" s="406"/>
      <c r="D802" s="406"/>
      <c r="E802" s="505"/>
      <c r="F802" s="406"/>
      <c r="G802" s="406"/>
      <c r="H802" s="406"/>
      <c r="I802" s="406"/>
      <c r="J802" s="406"/>
      <c r="K802" s="406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406"/>
    </row>
    <row r="803" spans="1:26" ht="24.75" customHeight="1">
      <c r="A803" s="406"/>
      <c r="B803" s="475"/>
      <c r="C803" s="406"/>
      <c r="D803" s="406"/>
      <c r="E803" s="505"/>
      <c r="F803" s="406"/>
      <c r="G803" s="406"/>
      <c r="H803" s="406"/>
      <c r="I803" s="406"/>
      <c r="J803" s="406"/>
      <c r="K803" s="406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406"/>
    </row>
    <row r="804" spans="1:26" ht="24.75" customHeight="1">
      <c r="A804" s="406"/>
      <c r="B804" s="475"/>
      <c r="C804" s="406"/>
      <c r="D804" s="406"/>
      <c r="E804" s="505"/>
      <c r="F804" s="406"/>
      <c r="G804" s="406"/>
      <c r="H804" s="406"/>
      <c r="I804" s="406"/>
      <c r="J804" s="406"/>
      <c r="K804" s="406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406"/>
    </row>
    <row r="805" spans="1:26" ht="24.75" customHeight="1">
      <c r="A805" s="406"/>
      <c r="B805" s="475"/>
      <c r="C805" s="406"/>
      <c r="D805" s="406"/>
      <c r="E805" s="505"/>
      <c r="F805" s="406"/>
      <c r="G805" s="406"/>
      <c r="H805" s="406"/>
      <c r="I805" s="406"/>
      <c r="J805" s="406"/>
      <c r="K805" s="406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406"/>
    </row>
    <row r="806" spans="1:26" ht="24.75" customHeight="1">
      <c r="A806" s="406"/>
      <c r="B806" s="475"/>
      <c r="C806" s="406"/>
      <c r="D806" s="406"/>
      <c r="E806" s="505"/>
      <c r="F806" s="406"/>
      <c r="G806" s="406"/>
      <c r="H806" s="406"/>
      <c r="I806" s="406"/>
      <c r="J806" s="406"/>
      <c r="K806" s="406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406"/>
    </row>
    <row r="807" spans="1:26" ht="24.75" customHeight="1">
      <c r="A807" s="406"/>
      <c r="B807" s="475"/>
      <c r="C807" s="406"/>
      <c r="D807" s="406"/>
      <c r="E807" s="505"/>
      <c r="F807" s="406"/>
      <c r="G807" s="406"/>
      <c r="H807" s="406"/>
      <c r="I807" s="406"/>
      <c r="J807" s="406"/>
      <c r="K807" s="406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406"/>
    </row>
    <row r="808" spans="1:26" ht="24.75" customHeight="1">
      <c r="A808" s="406"/>
      <c r="B808" s="475"/>
      <c r="C808" s="406"/>
      <c r="D808" s="406"/>
      <c r="E808" s="505"/>
      <c r="F808" s="406"/>
      <c r="G808" s="406"/>
      <c r="H808" s="406"/>
      <c r="I808" s="406"/>
      <c r="J808" s="406"/>
      <c r="K808" s="406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406"/>
    </row>
    <row r="809" spans="1:26" ht="24.75" customHeight="1">
      <c r="A809" s="406"/>
      <c r="B809" s="475"/>
      <c r="C809" s="406"/>
      <c r="D809" s="406"/>
      <c r="E809" s="505"/>
      <c r="F809" s="406"/>
      <c r="G809" s="406"/>
      <c r="H809" s="406"/>
      <c r="I809" s="406"/>
      <c r="J809" s="406"/>
      <c r="K809" s="406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406"/>
    </row>
    <row r="810" spans="1:26" ht="24.75" customHeight="1">
      <c r="A810" s="406"/>
      <c r="B810" s="475"/>
      <c r="C810" s="406"/>
      <c r="D810" s="406"/>
      <c r="E810" s="505"/>
      <c r="F810" s="406"/>
      <c r="G810" s="406"/>
      <c r="H810" s="406"/>
      <c r="I810" s="406"/>
      <c r="J810" s="406"/>
      <c r="K810" s="406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406"/>
    </row>
    <row r="811" spans="1:26" ht="24.75" customHeight="1">
      <c r="A811" s="406"/>
      <c r="B811" s="475"/>
      <c r="C811" s="406"/>
      <c r="D811" s="406"/>
      <c r="E811" s="505"/>
      <c r="F811" s="406"/>
      <c r="G811" s="406"/>
      <c r="H811" s="406"/>
      <c r="I811" s="406"/>
      <c r="J811" s="406"/>
      <c r="K811" s="406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406"/>
    </row>
    <row r="812" spans="1:26" ht="24.75" customHeight="1">
      <c r="A812" s="406"/>
      <c r="B812" s="475"/>
      <c r="C812" s="406"/>
      <c r="D812" s="406"/>
      <c r="E812" s="505"/>
      <c r="F812" s="406"/>
      <c r="G812" s="406"/>
      <c r="H812" s="406"/>
      <c r="I812" s="406"/>
      <c r="J812" s="406"/>
      <c r="K812" s="406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406"/>
    </row>
    <row r="813" spans="1:26" ht="24.75" customHeight="1">
      <c r="A813" s="406"/>
      <c r="B813" s="475"/>
      <c r="C813" s="406"/>
      <c r="D813" s="406"/>
      <c r="E813" s="505"/>
      <c r="F813" s="406"/>
      <c r="G813" s="406"/>
      <c r="H813" s="406"/>
      <c r="I813" s="406"/>
      <c r="J813" s="406"/>
      <c r="K813" s="406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406"/>
    </row>
    <row r="814" spans="1:26" ht="24.75" customHeight="1">
      <c r="A814" s="406"/>
      <c r="B814" s="475"/>
      <c r="C814" s="406"/>
      <c r="D814" s="406"/>
      <c r="E814" s="505"/>
      <c r="F814" s="406"/>
      <c r="G814" s="406"/>
      <c r="H814" s="406"/>
      <c r="I814" s="406"/>
      <c r="J814" s="406"/>
      <c r="K814" s="406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406"/>
    </row>
    <row r="815" spans="1:26" ht="24.75" customHeight="1">
      <c r="A815" s="406"/>
      <c r="B815" s="475"/>
      <c r="C815" s="406"/>
      <c r="D815" s="406"/>
      <c r="E815" s="505"/>
      <c r="F815" s="406"/>
      <c r="G815" s="406"/>
      <c r="H815" s="406"/>
      <c r="I815" s="406"/>
      <c r="J815" s="406"/>
      <c r="K815" s="406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406"/>
    </row>
    <row r="816" spans="1:26" ht="24.75" customHeight="1">
      <c r="A816" s="406"/>
      <c r="B816" s="475"/>
      <c r="C816" s="406"/>
      <c r="D816" s="406"/>
      <c r="E816" s="505"/>
      <c r="F816" s="406"/>
      <c r="G816" s="406"/>
      <c r="H816" s="406"/>
      <c r="I816" s="406"/>
      <c r="J816" s="406"/>
      <c r="K816" s="406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406"/>
    </row>
    <row r="817" spans="1:26" ht="24.75" customHeight="1">
      <c r="A817" s="406"/>
      <c r="B817" s="475"/>
      <c r="C817" s="406"/>
      <c r="D817" s="406"/>
      <c r="E817" s="505"/>
      <c r="F817" s="406"/>
      <c r="G817" s="406"/>
      <c r="H817" s="406"/>
      <c r="I817" s="406"/>
      <c r="J817" s="406"/>
      <c r="K817" s="406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406"/>
    </row>
    <row r="818" spans="1:26" ht="24.75" customHeight="1">
      <c r="A818" s="406"/>
      <c r="B818" s="475"/>
      <c r="C818" s="406"/>
      <c r="D818" s="406"/>
      <c r="E818" s="505"/>
      <c r="F818" s="406"/>
      <c r="G818" s="406"/>
      <c r="H818" s="406"/>
      <c r="I818" s="406"/>
      <c r="J818" s="406"/>
      <c r="K818" s="406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406"/>
    </row>
    <row r="819" spans="1:26" ht="24.75" customHeight="1">
      <c r="A819" s="406"/>
      <c r="B819" s="475"/>
      <c r="C819" s="406"/>
      <c r="D819" s="406"/>
      <c r="E819" s="505"/>
      <c r="F819" s="406"/>
      <c r="G819" s="406"/>
      <c r="H819" s="406"/>
      <c r="I819" s="406"/>
      <c r="J819" s="406"/>
      <c r="K819" s="406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406"/>
    </row>
    <row r="820" spans="1:26" ht="24.75" customHeight="1">
      <c r="A820" s="406"/>
      <c r="B820" s="475"/>
      <c r="C820" s="406"/>
      <c r="D820" s="406"/>
      <c r="E820" s="505"/>
      <c r="F820" s="406"/>
      <c r="G820" s="406"/>
      <c r="H820" s="406"/>
      <c r="I820" s="406"/>
      <c r="J820" s="406"/>
      <c r="K820" s="406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406"/>
    </row>
    <row r="821" spans="1:26" ht="24.75" customHeight="1">
      <c r="A821" s="406"/>
      <c r="B821" s="475"/>
      <c r="C821" s="406"/>
      <c r="D821" s="406"/>
      <c r="E821" s="505"/>
      <c r="F821" s="406"/>
      <c r="G821" s="406"/>
      <c r="H821" s="406"/>
      <c r="I821" s="406"/>
      <c r="J821" s="406"/>
      <c r="K821" s="406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406"/>
    </row>
    <row r="822" spans="1:26" ht="24.75" customHeight="1">
      <c r="A822" s="406"/>
      <c r="B822" s="475"/>
      <c r="C822" s="406"/>
      <c r="D822" s="406"/>
      <c r="E822" s="505"/>
      <c r="F822" s="406"/>
      <c r="G822" s="406"/>
      <c r="H822" s="406"/>
      <c r="I822" s="406"/>
      <c r="J822" s="406"/>
      <c r="K822" s="406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406"/>
    </row>
    <row r="823" spans="1:26" ht="24.75" customHeight="1">
      <c r="A823" s="406"/>
      <c r="B823" s="475"/>
      <c r="C823" s="406"/>
      <c r="D823" s="406"/>
      <c r="E823" s="505"/>
      <c r="F823" s="406"/>
      <c r="G823" s="406"/>
      <c r="H823" s="406"/>
      <c r="I823" s="406"/>
      <c r="J823" s="406"/>
      <c r="K823" s="406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406"/>
    </row>
    <row r="824" spans="1:26" ht="24.75" customHeight="1">
      <c r="A824" s="406"/>
      <c r="B824" s="475"/>
      <c r="C824" s="406"/>
      <c r="D824" s="406"/>
      <c r="E824" s="505"/>
      <c r="F824" s="406"/>
      <c r="G824" s="406"/>
      <c r="H824" s="406"/>
      <c r="I824" s="406"/>
      <c r="J824" s="406"/>
      <c r="K824" s="406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406"/>
    </row>
    <row r="825" spans="1:26" ht="24.75" customHeight="1">
      <c r="A825" s="406"/>
      <c r="B825" s="475"/>
      <c r="C825" s="406"/>
      <c r="D825" s="406"/>
      <c r="E825" s="505"/>
      <c r="F825" s="406"/>
      <c r="G825" s="406"/>
      <c r="H825" s="406"/>
      <c r="I825" s="406"/>
      <c r="J825" s="406"/>
      <c r="K825" s="406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406"/>
    </row>
    <row r="826" spans="1:26" ht="24.75" customHeight="1">
      <c r="A826" s="406"/>
      <c r="B826" s="475"/>
      <c r="C826" s="406"/>
      <c r="D826" s="406"/>
      <c r="E826" s="505"/>
      <c r="F826" s="406"/>
      <c r="G826" s="406"/>
      <c r="H826" s="406"/>
      <c r="I826" s="406"/>
      <c r="J826" s="406"/>
      <c r="K826" s="406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406"/>
    </row>
    <row r="827" spans="1:26" ht="24.75" customHeight="1">
      <c r="A827" s="406"/>
      <c r="B827" s="475"/>
      <c r="C827" s="406"/>
      <c r="D827" s="406"/>
      <c r="E827" s="505"/>
      <c r="F827" s="406"/>
      <c r="G827" s="406"/>
      <c r="H827" s="406"/>
      <c r="I827" s="406"/>
      <c r="J827" s="406"/>
      <c r="K827" s="406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406"/>
    </row>
    <row r="828" spans="1:26" ht="24.75" customHeight="1">
      <c r="A828" s="406"/>
      <c r="B828" s="475"/>
      <c r="C828" s="406"/>
      <c r="D828" s="406"/>
      <c r="E828" s="505"/>
      <c r="F828" s="406"/>
      <c r="G828" s="406"/>
      <c r="H828" s="406"/>
      <c r="I828" s="406"/>
      <c r="J828" s="406"/>
      <c r="K828" s="406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406"/>
    </row>
    <row r="829" spans="1:26" ht="24.75" customHeight="1">
      <c r="A829" s="406"/>
      <c r="B829" s="475"/>
      <c r="C829" s="406"/>
      <c r="D829" s="406"/>
      <c r="E829" s="505"/>
      <c r="F829" s="406"/>
      <c r="G829" s="406"/>
      <c r="H829" s="406"/>
      <c r="I829" s="406"/>
      <c r="J829" s="406"/>
      <c r="K829" s="406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406"/>
    </row>
    <row r="830" spans="1:26" ht="24.75" customHeight="1">
      <c r="A830" s="406"/>
      <c r="B830" s="475"/>
      <c r="C830" s="406"/>
      <c r="D830" s="406"/>
      <c r="E830" s="505"/>
      <c r="F830" s="406"/>
      <c r="G830" s="406"/>
      <c r="H830" s="406"/>
      <c r="I830" s="406"/>
      <c r="J830" s="406"/>
      <c r="K830" s="406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406"/>
    </row>
    <row r="831" spans="1:26" ht="24.75" customHeight="1">
      <c r="A831" s="406"/>
      <c r="B831" s="475"/>
      <c r="C831" s="406"/>
      <c r="D831" s="406"/>
      <c r="E831" s="505"/>
      <c r="F831" s="406"/>
      <c r="G831" s="406"/>
      <c r="H831" s="406"/>
      <c r="I831" s="406"/>
      <c r="J831" s="406"/>
      <c r="K831" s="406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406"/>
    </row>
    <row r="832" spans="1:26" ht="24.75" customHeight="1">
      <c r="A832" s="406"/>
      <c r="B832" s="475"/>
      <c r="C832" s="406"/>
      <c r="D832" s="406"/>
      <c r="E832" s="505"/>
      <c r="F832" s="406"/>
      <c r="G832" s="406"/>
      <c r="H832" s="406"/>
      <c r="I832" s="406"/>
      <c r="J832" s="406"/>
      <c r="K832" s="406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406"/>
    </row>
    <row r="833" spans="1:26" ht="24.75" customHeight="1">
      <c r="A833" s="406"/>
      <c r="B833" s="475"/>
      <c r="C833" s="406"/>
      <c r="D833" s="406"/>
      <c r="E833" s="505"/>
      <c r="F833" s="406"/>
      <c r="G833" s="406"/>
      <c r="H833" s="406"/>
      <c r="I833" s="406"/>
      <c r="J833" s="406"/>
      <c r="K833" s="406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406"/>
    </row>
    <row r="834" spans="1:26" ht="24.75" customHeight="1">
      <c r="A834" s="406"/>
      <c r="B834" s="475"/>
      <c r="C834" s="406"/>
      <c r="D834" s="406"/>
      <c r="E834" s="505"/>
      <c r="F834" s="406"/>
      <c r="G834" s="406"/>
      <c r="H834" s="406"/>
      <c r="I834" s="406"/>
      <c r="J834" s="406"/>
      <c r="K834" s="406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406"/>
    </row>
    <row r="835" spans="1:26" ht="24.75" customHeight="1">
      <c r="A835" s="406"/>
      <c r="B835" s="475"/>
      <c r="C835" s="406"/>
      <c r="D835" s="406"/>
      <c r="E835" s="505"/>
      <c r="F835" s="406"/>
      <c r="G835" s="406"/>
      <c r="H835" s="406"/>
      <c r="I835" s="406"/>
      <c r="J835" s="406"/>
      <c r="K835" s="406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406"/>
    </row>
    <row r="836" spans="1:26" ht="24.75" customHeight="1">
      <c r="A836" s="406"/>
      <c r="B836" s="475"/>
      <c r="C836" s="406"/>
      <c r="D836" s="406"/>
      <c r="E836" s="505"/>
      <c r="F836" s="406"/>
      <c r="G836" s="406"/>
      <c r="H836" s="406"/>
      <c r="I836" s="406"/>
      <c r="J836" s="406"/>
      <c r="K836" s="406"/>
      <c r="L836" s="406"/>
      <c r="M836" s="406"/>
      <c r="N836" s="406"/>
      <c r="O836" s="406"/>
      <c r="P836" s="406"/>
      <c r="Q836" s="406"/>
      <c r="R836" s="406"/>
      <c r="S836" s="406"/>
      <c r="T836" s="406"/>
      <c r="U836" s="406"/>
      <c r="V836" s="406"/>
      <c r="W836" s="406"/>
      <c r="X836" s="406"/>
      <c r="Y836" s="406"/>
      <c r="Z836" s="406"/>
    </row>
    <row r="837" spans="1:26" ht="24.75" customHeight="1">
      <c r="A837" s="406"/>
      <c r="B837" s="475"/>
      <c r="C837" s="406"/>
      <c r="D837" s="406"/>
      <c r="E837" s="505"/>
      <c r="F837" s="406"/>
      <c r="G837" s="406"/>
      <c r="H837" s="406"/>
      <c r="I837" s="406"/>
      <c r="J837" s="406"/>
      <c r="K837" s="406"/>
      <c r="L837" s="406"/>
      <c r="M837" s="406"/>
      <c r="N837" s="406"/>
      <c r="O837" s="406"/>
      <c r="P837" s="406"/>
      <c r="Q837" s="406"/>
      <c r="R837" s="406"/>
      <c r="S837" s="406"/>
      <c r="T837" s="406"/>
      <c r="U837" s="406"/>
      <c r="V837" s="406"/>
      <c r="W837" s="406"/>
      <c r="X837" s="406"/>
      <c r="Y837" s="406"/>
      <c r="Z837" s="406"/>
    </row>
    <row r="838" spans="1:26" ht="24.75" customHeight="1">
      <c r="A838" s="406"/>
      <c r="B838" s="475"/>
      <c r="C838" s="406"/>
      <c r="D838" s="406"/>
      <c r="E838" s="505"/>
      <c r="F838" s="406"/>
      <c r="G838" s="406"/>
      <c r="H838" s="406"/>
      <c r="I838" s="406"/>
      <c r="J838" s="406"/>
      <c r="K838" s="406"/>
      <c r="L838" s="406"/>
      <c r="M838" s="406"/>
      <c r="N838" s="406"/>
      <c r="O838" s="406"/>
      <c r="P838" s="406"/>
      <c r="Q838" s="406"/>
      <c r="R838" s="406"/>
      <c r="S838" s="406"/>
      <c r="T838" s="406"/>
      <c r="U838" s="406"/>
      <c r="V838" s="406"/>
      <c r="W838" s="406"/>
      <c r="X838" s="406"/>
      <c r="Y838" s="406"/>
      <c r="Z838" s="406"/>
    </row>
    <row r="839" spans="1:26" ht="24.75" customHeight="1">
      <c r="A839" s="406"/>
      <c r="B839" s="475"/>
      <c r="C839" s="406"/>
      <c r="D839" s="406"/>
      <c r="E839" s="505"/>
      <c r="F839" s="406"/>
      <c r="G839" s="406"/>
      <c r="H839" s="406"/>
      <c r="I839" s="406"/>
      <c r="J839" s="406"/>
      <c r="K839" s="406"/>
      <c r="L839" s="406"/>
      <c r="M839" s="406"/>
      <c r="N839" s="406"/>
      <c r="O839" s="406"/>
      <c r="P839" s="406"/>
      <c r="Q839" s="406"/>
      <c r="R839" s="406"/>
      <c r="S839" s="406"/>
      <c r="T839" s="406"/>
      <c r="U839" s="406"/>
      <c r="V839" s="406"/>
      <c r="W839" s="406"/>
      <c r="X839" s="406"/>
      <c r="Y839" s="406"/>
      <c r="Z839" s="406"/>
    </row>
    <row r="840" spans="1:26" ht="24.75" customHeight="1">
      <c r="A840" s="406"/>
      <c r="B840" s="475"/>
      <c r="C840" s="406"/>
      <c r="D840" s="406"/>
      <c r="E840" s="505"/>
      <c r="F840" s="406"/>
      <c r="G840" s="406"/>
      <c r="H840" s="406"/>
      <c r="I840" s="406"/>
      <c r="J840" s="406"/>
      <c r="K840" s="406"/>
      <c r="L840" s="406"/>
      <c r="M840" s="406"/>
      <c r="N840" s="406"/>
      <c r="O840" s="406"/>
      <c r="P840" s="406"/>
      <c r="Q840" s="406"/>
      <c r="R840" s="406"/>
      <c r="S840" s="406"/>
      <c r="T840" s="406"/>
      <c r="U840" s="406"/>
      <c r="V840" s="406"/>
      <c r="W840" s="406"/>
      <c r="X840" s="406"/>
      <c r="Y840" s="406"/>
      <c r="Z840" s="406"/>
    </row>
    <row r="841" spans="1:26" ht="24.75" customHeight="1">
      <c r="A841" s="406"/>
      <c r="B841" s="475"/>
      <c r="C841" s="406"/>
      <c r="D841" s="406"/>
      <c r="E841" s="505"/>
      <c r="F841" s="406"/>
      <c r="G841" s="406"/>
      <c r="H841" s="406"/>
      <c r="I841" s="406"/>
      <c r="J841" s="406"/>
      <c r="K841" s="406"/>
      <c r="L841" s="406"/>
      <c r="M841" s="406"/>
      <c r="N841" s="406"/>
      <c r="O841" s="406"/>
      <c r="P841" s="406"/>
      <c r="Q841" s="406"/>
      <c r="R841" s="406"/>
      <c r="S841" s="406"/>
      <c r="T841" s="406"/>
      <c r="U841" s="406"/>
      <c r="V841" s="406"/>
      <c r="W841" s="406"/>
      <c r="X841" s="406"/>
      <c r="Y841" s="406"/>
      <c r="Z841" s="406"/>
    </row>
    <row r="842" spans="1:26" ht="24.75" customHeight="1">
      <c r="A842" s="406"/>
      <c r="B842" s="475"/>
      <c r="C842" s="406"/>
      <c r="D842" s="406"/>
      <c r="E842" s="505"/>
      <c r="F842" s="406"/>
      <c r="G842" s="406"/>
      <c r="H842" s="406"/>
      <c r="I842" s="406"/>
      <c r="J842" s="406"/>
      <c r="K842" s="406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406"/>
    </row>
    <row r="843" spans="1:26" ht="24.75" customHeight="1">
      <c r="A843" s="406"/>
      <c r="B843" s="475"/>
      <c r="C843" s="406"/>
      <c r="D843" s="406"/>
      <c r="E843" s="505"/>
      <c r="F843" s="406"/>
      <c r="G843" s="406"/>
      <c r="H843" s="406"/>
      <c r="I843" s="406"/>
      <c r="J843" s="406"/>
      <c r="K843" s="406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406"/>
    </row>
    <row r="844" spans="1:26" ht="24.75" customHeight="1">
      <c r="A844" s="406"/>
      <c r="B844" s="475"/>
      <c r="C844" s="406"/>
      <c r="D844" s="406"/>
      <c r="E844" s="505"/>
      <c r="F844" s="406"/>
      <c r="G844" s="406"/>
      <c r="H844" s="406"/>
      <c r="I844" s="406"/>
      <c r="J844" s="406"/>
      <c r="K844" s="406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406"/>
    </row>
    <row r="845" spans="1:26" ht="24.75" customHeight="1">
      <c r="A845" s="406"/>
      <c r="B845" s="475"/>
      <c r="C845" s="406"/>
      <c r="D845" s="406"/>
      <c r="E845" s="505"/>
      <c r="F845" s="406"/>
      <c r="G845" s="406"/>
      <c r="H845" s="406"/>
      <c r="I845" s="406"/>
      <c r="J845" s="406"/>
      <c r="K845" s="406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406"/>
    </row>
    <row r="846" spans="1:26" ht="24.75" customHeight="1">
      <c r="A846" s="406"/>
      <c r="B846" s="475"/>
      <c r="C846" s="406"/>
      <c r="D846" s="406"/>
      <c r="E846" s="505"/>
      <c r="F846" s="406"/>
      <c r="G846" s="406"/>
      <c r="H846" s="406"/>
      <c r="I846" s="406"/>
      <c r="J846" s="406"/>
      <c r="K846" s="406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406"/>
    </row>
    <row r="847" spans="1:26" ht="24.75" customHeight="1">
      <c r="A847" s="406"/>
      <c r="B847" s="475"/>
      <c r="C847" s="406"/>
      <c r="D847" s="406"/>
      <c r="E847" s="505"/>
      <c r="F847" s="406"/>
      <c r="G847" s="406"/>
      <c r="H847" s="406"/>
      <c r="I847" s="406"/>
      <c r="J847" s="406"/>
      <c r="K847" s="406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406"/>
    </row>
    <row r="848" spans="1:26" ht="24.75" customHeight="1">
      <c r="A848" s="406"/>
      <c r="B848" s="475"/>
      <c r="C848" s="406"/>
      <c r="D848" s="406"/>
      <c r="E848" s="505"/>
      <c r="F848" s="406"/>
      <c r="G848" s="406"/>
      <c r="H848" s="406"/>
      <c r="I848" s="406"/>
      <c r="J848" s="406"/>
      <c r="K848" s="406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406"/>
    </row>
    <row r="849" spans="1:26" ht="24.75" customHeight="1">
      <c r="A849" s="406"/>
      <c r="B849" s="475"/>
      <c r="C849" s="406"/>
      <c r="D849" s="406"/>
      <c r="E849" s="505"/>
      <c r="F849" s="406"/>
      <c r="G849" s="406"/>
      <c r="H849" s="406"/>
      <c r="I849" s="406"/>
      <c r="J849" s="406"/>
      <c r="K849" s="406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406"/>
    </row>
    <row r="850" spans="1:26" ht="24.75" customHeight="1">
      <c r="A850" s="406"/>
      <c r="B850" s="475"/>
      <c r="C850" s="406"/>
      <c r="D850" s="406"/>
      <c r="E850" s="505"/>
      <c r="F850" s="406"/>
      <c r="G850" s="406"/>
      <c r="H850" s="406"/>
      <c r="I850" s="406"/>
      <c r="J850" s="406"/>
      <c r="K850" s="406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406"/>
    </row>
    <row r="851" spans="1:26" ht="24.75" customHeight="1">
      <c r="A851" s="406"/>
      <c r="B851" s="475"/>
      <c r="C851" s="406"/>
      <c r="D851" s="406"/>
      <c r="E851" s="505"/>
      <c r="F851" s="406"/>
      <c r="G851" s="406"/>
      <c r="H851" s="406"/>
      <c r="I851" s="406"/>
      <c r="J851" s="406"/>
      <c r="K851" s="406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406"/>
    </row>
    <row r="852" spans="1:26" ht="24.75" customHeight="1">
      <c r="A852" s="406"/>
      <c r="B852" s="475"/>
      <c r="C852" s="406"/>
      <c r="D852" s="406"/>
      <c r="E852" s="505"/>
      <c r="F852" s="406"/>
      <c r="G852" s="406"/>
      <c r="H852" s="406"/>
      <c r="I852" s="406"/>
      <c r="J852" s="406"/>
      <c r="K852" s="406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406"/>
    </row>
    <row r="853" spans="1:26" ht="24.75" customHeight="1">
      <c r="A853" s="406"/>
      <c r="B853" s="475"/>
      <c r="C853" s="406"/>
      <c r="D853" s="406"/>
      <c r="E853" s="505"/>
      <c r="F853" s="406"/>
      <c r="G853" s="406"/>
      <c r="H853" s="406"/>
      <c r="I853" s="406"/>
      <c r="J853" s="406"/>
      <c r="K853" s="406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406"/>
    </row>
    <row r="854" spans="1:26" ht="24.75" customHeight="1">
      <c r="A854" s="406"/>
      <c r="B854" s="475"/>
      <c r="C854" s="406"/>
      <c r="D854" s="406"/>
      <c r="E854" s="505"/>
      <c r="F854" s="406"/>
      <c r="G854" s="406"/>
      <c r="H854" s="406"/>
      <c r="I854" s="406"/>
      <c r="J854" s="406"/>
      <c r="K854" s="406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406"/>
    </row>
    <row r="855" spans="1:26" ht="24.75" customHeight="1">
      <c r="A855" s="406"/>
      <c r="B855" s="475"/>
      <c r="C855" s="406"/>
      <c r="D855" s="406"/>
      <c r="E855" s="505"/>
      <c r="F855" s="406"/>
      <c r="G855" s="406"/>
      <c r="H855" s="406"/>
      <c r="I855" s="406"/>
      <c r="J855" s="406"/>
      <c r="K855" s="406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406"/>
    </row>
    <row r="856" spans="1:26" ht="24.75" customHeight="1">
      <c r="A856" s="406"/>
      <c r="B856" s="475"/>
      <c r="C856" s="406"/>
      <c r="D856" s="406"/>
      <c r="E856" s="505"/>
      <c r="F856" s="406"/>
      <c r="G856" s="406"/>
      <c r="H856" s="406"/>
      <c r="I856" s="406"/>
      <c r="J856" s="406"/>
      <c r="K856" s="406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406"/>
    </row>
    <row r="857" spans="1:26" ht="24.75" customHeight="1">
      <c r="A857" s="406"/>
      <c r="B857" s="475"/>
      <c r="C857" s="406"/>
      <c r="D857" s="406"/>
      <c r="E857" s="505"/>
      <c r="F857" s="406"/>
      <c r="G857" s="406"/>
      <c r="H857" s="406"/>
      <c r="I857" s="406"/>
      <c r="J857" s="406"/>
      <c r="K857" s="406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406"/>
    </row>
    <row r="858" spans="1:26" ht="24.75" customHeight="1">
      <c r="A858" s="406"/>
      <c r="B858" s="475"/>
      <c r="C858" s="406"/>
      <c r="D858" s="406"/>
      <c r="E858" s="505"/>
      <c r="F858" s="406"/>
      <c r="G858" s="406"/>
      <c r="H858" s="406"/>
      <c r="I858" s="406"/>
      <c r="J858" s="406"/>
      <c r="K858" s="406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406"/>
    </row>
    <row r="859" spans="1:26" ht="24.75" customHeight="1">
      <c r="A859" s="406"/>
      <c r="B859" s="475"/>
      <c r="C859" s="406"/>
      <c r="D859" s="406"/>
      <c r="E859" s="505"/>
      <c r="F859" s="406"/>
      <c r="G859" s="406"/>
      <c r="H859" s="406"/>
      <c r="I859" s="406"/>
      <c r="J859" s="406"/>
      <c r="K859" s="406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406"/>
    </row>
    <row r="860" spans="1:26" ht="24.75" customHeight="1">
      <c r="A860" s="406"/>
      <c r="B860" s="475"/>
      <c r="C860" s="406"/>
      <c r="D860" s="406"/>
      <c r="E860" s="505"/>
      <c r="F860" s="406"/>
      <c r="G860" s="406"/>
      <c r="H860" s="406"/>
      <c r="I860" s="406"/>
      <c r="J860" s="406"/>
      <c r="K860" s="406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406"/>
    </row>
    <row r="861" spans="1:26" ht="24.75" customHeight="1">
      <c r="A861" s="406"/>
      <c r="B861" s="475"/>
      <c r="C861" s="406"/>
      <c r="D861" s="406"/>
      <c r="E861" s="505"/>
      <c r="F861" s="406"/>
      <c r="G861" s="406"/>
      <c r="H861" s="406"/>
      <c r="I861" s="406"/>
      <c r="J861" s="406"/>
      <c r="K861" s="406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406"/>
    </row>
    <row r="862" spans="1:26" ht="24.75" customHeight="1">
      <c r="A862" s="406"/>
      <c r="B862" s="475"/>
      <c r="C862" s="406"/>
      <c r="D862" s="406"/>
      <c r="E862" s="505"/>
      <c r="F862" s="406"/>
      <c r="G862" s="406"/>
      <c r="H862" s="406"/>
      <c r="I862" s="406"/>
      <c r="J862" s="406"/>
      <c r="K862" s="406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406"/>
    </row>
    <row r="863" spans="1:26" ht="24.75" customHeight="1">
      <c r="A863" s="406"/>
      <c r="B863" s="475"/>
      <c r="C863" s="406"/>
      <c r="D863" s="406"/>
      <c r="E863" s="505"/>
      <c r="F863" s="406"/>
      <c r="G863" s="406"/>
      <c r="H863" s="406"/>
      <c r="I863" s="406"/>
      <c r="J863" s="406"/>
      <c r="K863" s="406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406"/>
    </row>
    <row r="864" spans="1:26" ht="24.75" customHeight="1">
      <c r="A864" s="406"/>
      <c r="B864" s="475"/>
      <c r="C864" s="406"/>
      <c r="D864" s="406"/>
      <c r="E864" s="505"/>
      <c r="F864" s="406"/>
      <c r="G864" s="406"/>
      <c r="H864" s="406"/>
      <c r="I864" s="406"/>
      <c r="J864" s="406"/>
      <c r="K864" s="406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406"/>
    </row>
    <row r="865" spans="1:26" ht="24.75" customHeight="1">
      <c r="A865" s="406"/>
      <c r="B865" s="475"/>
      <c r="C865" s="406"/>
      <c r="D865" s="406"/>
      <c r="E865" s="505"/>
      <c r="F865" s="406"/>
      <c r="G865" s="406"/>
      <c r="H865" s="406"/>
      <c r="I865" s="406"/>
      <c r="J865" s="406"/>
      <c r="K865" s="406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406"/>
    </row>
    <row r="866" spans="1:26" ht="24.75" customHeight="1">
      <c r="A866" s="406"/>
      <c r="B866" s="475"/>
      <c r="C866" s="406"/>
      <c r="D866" s="406"/>
      <c r="E866" s="505"/>
      <c r="F866" s="406"/>
      <c r="G866" s="406"/>
      <c r="H866" s="406"/>
      <c r="I866" s="406"/>
      <c r="J866" s="406"/>
      <c r="K866" s="406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406"/>
    </row>
    <row r="867" spans="1:26" ht="24.75" customHeight="1">
      <c r="A867" s="406"/>
      <c r="B867" s="475"/>
      <c r="C867" s="406"/>
      <c r="D867" s="406"/>
      <c r="E867" s="505"/>
      <c r="F867" s="406"/>
      <c r="G867" s="406"/>
      <c r="H867" s="406"/>
      <c r="I867" s="406"/>
      <c r="J867" s="406"/>
      <c r="K867" s="406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406"/>
    </row>
    <row r="868" spans="1:26" ht="24.75" customHeight="1">
      <c r="A868" s="406"/>
      <c r="B868" s="475"/>
      <c r="C868" s="406"/>
      <c r="D868" s="406"/>
      <c r="E868" s="505"/>
      <c r="F868" s="406"/>
      <c r="G868" s="406"/>
      <c r="H868" s="406"/>
      <c r="I868" s="406"/>
      <c r="J868" s="406"/>
      <c r="K868" s="406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406"/>
    </row>
    <row r="869" spans="1:26" ht="24.75" customHeight="1">
      <c r="A869" s="406"/>
      <c r="B869" s="475"/>
      <c r="C869" s="406"/>
      <c r="D869" s="406"/>
      <c r="E869" s="505"/>
      <c r="F869" s="406"/>
      <c r="G869" s="406"/>
      <c r="H869" s="406"/>
      <c r="I869" s="406"/>
      <c r="J869" s="406"/>
      <c r="K869" s="406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406"/>
    </row>
    <row r="870" spans="1:26" ht="24.75" customHeight="1">
      <c r="A870" s="406"/>
      <c r="B870" s="475"/>
      <c r="C870" s="406"/>
      <c r="D870" s="406"/>
      <c r="E870" s="505"/>
      <c r="F870" s="406"/>
      <c r="G870" s="406"/>
      <c r="H870" s="406"/>
      <c r="I870" s="406"/>
      <c r="J870" s="406"/>
      <c r="K870" s="406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406"/>
    </row>
    <row r="871" spans="1:26" ht="24.75" customHeight="1">
      <c r="A871" s="406"/>
      <c r="B871" s="475"/>
      <c r="C871" s="406"/>
      <c r="D871" s="406"/>
      <c r="E871" s="505"/>
      <c r="F871" s="406"/>
      <c r="G871" s="406"/>
      <c r="H871" s="406"/>
      <c r="I871" s="406"/>
      <c r="J871" s="406"/>
      <c r="K871" s="406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406"/>
    </row>
    <row r="872" spans="1:26" ht="24.75" customHeight="1">
      <c r="A872" s="406"/>
      <c r="B872" s="475"/>
      <c r="C872" s="406"/>
      <c r="D872" s="406"/>
      <c r="E872" s="505"/>
      <c r="F872" s="406"/>
      <c r="G872" s="406"/>
      <c r="H872" s="406"/>
      <c r="I872" s="406"/>
      <c r="J872" s="406"/>
      <c r="K872" s="406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406"/>
    </row>
    <row r="873" spans="1:26" ht="24.75" customHeight="1">
      <c r="A873" s="406"/>
      <c r="B873" s="475"/>
      <c r="C873" s="406"/>
      <c r="D873" s="406"/>
      <c r="E873" s="505"/>
      <c r="F873" s="406"/>
      <c r="G873" s="406"/>
      <c r="H873" s="406"/>
      <c r="I873" s="406"/>
      <c r="J873" s="406"/>
      <c r="K873" s="406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406"/>
    </row>
    <row r="874" spans="1:26" ht="24.75" customHeight="1">
      <c r="A874" s="406"/>
      <c r="B874" s="475"/>
      <c r="C874" s="406"/>
      <c r="D874" s="406"/>
      <c r="E874" s="505"/>
      <c r="F874" s="406"/>
      <c r="G874" s="406"/>
      <c r="H874" s="406"/>
      <c r="I874" s="406"/>
      <c r="J874" s="406"/>
      <c r="K874" s="406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406"/>
    </row>
    <row r="875" spans="1:26" ht="24.75" customHeight="1">
      <c r="A875" s="406"/>
      <c r="B875" s="475"/>
      <c r="C875" s="406"/>
      <c r="D875" s="406"/>
      <c r="E875" s="505"/>
      <c r="F875" s="406"/>
      <c r="G875" s="406"/>
      <c r="H875" s="406"/>
      <c r="I875" s="406"/>
      <c r="J875" s="406"/>
      <c r="K875" s="406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406"/>
    </row>
    <row r="876" spans="1:26" ht="24.75" customHeight="1">
      <c r="A876" s="406"/>
      <c r="B876" s="475"/>
      <c r="C876" s="406"/>
      <c r="D876" s="406"/>
      <c r="E876" s="505"/>
      <c r="F876" s="406"/>
      <c r="G876" s="406"/>
      <c r="H876" s="406"/>
      <c r="I876" s="406"/>
      <c r="J876" s="406"/>
      <c r="K876" s="406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406"/>
    </row>
    <row r="877" spans="1:26" ht="24.75" customHeight="1">
      <c r="A877" s="406"/>
      <c r="B877" s="475"/>
      <c r="C877" s="406"/>
      <c r="D877" s="406"/>
      <c r="E877" s="505"/>
      <c r="F877" s="406"/>
      <c r="G877" s="406"/>
      <c r="H877" s="406"/>
      <c r="I877" s="406"/>
      <c r="J877" s="406"/>
      <c r="K877" s="406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406"/>
    </row>
    <row r="878" spans="1:26" ht="24.75" customHeight="1">
      <c r="A878" s="406"/>
      <c r="B878" s="475"/>
      <c r="C878" s="406"/>
      <c r="D878" s="406"/>
      <c r="E878" s="505"/>
      <c r="F878" s="406"/>
      <c r="G878" s="406"/>
      <c r="H878" s="406"/>
      <c r="I878" s="406"/>
      <c r="J878" s="406"/>
      <c r="K878" s="406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406"/>
    </row>
    <row r="879" spans="1:26" ht="24.75" customHeight="1">
      <c r="A879" s="406"/>
      <c r="B879" s="475"/>
      <c r="C879" s="406"/>
      <c r="D879" s="406"/>
      <c r="E879" s="505"/>
      <c r="F879" s="406"/>
      <c r="G879" s="406"/>
      <c r="H879" s="406"/>
      <c r="I879" s="406"/>
      <c r="J879" s="406"/>
      <c r="K879" s="406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406"/>
    </row>
    <row r="880" spans="1:26" ht="24.75" customHeight="1">
      <c r="A880" s="406"/>
      <c r="B880" s="475"/>
      <c r="C880" s="406"/>
      <c r="D880" s="406"/>
      <c r="E880" s="505"/>
      <c r="F880" s="406"/>
      <c r="G880" s="406"/>
      <c r="H880" s="406"/>
      <c r="I880" s="406"/>
      <c r="J880" s="406"/>
      <c r="K880" s="406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406"/>
    </row>
    <row r="881" spans="1:26" ht="24.75" customHeight="1">
      <c r="A881" s="406"/>
      <c r="B881" s="475"/>
      <c r="C881" s="406"/>
      <c r="D881" s="406"/>
      <c r="E881" s="505"/>
      <c r="F881" s="406"/>
      <c r="G881" s="406"/>
      <c r="H881" s="406"/>
      <c r="I881" s="406"/>
      <c r="J881" s="406"/>
      <c r="K881" s="406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</row>
    <row r="882" spans="1:26" ht="24.75" customHeight="1">
      <c r="A882" s="406"/>
      <c r="B882" s="475"/>
      <c r="C882" s="406"/>
      <c r="D882" s="406"/>
      <c r="E882" s="505"/>
      <c r="F882" s="406"/>
      <c r="G882" s="406"/>
      <c r="H882" s="406"/>
      <c r="I882" s="406"/>
      <c r="J882" s="406"/>
      <c r="K882" s="406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406"/>
    </row>
    <row r="883" spans="1:26" ht="24.75" customHeight="1">
      <c r="A883" s="406"/>
      <c r="B883" s="475"/>
      <c r="C883" s="406"/>
      <c r="D883" s="406"/>
      <c r="E883" s="505"/>
      <c r="F883" s="406"/>
      <c r="G883" s="406"/>
      <c r="H883" s="406"/>
      <c r="I883" s="406"/>
      <c r="J883" s="406"/>
      <c r="K883" s="406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406"/>
    </row>
    <row r="884" spans="1:26" ht="24.75" customHeight="1">
      <c r="A884" s="406"/>
      <c r="B884" s="475"/>
      <c r="C884" s="406"/>
      <c r="D884" s="406"/>
      <c r="E884" s="505"/>
      <c r="F884" s="406"/>
      <c r="G884" s="406"/>
      <c r="H884" s="406"/>
      <c r="I884" s="406"/>
      <c r="J884" s="406"/>
      <c r="K884" s="406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406"/>
    </row>
    <row r="885" spans="1:26" ht="24.75" customHeight="1">
      <c r="A885" s="406"/>
      <c r="B885" s="475"/>
      <c r="C885" s="406"/>
      <c r="D885" s="406"/>
      <c r="E885" s="505"/>
      <c r="F885" s="406"/>
      <c r="G885" s="406"/>
      <c r="H885" s="406"/>
      <c r="I885" s="406"/>
      <c r="J885" s="406"/>
      <c r="K885" s="406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406"/>
    </row>
    <row r="886" spans="1:26" ht="24.75" customHeight="1">
      <c r="A886" s="406"/>
      <c r="B886" s="475"/>
      <c r="C886" s="406"/>
      <c r="D886" s="406"/>
      <c r="E886" s="505"/>
      <c r="F886" s="406"/>
      <c r="G886" s="406"/>
      <c r="H886" s="406"/>
      <c r="I886" s="406"/>
      <c r="J886" s="406"/>
      <c r="K886" s="406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406"/>
    </row>
    <row r="887" spans="1:26" ht="24.75" customHeight="1">
      <c r="A887" s="406"/>
      <c r="B887" s="475"/>
      <c r="C887" s="406"/>
      <c r="D887" s="406"/>
      <c r="E887" s="505"/>
      <c r="F887" s="406"/>
      <c r="G887" s="406"/>
      <c r="H887" s="406"/>
      <c r="I887" s="406"/>
      <c r="J887" s="406"/>
      <c r="K887" s="406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406"/>
    </row>
    <row r="888" spans="1:26" ht="24.75" customHeight="1">
      <c r="A888" s="406"/>
      <c r="B888" s="475"/>
      <c r="C888" s="406"/>
      <c r="D888" s="406"/>
      <c r="E888" s="505"/>
      <c r="F888" s="406"/>
      <c r="G888" s="406"/>
      <c r="H888" s="406"/>
      <c r="I888" s="406"/>
      <c r="J888" s="406"/>
      <c r="K888" s="406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406"/>
    </row>
    <row r="889" spans="1:26" ht="24.75" customHeight="1">
      <c r="A889" s="406"/>
      <c r="B889" s="475"/>
      <c r="C889" s="406"/>
      <c r="D889" s="406"/>
      <c r="E889" s="505"/>
      <c r="F889" s="406"/>
      <c r="G889" s="406"/>
      <c r="H889" s="406"/>
      <c r="I889" s="406"/>
      <c r="J889" s="406"/>
      <c r="K889" s="406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406"/>
    </row>
    <row r="890" spans="1:26" ht="24.75" customHeight="1">
      <c r="A890" s="406"/>
      <c r="B890" s="475"/>
      <c r="C890" s="406"/>
      <c r="D890" s="406"/>
      <c r="E890" s="505"/>
      <c r="F890" s="406"/>
      <c r="G890" s="406"/>
      <c r="H890" s="406"/>
      <c r="I890" s="406"/>
      <c r="J890" s="406"/>
      <c r="K890" s="406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406"/>
    </row>
    <row r="891" spans="1:26" ht="24.75" customHeight="1">
      <c r="A891" s="406"/>
      <c r="B891" s="475"/>
      <c r="C891" s="406"/>
      <c r="D891" s="406"/>
      <c r="E891" s="505"/>
      <c r="F891" s="406"/>
      <c r="G891" s="406"/>
      <c r="H891" s="406"/>
      <c r="I891" s="406"/>
      <c r="J891" s="406"/>
      <c r="K891" s="406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406"/>
    </row>
    <row r="892" spans="1:26" ht="24.75" customHeight="1">
      <c r="A892" s="406"/>
      <c r="B892" s="475"/>
      <c r="C892" s="406"/>
      <c r="D892" s="406"/>
      <c r="E892" s="505"/>
      <c r="F892" s="406"/>
      <c r="G892" s="406"/>
      <c r="H892" s="406"/>
      <c r="I892" s="406"/>
      <c r="J892" s="406"/>
      <c r="K892" s="406"/>
      <c r="L892" s="406"/>
      <c r="M892" s="406"/>
      <c r="N892" s="406"/>
      <c r="O892" s="406"/>
      <c r="P892" s="406"/>
      <c r="Q892" s="406"/>
      <c r="R892" s="406"/>
      <c r="S892" s="406"/>
      <c r="T892" s="406"/>
      <c r="U892" s="406"/>
      <c r="V892" s="406"/>
      <c r="W892" s="406"/>
      <c r="X892" s="406"/>
      <c r="Y892" s="406"/>
      <c r="Z892" s="406"/>
    </row>
    <row r="893" spans="1:26" ht="24.75" customHeight="1">
      <c r="A893" s="406"/>
      <c r="B893" s="475"/>
      <c r="C893" s="406"/>
      <c r="D893" s="406"/>
      <c r="E893" s="505"/>
      <c r="F893" s="406"/>
      <c r="G893" s="406"/>
      <c r="H893" s="406"/>
      <c r="I893" s="406"/>
      <c r="J893" s="406"/>
      <c r="K893" s="406"/>
      <c r="L893" s="406"/>
      <c r="M893" s="406"/>
      <c r="N893" s="406"/>
      <c r="O893" s="406"/>
      <c r="P893" s="406"/>
      <c r="Q893" s="406"/>
      <c r="R893" s="406"/>
      <c r="S893" s="406"/>
      <c r="T893" s="406"/>
      <c r="U893" s="406"/>
      <c r="V893" s="406"/>
      <c r="W893" s="406"/>
      <c r="X893" s="406"/>
      <c r="Y893" s="406"/>
      <c r="Z893" s="406"/>
    </row>
    <row r="894" spans="1:26" ht="24.75" customHeight="1">
      <c r="A894" s="406"/>
      <c r="B894" s="475"/>
      <c r="C894" s="406"/>
      <c r="D894" s="406"/>
      <c r="E894" s="505"/>
      <c r="F894" s="406"/>
      <c r="G894" s="406"/>
      <c r="H894" s="406"/>
      <c r="I894" s="406"/>
      <c r="J894" s="406"/>
      <c r="K894" s="406"/>
      <c r="L894" s="406"/>
      <c r="M894" s="406"/>
      <c r="N894" s="406"/>
      <c r="O894" s="406"/>
      <c r="P894" s="406"/>
      <c r="Q894" s="406"/>
      <c r="R894" s="406"/>
      <c r="S894" s="406"/>
      <c r="T894" s="406"/>
      <c r="U894" s="406"/>
      <c r="V894" s="406"/>
      <c r="W894" s="406"/>
      <c r="X894" s="406"/>
      <c r="Y894" s="406"/>
      <c r="Z894" s="406"/>
    </row>
    <row r="895" spans="1:26" ht="24.75" customHeight="1">
      <c r="A895" s="406"/>
      <c r="B895" s="475"/>
      <c r="C895" s="406"/>
      <c r="D895" s="406"/>
      <c r="E895" s="505"/>
      <c r="F895" s="406"/>
      <c r="G895" s="406"/>
      <c r="H895" s="406"/>
      <c r="I895" s="406"/>
      <c r="J895" s="406"/>
      <c r="K895" s="406"/>
      <c r="L895" s="406"/>
      <c r="M895" s="406"/>
      <c r="N895" s="406"/>
      <c r="O895" s="406"/>
      <c r="P895" s="406"/>
      <c r="Q895" s="406"/>
      <c r="R895" s="406"/>
      <c r="S895" s="406"/>
      <c r="T895" s="406"/>
      <c r="U895" s="406"/>
      <c r="V895" s="406"/>
      <c r="W895" s="406"/>
      <c r="X895" s="406"/>
      <c r="Y895" s="406"/>
      <c r="Z895" s="406"/>
    </row>
    <row r="896" spans="1:26" ht="24.75" customHeight="1">
      <c r="A896" s="406"/>
      <c r="B896" s="475"/>
      <c r="C896" s="406"/>
      <c r="D896" s="406"/>
      <c r="E896" s="505"/>
      <c r="F896" s="406"/>
      <c r="G896" s="406"/>
      <c r="H896" s="406"/>
      <c r="I896" s="406"/>
      <c r="J896" s="406"/>
      <c r="K896" s="406"/>
      <c r="L896" s="406"/>
      <c r="M896" s="406"/>
      <c r="N896" s="406"/>
      <c r="O896" s="406"/>
      <c r="P896" s="406"/>
      <c r="Q896" s="406"/>
      <c r="R896" s="406"/>
      <c r="S896" s="406"/>
      <c r="T896" s="406"/>
      <c r="U896" s="406"/>
      <c r="V896" s="406"/>
      <c r="W896" s="406"/>
      <c r="X896" s="406"/>
      <c r="Y896" s="406"/>
      <c r="Z896" s="406"/>
    </row>
    <row r="897" spans="1:26" ht="24.75" customHeight="1">
      <c r="A897" s="406"/>
      <c r="B897" s="475"/>
      <c r="C897" s="406"/>
      <c r="D897" s="406"/>
      <c r="E897" s="505"/>
      <c r="F897" s="406"/>
      <c r="G897" s="406"/>
      <c r="H897" s="406"/>
      <c r="I897" s="406"/>
      <c r="J897" s="406"/>
      <c r="K897" s="406"/>
      <c r="L897" s="406"/>
      <c r="M897" s="406"/>
      <c r="N897" s="406"/>
      <c r="O897" s="406"/>
      <c r="P897" s="406"/>
      <c r="Q897" s="406"/>
      <c r="R897" s="406"/>
      <c r="S897" s="406"/>
      <c r="T897" s="406"/>
      <c r="U897" s="406"/>
      <c r="V897" s="406"/>
      <c r="W897" s="406"/>
      <c r="X897" s="406"/>
      <c r="Y897" s="406"/>
      <c r="Z897" s="406"/>
    </row>
    <row r="898" spans="1:26" ht="24.75" customHeight="1">
      <c r="A898" s="406"/>
      <c r="B898" s="475"/>
      <c r="C898" s="406"/>
      <c r="D898" s="406"/>
      <c r="E898" s="505"/>
      <c r="F898" s="406"/>
      <c r="G898" s="406"/>
      <c r="H898" s="406"/>
      <c r="I898" s="406"/>
      <c r="J898" s="406"/>
      <c r="K898" s="406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406"/>
    </row>
    <row r="899" spans="1:26" ht="24.75" customHeight="1">
      <c r="A899" s="406"/>
      <c r="B899" s="475"/>
      <c r="C899" s="406"/>
      <c r="D899" s="406"/>
      <c r="E899" s="505"/>
      <c r="F899" s="406"/>
      <c r="G899" s="406"/>
      <c r="H899" s="406"/>
      <c r="I899" s="406"/>
      <c r="J899" s="406"/>
      <c r="K899" s="406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406"/>
    </row>
    <row r="900" spans="1:26" ht="24.75" customHeight="1">
      <c r="A900" s="406"/>
      <c r="B900" s="475"/>
      <c r="C900" s="406"/>
      <c r="D900" s="406"/>
      <c r="E900" s="505"/>
      <c r="F900" s="406"/>
      <c r="G900" s="406"/>
      <c r="H900" s="406"/>
      <c r="I900" s="406"/>
      <c r="J900" s="406"/>
      <c r="K900" s="406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406"/>
    </row>
    <row r="901" spans="1:26" ht="24.75" customHeight="1">
      <c r="A901" s="406"/>
      <c r="B901" s="475"/>
      <c r="C901" s="406"/>
      <c r="D901" s="406"/>
      <c r="E901" s="505"/>
      <c r="F901" s="406"/>
      <c r="G901" s="406"/>
      <c r="H901" s="406"/>
      <c r="I901" s="406"/>
      <c r="J901" s="406"/>
      <c r="K901" s="406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406"/>
    </row>
    <row r="902" spans="1:26" ht="24.75" customHeight="1">
      <c r="A902" s="406"/>
      <c r="B902" s="475"/>
      <c r="C902" s="406"/>
      <c r="D902" s="406"/>
      <c r="E902" s="505"/>
      <c r="F902" s="406"/>
      <c r="G902" s="406"/>
      <c r="H902" s="406"/>
      <c r="I902" s="406"/>
      <c r="J902" s="406"/>
      <c r="K902" s="406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406"/>
    </row>
    <row r="903" spans="1:26" ht="24.75" customHeight="1">
      <c r="A903" s="406"/>
      <c r="B903" s="475"/>
      <c r="C903" s="406"/>
      <c r="D903" s="406"/>
      <c r="E903" s="505"/>
      <c r="F903" s="406"/>
      <c r="G903" s="406"/>
      <c r="H903" s="406"/>
      <c r="I903" s="406"/>
      <c r="J903" s="406"/>
      <c r="K903" s="406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406"/>
    </row>
    <row r="904" spans="1:26" ht="24.75" customHeight="1">
      <c r="A904" s="406"/>
      <c r="B904" s="475"/>
      <c r="C904" s="406"/>
      <c r="D904" s="406"/>
      <c r="E904" s="505"/>
      <c r="F904" s="406"/>
      <c r="G904" s="406"/>
      <c r="H904" s="406"/>
      <c r="I904" s="406"/>
      <c r="J904" s="406"/>
      <c r="K904" s="406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406"/>
    </row>
    <row r="905" spans="1:26" ht="24.75" customHeight="1">
      <c r="A905" s="406"/>
      <c r="B905" s="475"/>
      <c r="C905" s="406"/>
      <c r="D905" s="406"/>
      <c r="E905" s="505"/>
      <c r="F905" s="406"/>
      <c r="G905" s="406"/>
      <c r="H905" s="406"/>
      <c r="I905" s="406"/>
      <c r="J905" s="406"/>
      <c r="K905" s="406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406"/>
    </row>
    <row r="906" spans="1:26" ht="24.75" customHeight="1">
      <c r="A906" s="406"/>
      <c r="B906" s="475"/>
      <c r="C906" s="406"/>
      <c r="D906" s="406"/>
      <c r="E906" s="505"/>
      <c r="F906" s="406"/>
      <c r="G906" s="406"/>
      <c r="H906" s="406"/>
      <c r="I906" s="406"/>
      <c r="J906" s="406"/>
      <c r="K906" s="406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406"/>
    </row>
    <row r="907" spans="1:26" ht="24.75" customHeight="1">
      <c r="A907" s="406"/>
      <c r="B907" s="475"/>
      <c r="C907" s="406"/>
      <c r="D907" s="406"/>
      <c r="E907" s="505"/>
      <c r="F907" s="406"/>
      <c r="G907" s="406"/>
      <c r="H907" s="406"/>
      <c r="I907" s="406"/>
      <c r="J907" s="406"/>
      <c r="K907" s="406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406"/>
    </row>
    <row r="908" spans="1:26" ht="24.75" customHeight="1">
      <c r="A908" s="406"/>
      <c r="B908" s="475"/>
      <c r="C908" s="406"/>
      <c r="D908" s="406"/>
      <c r="E908" s="505"/>
      <c r="F908" s="406"/>
      <c r="G908" s="406"/>
      <c r="H908" s="406"/>
      <c r="I908" s="406"/>
      <c r="J908" s="406"/>
      <c r="K908" s="406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406"/>
    </row>
    <row r="909" spans="1:26" ht="24.75" customHeight="1">
      <c r="A909" s="406"/>
      <c r="B909" s="475"/>
      <c r="C909" s="406"/>
      <c r="D909" s="406"/>
      <c r="E909" s="505"/>
      <c r="F909" s="406"/>
      <c r="G909" s="406"/>
      <c r="H909" s="406"/>
      <c r="I909" s="406"/>
      <c r="J909" s="406"/>
      <c r="K909" s="406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406"/>
    </row>
    <row r="910" spans="1:26" ht="24.75" customHeight="1">
      <c r="A910" s="406"/>
      <c r="B910" s="475"/>
      <c r="C910" s="406"/>
      <c r="D910" s="406"/>
      <c r="E910" s="505"/>
      <c r="F910" s="406"/>
      <c r="G910" s="406"/>
      <c r="H910" s="406"/>
      <c r="I910" s="406"/>
      <c r="J910" s="406"/>
      <c r="K910" s="406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406"/>
    </row>
    <row r="911" spans="1:26" ht="24.75" customHeight="1">
      <c r="A911" s="406"/>
      <c r="B911" s="475"/>
      <c r="C911" s="406"/>
      <c r="D911" s="406"/>
      <c r="E911" s="505"/>
      <c r="F911" s="406"/>
      <c r="G911" s="406"/>
      <c r="H911" s="406"/>
      <c r="I911" s="406"/>
      <c r="J911" s="406"/>
      <c r="K911" s="406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406"/>
    </row>
    <row r="912" spans="1:26" ht="24.75" customHeight="1">
      <c r="A912" s="406"/>
      <c r="B912" s="475"/>
      <c r="C912" s="406"/>
      <c r="D912" s="406"/>
      <c r="E912" s="505"/>
      <c r="F912" s="406"/>
      <c r="G912" s="406"/>
      <c r="H912" s="406"/>
      <c r="I912" s="406"/>
      <c r="J912" s="406"/>
      <c r="K912" s="406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406"/>
    </row>
    <row r="913" spans="1:26" ht="24.75" customHeight="1">
      <c r="A913" s="406"/>
      <c r="B913" s="475"/>
      <c r="C913" s="406"/>
      <c r="D913" s="406"/>
      <c r="E913" s="505"/>
      <c r="F913" s="406"/>
      <c r="G913" s="406"/>
      <c r="H913" s="406"/>
      <c r="I913" s="406"/>
      <c r="J913" s="406"/>
      <c r="K913" s="406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406"/>
    </row>
    <row r="914" spans="1:26" ht="24.75" customHeight="1">
      <c r="A914" s="406"/>
      <c r="B914" s="475"/>
      <c r="C914" s="406"/>
      <c r="D914" s="406"/>
      <c r="E914" s="505"/>
      <c r="F914" s="406"/>
      <c r="G914" s="406"/>
      <c r="H914" s="406"/>
      <c r="I914" s="406"/>
      <c r="J914" s="406"/>
      <c r="K914" s="406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406"/>
    </row>
    <row r="915" spans="1:26" ht="24.75" customHeight="1">
      <c r="A915" s="406"/>
      <c r="B915" s="475"/>
      <c r="C915" s="406"/>
      <c r="D915" s="406"/>
      <c r="E915" s="505"/>
      <c r="F915" s="406"/>
      <c r="G915" s="406"/>
      <c r="H915" s="406"/>
      <c r="I915" s="406"/>
      <c r="J915" s="406"/>
      <c r="K915" s="406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406"/>
    </row>
    <row r="916" spans="1:26" ht="24.75" customHeight="1">
      <c r="A916" s="406"/>
      <c r="B916" s="475"/>
      <c r="C916" s="406"/>
      <c r="D916" s="406"/>
      <c r="E916" s="505"/>
      <c r="F916" s="406"/>
      <c r="G916" s="406"/>
      <c r="H916" s="406"/>
      <c r="I916" s="406"/>
      <c r="J916" s="406"/>
      <c r="K916" s="406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406"/>
    </row>
    <row r="917" spans="1:26" ht="24.75" customHeight="1">
      <c r="A917" s="406"/>
      <c r="B917" s="475"/>
      <c r="C917" s="406"/>
      <c r="D917" s="406"/>
      <c r="E917" s="505"/>
      <c r="F917" s="406"/>
      <c r="G917" s="406"/>
      <c r="H917" s="406"/>
      <c r="I917" s="406"/>
      <c r="J917" s="406"/>
      <c r="K917" s="406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406"/>
    </row>
    <row r="918" spans="1:26" ht="24.75" customHeight="1">
      <c r="A918" s="406"/>
      <c r="B918" s="475"/>
      <c r="C918" s="406"/>
      <c r="D918" s="406"/>
      <c r="E918" s="505"/>
      <c r="F918" s="406"/>
      <c r="G918" s="406"/>
      <c r="H918" s="406"/>
      <c r="I918" s="406"/>
      <c r="J918" s="406"/>
      <c r="K918" s="406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406"/>
    </row>
    <row r="919" spans="1:26" ht="24.75" customHeight="1">
      <c r="A919" s="406"/>
      <c r="B919" s="475"/>
      <c r="C919" s="406"/>
      <c r="D919" s="406"/>
      <c r="E919" s="505"/>
      <c r="F919" s="406"/>
      <c r="G919" s="406"/>
      <c r="H919" s="406"/>
      <c r="I919" s="406"/>
      <c r="J919" s="406"/>
      <c r="K919" s="406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406"/>
    </row>
    <row r="920" spans="1:26" ht="24.75" customHeight="1">
      <c r="A920" s="406"/>
      <c r="B920" s="475"/>
      <c r="C920" s="406"/>
      <c r="D920" s="406"/>
      <c r="E920" s="505"/>
      <c r="F920" s="406"/>
      <c r="G920" s="406"/>
      <c r="H920" s="406"/>
      <c r="I920" s="406"/>
      <c r="J920" s="406"/>
      <c r="K920" s="406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406"/>
    </row>
    <row r="921" spans="1:26" ht="24.75" customHeight="1">
      <c r="A921" s="406"/>
      <c r="B921" s="475"/>
      <c r="C921" s="406"/>
      <c r="D921" s="406"/>
      <c r="E921" s="505"/>
      <c r="F921" s="406"/>
      <c r="G921" s="406"/>
      <c r="H921" s="406"/>
      <c r="I921" s="406"/>
      <c r="J921" s="406"/>
      <c r="K921" s="406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406"/>
    </row>
    <row r="922" spans="1:26" ht="24.75" customHeight="1">
      <c r="A922" s="406"/>
      <c r="B922" s="475"/>
      <c r="C922" s="406"/>
      <c r="D922" s="406"/>
      <c r="E922" s="505"/>
      <c r="F922" s="406"/>
      <c r="G922" s="406"/>
      <c r="H922" s="406"/>
      <c r="I922" s="406"/>
      <c r="J922" s="406"/>
      <c r="K922" s="406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406"/>
    </row>
    <row r="923" spans="1:26" ht="24.75" customHeight="1">
      <c r="A923" s="406"/>
      <c r="B923" s="475"/>
      <c r="C923" s="406"/>
      <c r="D923" s="406"/>
      <c r="E923" s="505"/>
      <c r="F923" s="406"/>
      <c r="G923" s="406"/>
      <c r="H923" s="406"/>
      <c r="I923" s="406"/>
      <c r="J923" s="406"/>
      <c r="K923" s="406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406"/>
    </row>
    <row r="924" spans="1:26" ht="24.75" customHeight="1">
      <c r="A924" s="406"/>
      <c r="B924" s="475"/>
      <c r="C924" s="406"/>
      <c r="D924" s="406"/>
      <c r="E924" s="505"/>
      <c r="F924" s="406"/>
      <c r="G924" s="406"/>
      <c r="H924" s="406"/>
      <c r="I924" s="406"/>
      <c r="J924" s="406"/>
      <c r="K924" s="406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406"/>
    </row>
    <row r="925" spans="1:26" ht="24.75" customHeight="1">
      <c r="A925" s="406"/>
      <c r="B925" s="475"/>
      <c r="C925" s="406"/>
      <c r="D925" s="406"/>
      <c r="E925" s="505"/>
      <c r="F925" s="406"/>
      <c r="G925" s="406"/>
      <c r="H925" s="406"/>
      <c r="I925" s="406"/>
      <c r="J925" s="406"/>
      <c r="K925" s="406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406"/>
    </row>
    <row r="926" spans="1:26" ht="24.75" customHeight="1">
      <c r="A926" s="406"/>
      <c r="B926" s="475"/>
      <c r="C926" s="406"/>
      <c r="D926" s="406"/>
      <c r="E926" s="505"/>
      <c r="F926" s="406"/>
      <c r="G926" s="406"/>
      <c r="H926" s="406"/>
      <c r="I926" s="406"/>
      <c r="J926" s="406"/>
      <c r="K926" s="406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406"/>
    </row>
    <row r="927" spans="1:26" ht="24.75" customHeight="1">
      <c r="A927" s="406"/>
      <c r="B927" s="475"/>
      <c r="C927" s="406"/>
      <c r="D927" s="406"/>
      <c r="E927" s="505"/>
      <c r="F927" s="406"/>
      <c r="G927" s="406"/>
      <c r="H927" s="406"/>
      <c r="I927" s="406"/>
      <c r="J927" s="406"/>
      <c r="K927" s="406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406"/>
    </row>
    <row r="928" spans="1:26" ht="24.75" customHeight="1">
      <c r="A928" s="406"/>
      <c r="B928" s="475"/>
      <c r="C928" s="406"/>
      <c r="D928" s="406"/>
      <c r="E928" s="505"/>
      <c r="F928" s="406"/>
      <c r="G928" s="406"/>
      <c r="H928" s="406"/>
      <c r="I928" s="406"/>
      <c r="J928" s="406"/>
      <c r="K928" s="406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406"/>
    </row>
    <row r="929" spans="1:26" ht="24.75" customHeight="1">
      <c r="A929" s="406"/>
      <c r="B929" s="475"/>
      <c r="C929" s="406"/>
      <c r="D929" s="406"/>
      <c r="E929" s="505"/>
      <c r="F929" s="406"/>
      <c r="G929" s="406"/>
      <c r="H929" s="406"/>
      <c r="I929" s="406"/>
      <c r="J929" s="406"/>
      <c r="K929" s="406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406"/>
    </row>
    <row r="930" spans="1:26" ht="24.75" customHeight="1">
      <c r="A930" s="406"/>
      <c r="B930" s="475"/>
      <c r="C930" s="406"/>
      <c r="D930" s="406"/>
      <c r="E930" s="505"/>
      <c r="F930" s="406"/>
      <c r="G930" s="406"/>
      <c r="H930" s="406"/>
      <c r="I930" s="406"/>
      <c r="J930" s="406"/>
      <c r="K930" s="406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406"/>
    </row>
    <row r="931" spans="1:26" ht="24.75" customHeight="1">
      <c r="A931" s="406"/>
      <c r="B931" s="475"/>
      <c r="C931" s="406"/>
      <c r="D931" s="406"/>
      <c r="E931" s="505"/>
      <c r="F931" s="406"/>
      <c r="G931" s="406"/>
      <c r="H931" s="406"/>
      <c r="I931" s="406"/>
      <c r="J931" s="406"/>
      <c r="K931" s="406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406"/>
    </row>
    <row r="932" spans="1:26" ht="24.75" customHeight="1">
      <c r="A932" s="406"/>
      <c r="B932" s="475"/>
      <c r="C932" s="406"/>
      <c r="D932" s="406"/>
      <c r="E932" s="505"/>
      <c r="F932" s="406"/>
      <c r="G932" s="406"/>
      <c r="H932" s="406"/>
      <c r="I932" s="406"/>
      <c r="J932" s="406"/>
      <c r="K932" s="406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406"/>
    </row>
    <row r="933" spans="1:26" ht="24.75" customHeight="1">
      <c r="A933" s="406"/>
      <c r="B933" s="475"/>
      <c r="C933" s="406"/>
      <c r="D933" s="406"/>
      <c r="E933" s="505"/>
      <c r="F933" s="406"/>
      <c r="G933" s="406"/>
      <c r="H933" s="406"/>
      <c r="I933" s="406"/>
      <c r="J933" s="406"/>
      <c r="K933" s="406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406"/>
    </row>
    <row r="934" spans="1:26" ht="24.75" customHeight="1">
      <c r="A934" s="406"/>
      <c r="B934" s="475"/>
      <c r="C934" s="406"/>
      <c r="D934" s="406"/>
      <c r="E934" s="505"/>
      <c r="F934" s="406"/>
      <c r="G934" s="406"/>
      <c r="H934" s="406"/>
      <c r="I934" s="406"/>
      <c r="J934" s="406"/>
      <c r="K934" s="406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406"/>
    </row>
    <row r="935" spans="1:26" ht="24.75" customHeight="1">
      <c r="A935" s="406"/>
      <c r="B935" s="475"/>
      <c r="C935" s="406"/>
      <c r="D935" s="406"/>
      <c r="E935" s="505"/>
      <c r="F935" s="406"/>
      <c r="G935" s="406"/>
      <c r="H935" s="406"/>
      <c r="I935" s="406"/>
      <c r="J935" s="406"/>
      <c r="K935" s="406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406"/>
    </row>
    <row r="936" spans="1:26" ht="24.75" customHeight="1">
      <c r="A936" s="406"/>
      <c r="B936" s="475"/>
      <c r="C936" s="406"/>
      <c r="D936" s="406"/>
      <c r="E936" s="505"/>
      <c r="F936" s="406"/>
      <c r="G936" s="406"/>
      <c r="H936" s="406"/>
      <c r="I936" s="406"/>
      <c r="J936" s="406"/>
      <c r="K936" s="406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406"/>
    </row>
    <row r="937" spans="1:26" ht="24.75" customHeight="1">
      <c r="A937" s="406"/>
      <c r="B937" s="475"/>
      <c r="C937" s="406"/>
      <c r="D937" s="406"/>
      <c r="E937" s="505"/>
      <c r="F937" s="406"/>
      <c r="G937" s="406"/>
      <c r="H937" s="406"/>
      <c r="I937" s="406"/>
      <c r="J937" s="406"/>
      <c r="K937" s="406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406"/>
    </row>
    <row r="938" spans="1:26" ht="24.75" customHeight="1">
      <c r="A938" s="406"/>
      <c r="B938" s="475"/>
      <c r="C938" s="406"/>
      <c r="D938" s="406"/>
      <c r="E938" s="505"/>
      <c r="F938" s="406"/>
      <c r="G938" s="406"/>
      <c r="H938" s="406"/>
      <c r="I938" s="406"/>
      <c r="J938" s="406"/>
      <c r="K938" s="406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406"/>
    </row>
    <row r="939" spans="1:26" ht="24.75" customHeight="1">
      <c r="A939" s="406"/>
      <c r="B939" s="475"/>
      <c r="C939" s="406"/>
      <c r="D939" s="406"/>
      <c r="E939" s="505"/>
      <c r="F939" s="406"/>
      <c r="G939" s="406"/>
      <c r="H939" s="406"/>
      <c r="I939" s="406"/>
      <c r="J939" s="406"/>
      <c r="K939" s="406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406"/>
    </row>
    <row r="940" spans="1:26" ht="24.75" customHeight="1">
      <c r="A940" s="406"/>
      <c r="B940" s="475"/>
      <c r="C940" s="406"/>
      <c r="D940" s="406"/>
      <c r="E940" s="505"/>
      <c r="F940" s="406"/>
      <c r="G940" s="406"/>
      <c r="H940" s="406"/>
      <c r="I940" s="406"/>
      <c r="J940" s="406"/>
      <c r="K940" s="406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406"/>
    </row>
    <row r="941" spans="1:26" ht="24.75" customHeight="1">
      <c r="A941" s="406"/>
      <c r="B941" s="475"/>
      <c r="C941" s="406"/>
      <c r="D941" s="406"/>
      <c r="E941" s="505"/>
      <c r="F941" s="406"/>
      <c r="G941" s="406"/>
      <c r="H941" s="406"/>
      <c r="I941" s="406"/>
      <c r="J941" s="406"/>
      <c r="K941" s="406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406"/>
    </row>
    <row r="942" spans="1:26" ht="24.75" customHeight="1">
      <c r="A942" s="406"/>
      <c r="B942" s="475"/>
      <c r="C942" s="406"/>
      <c r="D942" s="406"/>
      <c r="E942" s="505"/>
      <c r="F942" s="406"/>
      <c r="G942" s="406"/>
      <c r="H942" s="406"/>
      <c r="I942" s="406"/>
      <c r="J942" s="406"/>
      <c r="K942" s="406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406"/>
    </row>
    <row r="943" spans="1:26" ht="24.75" customHeight="1">
      <c r="A943" s="406"/>
      <c r="B943" s="475"/>
      <c r="C943" s="406"/>
      <c r="D943" s="406"/>
      <c r="E943" s="505"/>
      <c r="F943" s="406"/>
      <c r="G943" s="406"/>
      <c r="H943" s="406"/>
      <c r="I943" s="406"/>
      <c r="J943" s="406"/>
      <c r="K943" s="406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406"/>
    </row>
    <row r="944" spans="1:26" ht="24.75" customHeight="1">
      <c r="A944" s="406"/>
      <c r="B944" s="475"/>
      <c r="C944" s="406"/>
      <c r="D944" s="406"/>
      <c r="E944" s="505"/>
      <c r="F944" s="406"/>
      <c r="G944" s="406"/>
      <c r="H944" s="406"/>
      <c r="I944" s="406"/>
      <c r="J944" s="406"/>
      <c r="K944" s="406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406"/>
    </row>
    <row r="945" spans="1:26" ht="24.75" customHeight="1">
      <c r="A945" s="406"/>
      <c r="B945" s="475"/>
      <c r="C945" s="406"/>
      <c r="D945" s="406"/>
      <c r="E945" s="505"/>
      <c r="F945" s="406"/>
      <c r="G945" s="406"/>
      <c r="H945" s="406"/>
      <c r="I945" s="406"/>
      <c r="J945" s="406"/>
      <c r="K945" s="406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406"/>
    </row>
    <row r="946" spans="1:26" ht="24.75" customHeight="1">
      <c r="A946" s="406"/>
      <c r="B946" s="475"/>
      <c r="C946" s="406"/>
      <c r="D946" s="406"/>
      <c r="E946" s="505"/>
      <c r="F946" s="406"/>
      <c r="G946" s="406"/>
      <c r="H946" s="406"/>
      <c r="I946" s="406"/>
      <c r="J946" s="406"/>
      <c r="K946" s="406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406"/>
    </row>
    <row r="947" spans="1:26" ht="24.75" customHeight="1">
      <c r="A947" s="406"/>
      <c r="B947" s="475"/>
      <c r="C947" s="406"/>
      <c r="D947" s="406"/>
      <c r="E947" s="505"/>
      <c r="F947" s="406"/>
      <c r="G947" s="406"/>
      <c r="H947" s="406"/>
      <c r="I947" s="406"/>
      <c r="J947" s="406"/>
      <c r="K947" s="406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406"/>
    </row>
    <row r="948" spans="1:26" ht="24.75" customHeight="1">
      <c r="A948" s="406"/>
      <c r="B948" s="475"/>
      <c r="C948" s="406"/>
      <c r="D948" s="406"/>
      <c r="E948" s="505"/>
      <c r="F948" s="406"/>
      <c r="G948" s="406"/>
      <c r="H948" s="406"/>
      <c r="I948" s="406"/>
      <c r="J948" s="406"/>
      <c r="K948" s="406"/>
      <c r="L948" s="406"/>
      <c r="M948" s="406"/>
      <c r="N948" s="406"/>
      <c r="O948" s="406"/>
      <c r="P948" s="406"/>
      <c r="Q948" s="406"/>
      <c r="R948" s="406"/>
      <c r="S948" s="406"/>
      <c r="T948" s="406"/>
      <c r="U948" s="406"/>
      <c r="V948" s="406"/>
      <c r="W948" s="406"/>
      <c r="X948" s="406"/>
      <c r="Y948" s="406"/>
      <c r="Z948" s="406"/>
    </row>
    <row r="949" spans="1:26" ht="24.75" customHeight="1">
      <c r="A949" s="406"/>
      <c r="B949" s="475"/>
      <c r="C949" s="406"/>
      <c r="D949" s="406"/>
      <c r="E949" s="505"/>
      <c r="F949" s="406"/>
      <c r="G949" s="406"/>
      <c r="H949" s="406"/>
      <c r="I949" s="406"/>
      <c r="J949" s="406"/>
      <c r="K949" s="406"/>
      <c r="L949" s="406"/>
      <c r="M949" s="406"/>
      <c r="N949" s="406"/>
      <c r="O949" s="406"/>
      <c r="P949" s="406"/>
      <c r="Q949" s="406"/>
      <c r="R949" s="406"/>
      <c r="S949" s="406"/>
      <c r="T949" s="406"/>
      <c r="U949" s="406"/>
      <c r="V949" s="406"/>
      <c r="W949" s="406"/>
      <c r="X949" s="406"/>
      <c r="Y949" s="406"/>
      <c r="Z949" s="406"/>
    </row>
    <row r="950" spans="1:26" ht="24.75" customHeight="1">
      <c r="A950" s="406"/>
      <c r="B950" s="475"/>
      <c r="C950" s="406"/>
      <c r="D950" s="406"/>
      <c r="E950" s="505"/>
      <c r="F950" s="406"/>
      <c r="G950" s="406"/>
      <c r="H950" s="406"/>
      <c r="I950" s="406"/>
      <c r="J950" s="406"/>
      <c r="K950" s="406"/>
      <c r="L950" s="406"/>
      <c r="M950" s="406"/>
      <c r="N950" s="406"/>
      <c r="O950" s="406"/>
      <c r="P950" s="406"/>
      <c r="Q950" s="406"/>
      <c r="R950" s="406"/>
      <c r="S950" s="406"/>
      <c r="T950" s="406"/>
      <c r="U950" s="406"/>
      <c r="V950" s="406"/>
      <c r="W950" s="406"/>
      <c r="X950" s="406"/>
      <c r="Y950" s="406"/>
      <c r="Z950" s="406"/>
    </row>
    <row r="951" spans="1:26" ht="24.75" customHeight="1">
      <c r="A951" s="406"/>
      <c r="B951" s="475"/>
      <c r="C951" s="406"/>
      <c r="D951" s="406"/>
      <c r="E951" s="505"/>
      <c r="F951" s="406"/>
      <c r="G951" s="406"/>
      <c r="H951" s="406"/>
      <c r="I951" s="406"/>
      <c r="J951" s="406"/>
      <c r="K951" s="406"/>
      <c r="L951" s="406"/>
      <c r="M951" s="406"/>
      <c r="N951" s="406"/>
      <c r="O951" s="406"/>
      <c r="P951" s="406"/>
      <c r="Q951" s="406"/>
      <c r="R951" s="406"/>
      <c r="S951" s="406"/>
      <c r="T951" s="406"/>
      <c r="U951" s="406"/>
      <c r="V951" s="406"/>
      <c r="W951" s="406"/>
      <c r="X951" s="406"/>
      <c r="Y951" s="406"/>
      <c r="Z951" s="406"/>
    </row>
    <row r="952" spans="1:26" ht="24.75" customHeight="1">
      <c r="A952" s="406"/>
      <c r="B952" s="475"/>
      <c r="C952" s="406"/>
      <c r="D952" s="406"/>
      <c r="E952" s="505"/>
      <c r="F952" s="406"/>
      <c r="G952" s="406"/>
      <c r="H952" s="406"/>
      <c r="I952" s="406"/>
      <c r="J952" s="406"/>
      <c r="K952" s="406"/>
      <c r="L952" s="406"/>
      <c r="M952" s="406"/>
      <c r="N952" s="406"/>
      <c r="O952" s="406"/>
      <c r="P952" s="406"/>
      <c r="Q952" s="406"/>
      <c r="R952" s="406"/>
      <c r="S952" s="406"/>
      <c r="T952" s="406"/>
      <c r="U952" s="406"/>
      <c r="V952" s="406"/>
      <c r="W952" s="406"/>
      <c r="X952" s="406"/>
      <c r="Y952" s="406"/>
      <c r="Z952" s="406"/>
    </row>
    <row r="953" spans="1:26" ht="24.75" customHeight="1">
      <c r="A953" s="406"/>
      <c r="B953" s="475"/>
      <c r="C953" s="406"/>
      <c r="D953" s="406"/>
      <c r="E953" s="505"/>
      <c r="F953" s="406"/>
      <c r="G953" s="406"/>
      <c r="H953" s="406"/>
      <c r="I953" s="406"/>
      <c r="J953" s="406"/>
      <c r="K953" s="406"/>
      <c r="L953" s="406"/>
      <c r="M953" s="406"/>
      <c r="N953" s="406"/>
      <c r="O953" s="406"/>
      <c r="P953" s="406"/>
      <c r="Q953" s="406"/>
      <c r="R953" s="406"/>
      <c r="S953" s="406"/>
      <c r="T953" s="406"/>
      <c r="U953" s="406"/>
      <c r="V953" s="406"/>
      <c r="W953" s="406"/>
      <c r="X953" s="406"/>
      <c r="Y953" s="406"/>
      <c r="Z953" s="406"/>
    </row>
    <row r="954" spans="1:26" ht="24.75" customHeight="1">
      <c r="A954" s="406"/>
      <c r="B954" s="475"/>
      <c r="C954" s="406"/>
      <c r="D954" s="406"/>
      <c r="E954" s="505"/>
      <c r="F954" s="406"/>
      <c r="G954" s="406"/>
      <c r="H954" s="406"/>
      <c r="I954" s="406"/>
      <c r="J954" s="406"/>
      <c r="K954" s="406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406"/>
    </row>
    <row r="955" spans="1:26" ht="24.75" customHeight="1">
      <c r="A955" s="406"/>
      <c r="B955" s="475"/>
      <c r="C955" s="406"/>
      <c r="D955" s="406"/>
      <c r="E955" s="505"/>
      <c r="F955" s="406"/>
      <c r="G955" s="406"/>
      <c r="H955" s="406"/>
      <c r="I955" s="406"/>
      <c r="J955" s="406"/>
      <c r="K955" s="406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406"/>
    </row>
    <row r="956" spans="1:26" ht="24.75" customHeight="1">
      <c r="A956" s="406"/>
      <c r="B956" s="475"/>
      <c r="C956" s="406"/>
      <c r="D956" s="406"/>
      <c r="E956" s="505"/>
      <c r="F956" s="406"/>
      <c r="G956" s="406"/>
      <c r="H956" s="406"/>
      <c r="I956" s="406"/>
      <c r="J956" s="406"/>
      <c r="K956" s="406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406"/>
    </row>
    <row r="957" spans="1:26" ht="24.75" customHeight="1">
      <c r="A957" s="406"/>
      <c r="B957" s="475"/>
      <c r="C957" s="406"/>
      <c r="D957" s="406"/>
      <c r="E957" s="505"/>
      <c r="F957" s="406"/>
      <c r="G957" s="406"/>
      <c r="H957" s="406"/>
      <c r="I957" s="406"/>
      <c r="J957" s="406"/>
      <c r="K957" s="406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406"/>
    </row>
    <row r="958" spans="1:26" ht="24.75" customHeight="1">
      <c r="A958" s="406"/>
      <c r="B958" s="475"/>
      <c r="C958" s="406"/>
      <c r="D958" s="406"/>
      <c r="E958" s="505"/>
      <c r="F958" s="406"/>
      <c r="G958" s="406"/>
      <c r="H958" s="406"/>
      <c r="I958" s="406"/>
      <c r="J958" s="406"/>
      <c r="K958" s="406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406"/>
    </row>
    <row r="959" spans="1:26" ht="24.75" customHeight="1">
      <c r="A959" s="406"/>
      <c r="B959" s="475"/>
      <c r="C959" s="406"/>
      <c r="D959" s="406"/>
      <c r="E959" s="505"/>
      <c r="F959" s="406"/>
      <c r="G959" s="406"/>
      <c r="H959" s="406"/>
      <c r="I959" s="406"/>
      <c r="J959" s="406"/>
      <c r="K959" s="406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406"/>
    </row>
    <row r="960" spans="1:26" ht="24.75" customHeight="1">
      <c r="A960" s="406"/>
      <c r="B960" s="475"/>
      <c r="C960" s="406"/>
      <c r="D960" s="406"/>
      <c r="E960" s="505"/>
      <c r="F960" s="406"/>
      <c r="G960" s="406"/>
      <c r="H960" s="406"/>
      <c r="I960" s="406"/>
      <c r="J960" s="406"/>
      <c r="K960" s="406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406"/>
    </row>
    <row r="961" spans="1:26" ht="24.75" customHeight="1">
      <c r="A961" s="406"/>
      <c r="B961" s="475"/>
      <c r="C961" s="406"/>
      <c r="D961" s="406"/>
      <c r="E961" s="505"/>
      <c r="F961" s="406"/>
      <c r="G961" s="406"/>
      <c r="H961" s="406"/>
      <c r="I961" s="406"/>
      <c r="J961" s="406"/>
      <c r="K961" s="406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406"/>
    </row>
    <row r="962" spans="1:26" ht="24.75" customHeight="1">
      <c r="A962" s="406"/>
      <c r="B962" s="475"/>
      <c r="C962" s="406"/>
      <c r="D962" s="406"/>
      <c r="E962" s="505"/>
      <c r="F962" s="406"/>
      <c r="G962" s="406"/>
      <c r="H962" s="406"/>
      <c r="I962" s="406"/>
      <c r="J962" s="406"/>
      <c r="K962" s="406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406"/>
    </row>
    <row r="963" spans="1:26" ht="24.75" customHeight="1">
      <c r="A963" s="406"/>
      <c r="B963" s="475"/>
      <c r="C963" s="406"/>
      <c r="D963" s="406"/>
      <c r="E963" s="505"/>
      <c r="F963" s="406"/>
      <c r="G963" s="406"/>
      <c r="H963" s="406"/>
      <c r="I963" s="406"/>
      <c r="J963" s="406"/>
      <c r="K963" s="406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406"/>
    </row>
    <row r="964" spans="1:26" ht="24.75" customHeight="1">
      <c r="A964" s="406"/>
      <c r="B964" s="475"/>
      <c r="C964" s="406"/>
      <c r="D964" s="406"/>
      <c r="E964" s="505"/>
      <c r="F964" s="406"/>
      <c r="G964" s="406"/>
      <c r="H964" s="406"/>
      <c r="I964" s="406"/>
      <c r="J964" s="406"/>
      <c r="K964" s="406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406"/>
    </row>
    <row r="965" spans="1:26" ht="24.75" customHeight="1">
      <c r="A965" s="406"/>
      <c r="B965" s="475"/>
      <c r="C965" s="406"/>
      <c r="D965" s="406"/>
      <c r="E965" s="505"/>
      <c r="F965" s="406"/>
      <c r="G965" s="406"/>
      <c r="H965" s="406"/>
      <c r="I965" s="406"/>
      <c r="J965" s="406"/>
      <c r="K965" s="406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406"/>
    </row>
    <row r="966" spans="1:26" ht="24.75" customHeight="1">
      <c r="A966" s="406"/>
      <c r="B966" s="475"/>
      <c r="C966" s="406"/>
      <c r="D966" s="406"/>
      <c r="E966" s="505"/>
      <c r="F966" s="406"/>
      <c r="G966" s="406"/>
      <c r="H966" s="406"/>
      <c r="I966" s="406"/>
      <c r="J966" s="406"/>
      <c r="K966" s="406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406"/>
    </row>
    <row r="967" spans="1:26" ht="24.75" customHeight="1">
      <c r="A967" s="406"/>
      <c r="B967" s="475"/>
      <c r="C967" s="406"/>
      <c r="D967" s="406"/>
      <c r="E967" s="505"/>
      <c r="F967" s="406"/>
      <c r="G967" s="406"/>
      <c r="H967" s="406"/>
      <c r="I967" s="406"/>
      <c r="J967" s="406"/>
      <c r="K967" s="406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406"/>
    </row>
    <row r="968" spans="1:26" ht="24.75" customHeight="1">
      <c r="A968" s="406"/>
      <c r="B968" s="475"/>
      <c r="C968" s="406"/>
      <c r="D968" s="406"/>
      <c r="E968" s="505"/>
      <c r="F968" s="406"/>
      <c r="G968" s="406"/>
      <c r="H968" s="406"/>
      <c r="I968" s="406"/>
      <c r="J968" s="406"/>
      <c r="K968" s="406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406"/>
    </row>
    <row r="969" spans="1:26" ht="24.75" customHeight="1">
      <c r="A969" s="406"/>
      <c r="B969" s="475"/>
      <c r="C969" s="406"/>
      <c r="D969" s="406"/>
      <c r="E969" s="505"/>
      <c r="F969" s="406"/>
      <c r="G969" s="406"/>
      <c r="H969" s="406"/>
      <c r="I969" s="406"/>
      <c r="J969" s="406"/>
      <c r="K969" s="406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406"/>
    </row>
    <row r="970" spans="1:26" ht="24.75" customHeight="1">
      <c r="A970" s="406"/>
      <c r="B970" s="475"/>
      <c r="C970" s="406"/>
      <c r="D970" s="406"/>
      <c r="E970" s="505"/>
      <c r="F970" s="406"/>
      <c r="G970" s="406"/>
      <c r="H970" s="406"/>
      <c r="I970" s="406"/>
      <c r="J970" s="406"/>
      <c r="K970" s="406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406"/>
    </row>
    <row r="971" spans="1:26" ht="24.75" customHeight="1">
      <c r="A971" s="406"/>
      <c r="B971" s="475"/>
      <c r="C971" s="406"/>
      <c r="D971" s="406"/>
      <c r="E971" s="505"/>
      <c r="F971" s="406"/>
      <c r="G971" s="406"/>
      <c r="H971" s="406"/>
      <c r="I971" s="406"/>
      <c r="J971" s="406"/>
      <c r="K971" s="406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406"/>
    </row>
    <row r="972" spans="1:26" ht="24.75" customHeight="1">
      <c r="A972" s="406"/>
      <c r="B972" s="475"/>
      <c r="C972" s="406"/>
      <c r="D972" s="406"/>
      <c r="E972" s="505"/>
      <c r="F972" s="406"/>
      <c r="G972" s="406"/>
      <c r="H972" s="406"/>
      <c r="I972" s="406"/>
      <c r="J972" s="406"/>
      <c r="K972" s="406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406"/>
    </row>
    <row r="973" spans="1:26" ht="24.75" customHeight="1">
      <c r="A973" s="406"/>
      <c r="B973" s="475"/>
      <c r="C973" s="406"/>
      <c r="D973" s="406"/>
      <c r="E973" s="505"/>
      <c r="F973" s="406"/>
      <c r="G973" s="406"/>
      <c r="H973" s="406"/>
      <c r="I973" s="406"/>
      <c r="J973" s="406"/>
      <c r="K973" s="406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406"/>
    </row>
    <row r="974" spans="1:26" ht="24.75" customHeight="1">
      <c r="A974" s="406"/>
      <c r="B974" s="475"/>
      <c r="C974" s="406"/>
      <c r="D974" s="406"/>
      <c r="E974" s="505"/>
      <c r="F974" s="406"/>
      <c r="G974" s="406"/>
      <c r="H974" s="406"/>
      <c r="I974" s="406"/>
      <c r="J974" s="406"/>
      <c r="K974" s="406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406"/>
    </row>
    <row r="975" spans="1:26" ht="24.75" customHeight="1">
      <c r="A975" s="406"/>
      <c r="B975" s="475"/>
      <c r="C975" s="406"/>
      <c r="D975" s="406"/>
      <c r="E975" s="505"/>
      <c r="F975" s="406"/>
      <c r="G975" s="406"/>
      <c r="H975" s="406"/>
      <c r="I975" s="406"/>
      <c r="J975" s="406"/>
      <c r="K975" s="406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406"/>
    </row>
    <row r="976" spans="1:26" ht="24.75" customHeight="1">
      <c r="A976" s="406"/>
      <c r="B976" s="475"/>
      <c r="C976" s="406"/>
      <c r="D976" s="406"/>
      <c r="E976" s="505"/>
      <c r="F976" s="406"/>
      <c r="G976" s="406"/>
      <c r="H976" s="406"/>
      <c r="I976" s="406"/>
      <c r="J976" s="406"/>
      <c r="K976" s="406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406"/>
    </row>
    <row r="977" spans="1:26" ht="24.75" customHeight="1">
      <c r="A977" s="406"/>
      <c r="B977" s="475"/>
      <c r="C977" s="406"/>
      <c r="D977" s="406"/>
      <c r="E977" s="505"/>
      <c r="F977" s="406"/>
      <c r="G977" s="406"/>
      <c r="H977" s="406"/>
      <c r="I977" s="406"/>
      <c r="J977" s="406"/>
      <c r="K977" s="406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406"/>
    </row>
    <row r="978" spans="1:26" ht="24.75" customHeight="1">
      <c r="A978" s="406"/>
      <c r="B978" s="475"/>
      <c r="C978" s="406"/>
      <c r="D978" s="406"/>
      <c r="E978" s="505"/>
      <c r="F978" s="406"/>
      <c r="G978" s="406"/>
      <c r="H978" s="406"/>
      <c r="I978" s="406"/>
      <c r="J978" s="406"/>
      <c r="K978" s="406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406"/>
    </row>
    <row r="979" spans="1:26" ht="24.75" customHeight="1">
      <c r="A979" s="406"/>
      <c r="B979" s="475"/>
      <c r="C979" s="406"/>
      <c r="D979" s="406"/>
      <c r="E979" s="505"/>
      <c r="F979" s="406"/>
      <c r="G979" s="406"/>
      <c r="H979" s="406"/>
      <c r="I979" s="406"/>
      <c r="J979" s="406"/>
      <c r="K979" s="406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406"/>
    </row>
    <row r="980" spans="1:26" ht="24.75" customHeight="1">
      <c r="A980" s="406"/>
      <c r="B980" s="475"/>
      <c r="C980" s="406"/>
      <c r="D980" s="406"/>
      <c r="E980" s="505"/>
      <c r="F980" s="406"/>
      <c r="G980" s="406"/>
      <c r="H980" s="406"/>
      <c r="I980" s="406"/>
      <c r="J980" s="406"/>
      <c r="K980" s="406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406"/>
    </row>
    <row r="981" spans="1:26" ht="24.75" customHeight="1">
      <c r="A981" s="406"/>
      <c r="B981" s="475"/>
      <c r="C981" s="406"/>
      <c r="D981" s="406"/>
      <c r="E981" s="505"/>
      <c r="F981" s="406"/>
      <c r="G981" s="406"/>
      <c r="H981" s="406"/>
      <c r="I981" s="406"/>
      <c r="J981" s="406"/>
      <c r="K981" s="406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406"/>
    </row>
    <row r="982" spans="1:26" ht="24.75" customHeight="1">
      <c r="A982" s="406"/>
      <c r="B982" s="475"/>
      <c r="C982" s="406"/>
      <c r="D982" s="406"/>
      <c r="E982" s="505"/>
      <c r="F982" s="406"/>
      <c r="G982" s="406"/>
      <c r="H982" s="406"/>
      <c r="I982" s="406"/>
      <c r="J982" s="406"/>
      <c r="K982" s="406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406"/>
    </row>
    <row r="983" spans="1:26" ht="24.75" customHeight="1">
      <c r="A983" s="406"/>
      <c r="B983" s="475"/>
      <c r="C983" s="406"/>
      <c r="D983" s="406"/>
      <c r="E983" s="505"/>
      <c r="F983" s="406"/>
      <c r="G983" s="406"/>
      <c r="H983" s="406"/>
      <c r="I983" s="406"/>
      <c r="J983" s="406"/>
      <c r="K983" s="406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406"/>
    </row>
    <row r="984" spans="1:26" ht="24.75" customHeight="1">
      <c r="A984" s="406"/>
      <c r="B984" s="475"/>
      <c r="C984" s="406"/>
      <c r="D984" s="406"/>
      <c r="E984" s="505"/>
      <c r="F984" s="406"/>
      <c r="G984" s="406"/>
      <c r="H984" s="406"/>
      <c r="I984" s="406"/>
      <c r="J984" s="406"/>
      <c r="K984" s="406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406"/>
    </row>
    <row r="985" spans="1:26" ht="24.75" customHeight="1">
      <c r="A985" s="406"/>
      <c r="B985" s="475"/>
      <c r="C985" s="406"/>
      <c r="D985" s="406"/>
      <c r="E985" s="505"/>
      <c r="F985" s="406"/>
      <c r="G985" s="406"/>
      <c r="H985" s="406"/>
      <c r="I985" s="406"/>
      <c r="J985" s="406"/>
      <c r="K985" s="406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406"/>
    </row>
    <row r="986" spans="1:26" ht="24.75" customHeight="1">
      <c r="A986" s="406"/>
      <c r="B986" s="475"/>
      <c r="C986" s="406"/>
      <c r="D986" s="406"/>
      <c r="E986" s="505"/>
      <c r="F986" s="406"/>
      <c r="G986" s="406"/>
      <c r="H986" s="406"/>
      <c r="I986" s="406"/>
      <c r="J986" s="406"/>
      <c r="K986" s="406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406"/>
    </row>
    <row r="987" spans="1:26" ht="24.75" customHeight="1">
      <c r="A987" s="406"/>
      <c r="B987" s="475"/>
      <c r="C987" s="406"/>
      <c r="D987" s="406"/>
      <c r="E987" s="505"/>
      <c r="F987" s="406"/>
      <c r="G987" s="406"/>
      <c r="H987" s="406"/>
      <c r="I987" s="406"/>
      <c r="J987" s="406"/>
      <c r="K987" s="406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406"/>
    </row>
    <row r="988" spans="1:26" ht="24.75" customHeight="1">
      <c r="A988" s="406"/>
      <c r="B988" s="475"/>
      <c r="C988" s="406"/>
      <c r="D988" s="406"/>
      <c r="E988" s="505"/>
      <c r="F988" s="406"/>
      <c r="G988" s="406"/>
      <c r="H988" s="406"/>
      <c r="I988" s="406"/>
      <c r="J988" s="406"/>
      <c r="K988" s="406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406"/>
    </row>
    <row r="989" spans="1:26" ht="24.75" customHeight="1">
      <c r="A989" s="406"/>
      <c r="B989" s="475"/>
      <c r="C989" s="406"/>
      <c r="D989" s="406"/>
      <c r="E989" s="505"/>
      <c r="F989" s="406"/>
      <c r="G989" s="406"/>
      <c r="H989" s="406"/>
      <c r="I989" s="406"/>
      <c r="J989" s="406"/>
      <c r="K989" s="406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406"/>
    </row>
    <row r="990" spans="1:26" ht="24.75" customHeight="1">
      <c r="A990" s="406"/>
      <c r="B990" s="475"/>
      <c r="C990" s="406"/>
      <c r="D990" s="406"/>
      <c r="E990" s="505"/>
      <c r="F990" s="406"/>
      <c r="G990" s="406"/>
      <c r="H990" s="406"/>
      <c r="I990" s="406"/>
      <c r="J990" s="406"/>
      <c r="K990" s="406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406"/>
    </row>
    <row r="991" spans="1:26" ht="24.75" customHeight="1">
      <c r="A991" s="406"/>
      <c r="B991" s="475"/>
      <c r="C991" s="406"/>
      <c r="D991" s="406"/>
      <c r="E991" s="505"/>
      <c r="F991" s="406"/>
      <c r="G991" s="406"/>
      <c r="H991" s="406"/>
      <c r="I991" s="406"/>
      <c r="J991" s="406"/>
      <c r="K991" s="406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406"/>
    </row>
    <row r="992" spans="1:26" ht="24.75" customHeight="1">
      <c r="A992" s="406"/>
      <c r="B992" s="475"/>
      <c r="C992" s="406"/>
      <c r="D992" s="406"/>
      <c r="E992" s="505"/>
      <c r="F992" s="406"/>
      <c r="G992" s="406"/>
      <c r="H992" s="406"/>
      <c r="I992" s="406"/>
      <c r="J992" s="406"/>
      <c r="K992" s="406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406"/>
    </row>
    <row r="993" spans="1:26" ht="24.75" customHeight="1">
      <c r="A993" s="406"/>
      <c r="B993" s="475"/>
      <c r="C993" s="406"/>
      <c r="D993" s="406"/>
      <c r="E993" s="505"/>
      <c r="F993" s="406"/>
      <c r="G993" s="406"/>
      <c r="H993" s="406"/>
      <c r="I993" s="406"/>
      <c r="J993" s="406"/>
      <c r="K993" s="406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406"/>
    </row>
    <row r="994" spans="1:26" ht="24.75" customHeight="1">
      <c r="A994" s="406"/>
      <c r="B994" s="475"/>
      <c r="C994" s="406"/>
      <c r="D994" s="406"/>
      <c r="E994" s="505"/>
      <c r="F994" s="406"/>
      <c r="G994" s="406"/>
      <c r="H994" s="406"/>
      <c r="I994" s="406"/>
      <c r="J994" s="406"/>
      <c r="K994" s="406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406"/>
    </row>
    <row r="995" spans="1:26" ht="24.75" customHeight="1">
      <c r="A995" s="406"/>
      <c r="B995" s="475"/>
      <c r="C995" s="406"/>
      <c r="D995" s="406"/>
      <c r="E995" s="505"/>
      <c r="F995" s="406"/>
      <c r="G995" s="406"/>
      <c r="H995" s="406"/>
      <c r="I995" s="406"/>
      <c r="J995" s="406"/>
      <c r="K995" s="406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406"/>
    </row>
    <row r="996" spans="1:26" ht="24.75" customHeight="1">
      <c r="A996" s="406"/>
      <c r="B996" s="475"/>
      <c r="C996" s="406"/>
      <c r="D996" s="406"/>
      <c r="E996" s="505"/>
      <c r="F996" s="406"/>
      <c r="G996" s="406"/>
      <c r="H996" s="406"/>
      <c r="I996" s="406"/>
      <c r="J996" s="406"/>
      <c r="K996" s="406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406"/>
    </row>
    <row r="997" spans="1:26" ht="24.75" customHeight="1">
      <c r="A997" s="406"/>
      <c r="B997" s="475"/>
      <c r="C997" s="406"/>
      <c r="D997" s="406"/>
      <c r="E997" s="505"/>
      <c r="F997" s="406"/>
      <c r="G997" s="406"/>
      <c r="H997" s="406"/>
      <c r="I997" s="406"/>
      <c r="J997" s="406"/>
      <c r="K997" s="406"/>
      <c r="L997" s="406"/>
      <c r="M997" s="406"/>
      <c r="N997" s="406"/>
      <c r="O997" s="406"/>
      <c r="P997" s="406"/>
      <c r="Q997" s="406"/>
      <c r="R997" s="406"/>
      <c r="S997" s="406"/>
      <c r="T997" s="406"/>
      <c r="U997" s="406"/>
      <c r="V997" s="406"/>
      <c r="W997" s="406"/>
      <c r="X997" s="406"/>
      <c r="Y997" s="406"/>
      <c r="Z997" s="406"/>
    </row>
    <row r="998" spans="1:26" ht="24.75" customHeight="1">
      <c r="A998" s="406"/>
      <c r="B998" s="475"/>
      <c r="C998" s="406"/>
      <c r="D998" s="406"/>
      <c r="E998" s="505"/>
      <c r="F998" s="406"/>
      <c r="G998" s="406"/>
      <c r="H998" s="406"/>
      <c r="I998" s="406"/>
      <c r="J998" s="406"/>
      <c r="K998" s="406"/>
      <c r="L998" s="406"/>
      <c r="M998" s="406"/>
      <c r="N998" s="406"/>
      <c r="O998" s="406"/>
      <c r="P998" s="406"/>
      <c r="Q998" s="406"/>
      <c r="R998" s="406"/>
      <c r="S998" s="406"/>
      <c r="T998" s="406"/>
      <c r="U998" s="406"/>
      <c r="V998" s="406"/>
      <c r="W998" s="406"/>
      <c r="X998" s="406"/>
      <c r="Y998" s="406"/>
      <c r="Z998" s="406"/>
    </row>
    <row r="999" spans="1:26" ht="24.75" customHeight="1">
      <c r="A999" s="406"/>
      <c r="B999" s="475"/>
      <c r="C999" s="406"/>
      <c r="D999" s="406"/>
      <c r="E999" s="505"/>
      <c r="F999" s="406"/>
      <c r="G999" s="406"/>
      <c r="H999" s="406"/>
      <c r="I999" s="406"/>
      <c r="J999" s="406"/>
      <c r="K999" s="406"/>
      <c r="L999" s="406"/>
      <c r="M999" s="406"/>
      <c r="N999" s="406"/>
      <c r="O999" s="406"/>
      <c r="P999" s="406"/>
      <c r="Q999" s="406"/>
      <c r="R999" s="406"/>
      <c r="S999" s="406"/>
      <c r="T999" s="406"/>
      <c r="U999" s="406"/>
      <c r="V999" s="406"/>
      <c r="W999" s="406"/>
      <c r="X999" s="406"/>
      <c r="Y999" s="406"/>
      <c r="Z999" s="406"/>
    </row>
    <row r="1000" spans="1:26" ht="24.75" customHeight="1">
      <c r="A1000" s="406"/>
      <c r="B1000" s="475"/>
      <c r="C1000" s="406"/>
      <c r="D1000" s="406"/>
      <c r="E1000" s="505"/>
      <c r="F1000" s="406"/>
      <c r="G1000" s="406"/>
      <c r="H1000" s="406"/>
      <c r="I1000" s="406"/>
      <c r="J1000" s="406"/>
      <c r="K1000" s="406"/>
      <c r="L1000" s="406"/>
      <c r="M1000" s="406"/>
      <c r="N1000" s="406"/>
      <c r="O1000" s="406"/>
      <c r="P1000" s="406"/>
      <c r="Q1000" s="406"/>
      <c r="R1000" s="406"/>
      <c r="S1000" s="406"/>
      <c r="T1000" s="406"/>
      <c r="U1000" s="406"/>
      <c r="V1000" s="406"/>
      <c r="W1000" s="406"/>
      <c r="X1000" s="406"/>
      <c r="Y1000" s="406"/>
      <c r="Z1000" s="406"/>
    </row>
  </sheetData>
  <mergeCells count="61">
    <mergeCell ref="C67:D67"/>
    <mergeCell ref="C69:D69"/>
    <mergeCell ref="C71:D71"/>
    <mergeCell ref="C73:D73"/>
    <mergeCell ref="C74:D74"/>
    <mergeCell ref="C59:D59"/>
    <mergeCell ref="C60:D60"/>
    <mergeCell ref="C63:D63"/>
    <mergeCell ref="C64:D64"/>
    <mergeCell ref="C65:D65"/>
    <mergeCell ref="C37:D37"/>
    <mergeCell ref="C38:D38"/>
    <mergeCell ref="C39:D39"/>
    <mergeCell ref="C40:D40"/>
    <mergeCell ref="C42:D42"/>
    <mergeCell ref="C29:D29"/>
    <mergeCell ref="C33:D33"/>
    <mergeCell ref="C34:D34"/>
    <mergeCell ref="C35:D35"/>
    <mergeCell ref="C36:D36"/>
    <mergeCell ref="C22:D22"/>
    <mergeCell ref="C23:D23"/>
    <mergeCell ref="C24:D24"/>
    <mergeCell ref="C25:D25"/>
    <mergeCell ref="C26:D26"/>
    <mergeCell ref="C16:D16"/>
    <mergeCell ref="C17:D17"/>
    <mergeCell ref="C18:D18"/>
    <mergeCell ref="C19:D19"/>
    <mergeCell ref="C21:D21"/>
    <mergeCell ref="C9:D9"/>
    <mergeCell ref="C13:D13"/>
    <mergeCell ref="C14:D14"/>
    <mergeCell ref="K14:R14"/>
    <mergeCell ref="C15:D15"/>
    <mergeCell ref="C8:D8"/>
    <mergeCell ref="L8:Q8"/>
    <mergeCell ref="B1:B2"/>
    <mergeCell ref="C1:D2"/>
    <mergeCell ref="B3:D3"/>
    <mergeCell ref="C4:D4"/>
    <mergeCell ref="C5:D5"/>
    <mergeCell ref="C6:D6"/>
    <mergeCell ref="C7:D7"/>
    <mergeCell ref="C130:D130"/>
    <mergeCell ref="C139:D139"/>
    <mergeCell ref="L101:L103"/>
    <mergeCell ref="M101:M103"/>
    <mergeCell ref="C75:D75"/>
    <mergeCell ref="C82:D82"/>
    <mergeCell ref="C97:D97"/>
    <mergeCell ref="E100:M100"/>
    <mergeCell ref="E101:E103"/>
    <mergeCell ref="F101:F103"/>
    <mergeCell ref="I101:I103"/>
    <mergeCell ref="E104:F104"/>
    <mergeCell ref="J101:J103"/>
    <mergeCell ref="K101:K103"/>
    <mergeCell ref="C127:D127"/>
    <mergeCell ref="C128:D128"/>
    <mergeCell ref="C129:D12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JULIO-2026</vt:lpstr>
      <vt:lpstr>JUNIO-2026</vt:lpstr>
      <vt:lpstr>MAYO - 2026</vt:lpstr>
      <vt:lpstr>ABRIL-2026</vt:lpstr>
      <vt:lpstr>MARZO.2026</vt:lpstr>
      <vt:lpstr>FEBRERO-2026</vt:lpstr>
      <vt:lpstr>CUENTAS EDIFICIO + ADMT-2023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Valen</cp:lastModifiedBy>
  <dcterms:created xsi:type="dcterms:W3CDTF">2020-12-02T14:54:14Z</dcterms:created>
  <dcterms:modified xsi:type="dcterms:W3CDTF">2026-07-13T22:46:06Z</dcterms:modified>
</cp:coreProperties>
</file>