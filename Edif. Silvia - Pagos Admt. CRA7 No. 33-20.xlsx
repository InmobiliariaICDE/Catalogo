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T - SILVIA 2026" sheetId="1" r:id="rId4"/>
    <sheet state="visible" name="ADMT - SILVIA 2025" sheetId="2" r:id="rId5"/>
    <sheet state="hidden" name="CUENTAS EDIFICIO + ADMT-2023" sheetId="3" r:id="rId6"/>
  </sheets>
  <definedNames/>
  <calcPr/>
  <extLst>
    <ext uri="GoogleSheetsCustomDataVersion2">
      <go:sheetsCustomData xmlns:go="http://customooxmlschemas.google.com/" r:id="rId7" roundtripDataChecksum="8UKzhySTegVgr8rcUZDetTuAAs6KTZB+xoINuZ4Wo4s="/>
    </ext>
  </extLst>
</workbook>
</file>

<file path=xl/sharedStrings.xml><?xml version="1.0" encoding="utf-8"?>
<sst xmlns="http://schemas.openxmlformats.org/spreadsheetml/2006/main" count="183" uniqueCount="168">
  <si>
    <t>A</t>
  </si>
  <si>
    <t>CANCELADO</t>
  </si>
  <si>
    <t>POR CANCELAR</t>
  </si>
  <si>
    <t>Cancela mes super vencido 20 al 25</t>
  </si>
  <si>
    <t>ADMINISTRACION EDIFICIO SILVIA  - CONTROL PAGOS A ICDE</t>
  </si>
  <si>
    <t>Fecha</t>
  </si>
  <si>
    <t>Mes</t>
  </si>
  <si>
    <t>Recaudo mes</t>
  </si>
  <si>
    <t>Abono</t>
  </si>
  <si>
    <t>Saldos parciales</t>
  </si>
  <si>
    <t>Admt. Enero</t>
  </si>
  <si>
    <t>Cancelación Administración  mes Enero.  Comprobante M22783734</t>
  </si>
  <si>
    <t>Admt. Febrero</t>
  </si>
  <si>
    <t>Admt. Marzo</t>
  </si>
  <si>
    <t>Recudo mes</t>
  </si>
  <si>
    <t>Admt. Diciembre</t>
  </si>
  <si>
    <t>Enero</t>
  </si>
  <si>
    <t>Abono  Admt. mes diciembre.</t>
  </si>
  <si>
    <t>Febrero</t>
  </si>
  <si>
    <t>Saldo  Admt.  diciembre y abono Admt. Enero.</t>
  </si>
  <si>
    <t>Saldo  Admt. enero.</t>
  </si>
  <si>
    <t>Abono  Admt. febrero.</t>
  </si>
  <si>
    <t>Cancela  saldo Febrero y abona marzo - Comprobante M5690391</t>
  </si>
  <si>
    <t>Admt. Abril</t>
  </si>
  <si>
    <t>Saldo Admt. Marzo y abono  Admt. abril - Comprobante M8667678</t>
  </si>
  <si>
    <t>Admt. Mayo</t>
  </si>
  <si>
    <t>Obra local</t>
  </si>
  <si>
    <t>Maestro Henrry</t>
  </si>
  <si>
    <t>Descuento cortinero Apto 203 - ICDE</t>
  </si>
  <si>
    <t>Cancela saldo Admt  Abril, abona  Admt. Mayo y arreglos mes de mayo - Comprobante M11022142</t>
  </si>
  <si>
    <t>Admt. Junio.</t>
  </si>
  <si>
    <t>Abono Admt Mayo - Comprobante M18999040</t>
  </si>
  <si>
    <t>Descuento Apto 201</t>
  </si>
  <si>
    <t>Saldo Admt junio - Comprobante M20701778</t>
  </si>
  <si>
    <t>Admt. Julio</t>
  </si>
  <si>
    <t>Reajuste fórmula del cuadro</t>
  </si>
  <si>
    <t>Abono Administración Julio - Comprobante M19687555</t>
  </si>
  <si>
    <t>Cancelación saldo mes julio y cuadro. Comprobante M11613072</t>
  </si>
  <si>
    <t>Admt. Agosto</t>
  </si>
  <si>
    <t>Abono Administración Agosto - Comprobante M5427045</t>
  </si>
  <si>
    <t>Cancelación saldo mes Agosto.  Comprobante M19292432</t>
  </si>
  <si>
    <t>Admt. Septiembre</t>
  </si>
  <si>
    <t>Cancelación Administración  mes Septiembre.  Comprobante M21372151</t>
  </si>
  <si>
    <t>Admt.Octubre</t>
  </si>
  <si>
    <t>Cancelación Administración  mes Octubre.  Comprobante M14261573.</t>
  </si>
  <si>
    <t>Admt. Noviembre</t>
  </si>
  <si>
    <t>Cancelación Administración  mes Noviembre.  Comprobante M16656477.</t>
  </si>
  <si>
    <t>Cancelación Administración  mes Diciembre.  Comprobante .</t>
  </si>
  <si>
    <t xml:space="preserve">Cancelación Administración  mes Diciembre.  Comprobante </t>
  </si>
  <si>
    <t>FECHA</t>
  </si>
  <si>
    <t>DESCRIPCION</t>
  </si>
  <si>
    <t>TOTAL INGRESOS</t>
  </si>
  <si>
    <t>CASA AZUL</t>
  </si>
  <si>
    <t>HABIT. AZUL</t>
  </si>
  <si>
    <t>APTO AZUL</t>
  </si>
  <si>
    <t>EDIFICIO</t>
  </si>
  <si>
    <t>OTROS</t>
  </si>
  <si>
    <t>TOTAL GASTOS CASA AZUL</t>
  </si>
  <si>
    <t>TOTAL GASTOS</t>
  </si>
  <si>
    <t>DIFERENCIA DEL EJERCICIO</t>
  </si>
  <si>
    <t>INGRESO HABITACION AZUL - 1 ENERO 2023  AL 1 FEBRERO 2023</t>
  </si>
  <si>
    <t>Cancelacion fatura 056 Electrificadora-50% habitación y aparta estudio azul. Periodo 03-12-2022 al 04-01-2023. valor total factura $28.120.</t>
  </si>
  <si>
    <t>Cancelacion fatura 000- Alcanos-100% casa azul. Periodo 03-12-2022 al 04-01-2023.</t>
  </si>
  <si>
    <t>Cancelacion factura 26490690 Electrificadora-Cuenta numero 901844110- Apto 102-Periodo 03-12-2022 al 04-02-2023</t>
  </si>
  <si>
    <t>INGRESO CASA AZUL - 05 FEBRERO 2023</t>
  </si>
  <si>
    <t xml:space="preserve">INGRESO DE DATOS  QUE FALTABAN EN EL INFORME </t>
  </si>
  <si>
    <t>DEPOSITO</t>
  </si>
  <si>
    <t>1-Factura 2785-Homecenter-Varios</t>
  </si>
  <si>
    <t>DATOS SEÑALADOS  POR SILVIA</t>
  </si>
  <si>
    <t>2-Factura 5417-Homecenter-varios</t>
  </si>
  <si>
    <t>DATOS  QUE FORMAN PARTE PARA LA  SUMA DE GASTOS -  TOTAL GASTOS  $1.800.031</t>
  </si>
  <si>
    <t>3-Factura 1308-Homecenter-varios</t>
  </si>
  <si>
    <t>Transporte, materiales de Homecenter a la casa azul. Ceràmica, pegacor, otros.</t>
  </si>
  <si>
    <t>Factura 79935- Electric lamparas s.a.s-compra nuevo contador monofasico 0019</t>
  </si>
  <si>
    <t>INFORME HASTA EL DIA 04 -02-2023 -   TOTAL GASTOS $1.800.031</t>
  </si>
  <si>
    <t>Factura 3253-Ferrenorte- varios</t>
  </si>
  <si>
    <t>Tornillos con chazos-agarraderas tuberia - no  factura</t>
  </si>
  <si>
    <t>Productos de aseo, para el mes, edificio, compra en la tienda</t>
  </si>
  <si>
    <t>Reg-0015-Ferrenorte-Uniones, codos, pegante-daño cocina</t>
  </si>
  <si>
    <t>Reg-0016-Ferrenorte-Union de reparación y union sencilla-daño cocina</t>
  </si>
  <si>
    <t>Anticipo Electrico - para legalizar el nuevo contador</t>
  </si>
  <si>
    <t>Factura 21147-Ferrenorte, Interruptor, 2kl cemento gris, abrazadera.</t>
  </si>
  <si>
    <t>Reg-0038-Ferrenorte-Caja con toma doble, puntillas, chazos y otros.</t>
  </si>
  <si>
    <t>Factura No. 3290-Ferrenorte-varios</t>
  </si>
  <si>
    <t>Fctura No. 01313- Certificado nomenclatura Secretaria de Hacienda municipal. Entregan en 5 dias habiles.</t>
  </si>
  <si>
    <t>Factura No. 01315- Certificado estratificacion Secretaria de Hacienda municipal. Entregan en 5 dàs habiles.</t>
  </si>
  <si>
    <t>Transporte, fotocopias e impresiòn documento de la casa para la solicitud de los certificados</t>
  </si>
  <si>
    <t>INGRESA ABONO -  ARRENDAMIENTO APTO 102</t>
  </si>
  <si>
    <t>Abono maestro Carlos-Yeferson- obra-casa azul</t>
  </si>
  <si>
    <t>Abrir Apartamento 303, desmontar chapa$30.000, instalar nueva chapa $35.000.</t>
  </si>
  <si>
    <t>Cancelar aseo Apto 102 , pintar muros, incluyendo tapar huecos a los muros con estuco.</t>
  </si>
  <si>
    <t>Cancelar aseo  Apto. 303, incluyendo tapar huecos a los muros con estuco.</t>
  </si>
  <si>
    <t>Factura No. JME23931-Dobladora y cortadora JM - 2 tejas de zinc</t>
  </si>
  <si>
    <t>Factura No. 72494-Homecenter- Bordillo en madera para machehembre  suelto en la cocina.</t>
  </si>
  <si>
    <t>Factura No. FE 47030-ferreteria los paisas-Chapa -  Habitaciòn principal-casa azul.</t>
  </si>
  <si>
    <t>Compra un toma-  cocina- sin factura.</t>
  </si>
  <si>
    <t>Compra manguera pyp 2ml   para el gas, y accesorios, union, codo. Para el buen funcionamiento  de la conexión de la estufa. No factura.</t>
  </si>
  <si>
    <t>Servicio de transporte - Moto taxi- Mario Amar Motta - CC. 12106434-Cel. 3102473058, compra materiales y accesorios cocina y tejas de zinc.</t>
  </si>
  <si>
    <t>Transporte de tejas a la casa azul - Mario Amar Motta - Cel. 3102473058</t>
  </si>
  <si>
    <t>Ajuste  porton-Carolina- APARTAMENTO AZUL</t>
  </si>
  <si>
    <t>Aseo de la casa azul para entregar a arrendatarios</t>
  </si>
  <si>
    <t>Instalacion nueva chapa - habitacion pp casa azul-Leonardo Vargas Cel. 3143637531</t>
  </si>
  <si>
    <t>Cancelacion saldo maestro-Carlos</t>
  </si>
  <si>
    <t>INGRESA SEPARAR APTO 303 - mas adelante no toma el Apto.</t>
  </si>
  <si>
    <t>INGRESA SALDO ARRENDAMIENTO APTO 102</t>
  </si>
  <si>
    <t>Cancelacion maestro Ildefonso</t>
  </si>
  <si>
    <t>Cancela recibo Luz Apto 303-17-02-2023-FACT- 75302799-</t>
  </si>
  <si>
    <t>Reclamar certificados- moto taxi+parqueadero - Mario Amar</t>
  </si>
  <si>
    <t>Compra, soporte tendedero Apto 102 - Factura electrònica</t>
  </si>
  <si>
    <t>Compra estufa a gas Apto 102 - Facura electronica</t>
  </si>
  <si>
    <t>Instalacion Estufa y tendedero Apto 102 - Recibo caja</t>
  </si>
  <si>
    <t>INGRESA - ARRENDAMIENTO APARTA ESTUDIO AZUL</t>
  </si>
  <si>
    <t>Cancelacion Saldo Alirio-Ferreteria-Recibo caja</t>
  </si>
  <si>
    <t>Certificado de tradiciòn y libertad -  Casa azul-200-115984-Papeleria Aldo</t>
  </si>
  <si>
    <t>Devolucion, dinero separa -  Apto 303- no lo toma - Recibo de caja</t>
  </si>
  <si>
    <t>INGRESO-GIRO- SILVIA PARA CANCELAR  FACTURAS SERVICIOS - BANCOLOMBIA.</t>
  </si>
  <si>
    <t>Agua Apto 303 - Factura 0051676369-Cont. 40565205- 24 Dic-2022 al  24 Ene-2022</t>
  </si>
  <si>
    <t>Gas Apto 303 - Factura 139923715-Cont 872189-22 Dic-2022 al 20 Ene-2023</t>
  </si>
  <si>
    <t>Cancelar 3 dìas de aseo Maria Alejandra- Apto 201 - inicio 26 de enero - hasta el dia 8 de febrero 2023 - no nos  colabora más.</t>
  </si>
  <si>
    <t>Luz - Apto 102 - Factura 75683533 - 04-ene-2023 al 03- febrero -2023</t>
  </si>
  <si>
    <t>INGRESO-GIRO- DON ANDRES - BANCOLOMBIA.</t>
  </si>
  <si>
    <t>Abono - Maestro Henrry - Impermeabilizar culata-giro don ANDRES</t>
  </si>
  <si>
    <t>INGRESO - ARRENDAMIENTO Apto 102 ($390.000) + Apto 301 ($490.000)…TOTAL $880.000.</t>
  </si>
  <si>
    <r>
      <rPr>
        <rFont val="Calibri"/>
        <color rgb="FF2F5496"/>
        <sz val="20.0"/>
      </rPr>
      <t>Cancelación Administración correspondiente mes enero ($152.000) febrero ($470.000) marzo ($387.000)=$1.009.000--</t>
    </r>
    <r>
      <rPr>
        <rFont val="Calibri"/>
        <b/>
        <color rgb="FF2F5496"/>
        <sz val="20.0"/>
        <u/>
      </rPr>
      <t>CASA AZUL $ 326.000--EDIFICIO $554.000</t>
    </r>
  </si>
  <si>
    <t>Cancelacion saldo maestro Henrry- arreglo daño tuberia interna, enchape area lavanderia, estucar y pintar.</t>
  </si>
  <si>
    <t>INGRESO - ARRENDAMIENTO Apto 201 ($490.000).</t>
  </si>
  <si>
    <r>
      <rPr>
        <rFont val="Calibri"/>
        <color rgb="FF2F5496"/>
        <sz val="20.0"/>
      </rPr>
      <t>Cancelación saldo y  Administración correspondiente mes abril ($449.000) -------</t>
    </r>
    <r>
      <rPr>
        <rFont val="Calibri"/>
        <b/>
        <color rgb="FF2F5496"/>
        <sz val="20.0"/>
        <u/>
      </rPr>
      <t>CASA AZUL $ 140.000--------EDIFICIO $309.000</t>
    </r>
    <r>
      <rPr>
        <rFont val="Calibri"/>
        <b/>
        <color rgb="FF2F5496"/>
        <sz val="20.0"/>
      </rPr>
      <t>--------$41.000 girar a Silvia.</t>
    </r>
  </si>
  <si>
    <t>INGRESO- ARRENDAMIENTO CASA AZUL ($850.000) + DEPOSITO (550.000)</t>
  </si>
  <si>
    <t>Cancelacion servicio de Aseo edificio periodo, 17 marzo al 17 de abril 2023 - Natalia Lagos Garay c.c. 1.081.402.203</t>
  </si>
  <si>
    <t>Suministro y aplicación veneno Rad + tiza - closet habitación.</t>
  </si>
  <si>
    <t>Suministro y arreglo closet, cambio de piezas, pintar parte exterior e interior, color blanco.</t>
  </si>
  <si>
    <t>Pintar habitación azul, obra lavadero (casa azul), instalacion flotador completo tanque elevado (casa azul).</t>
  </si>
  <si>
    <t>Suministro e instalacion de 3 lamparas led de sobreponer de 18v con sensores, verificacion suministro de energia edificio.</t>
  </si>
  <si>
    <t>Compra tendedero Apto azul</t>
  </si>
  <si>
    <t>Instalacion tendedero</t>
  </si>
  <si>
    <t>Compra lampara led 18 v</t>
  </si>
  <si>
    <t>Suministro e instalación de cortinero, recibidores extremos, cortina nueva. Area  ducha.</t>
  </si>
  <si>
    <t>Copia llave local 1</t>
  </si>
  <si>
    <t>Giro Nequi 3208515362-Silvia-Saldo - arrendamiento casa azul.</t>
  </si>
  <si>
    <t>Cancela saldo - Independizar contador. Cancela el saldo Electrico para la nueva cuenta del contador.</t>
  </si>
  <si>
    <t>INGRESO - ARRENDAMIENTO Apto 102 ($390.000).</t>
  </si>
  <si>
    <t>Cancelcion trabajo gotera casa y habitacion - maestro Carlos Moreno. C.C. 7.685.515</t>
  </si>
  <si>
    <t>CUENTA POR PAGAR</t>
  </si>
  <si>
    <t>FERRETERIA - ALIRIO…....materiales $124.0000…..........saldo final a cancelar</t>
  </si>
  <si>
    <t>OBSERVACIONES:</t>
  </si>
  <si>
    <t>APARTAMENTO 102….NO COBRARON LOS $62.000</t>
  </si>
  <si>
    <t>APARTAMENTO AZUL Y CASA AZUL….SE CANCELO EL 24 DE ABRIL $80.000 - ELECTRICO.</t>
  </si>
  <si>
    <t>INFORME DE ADMINISTRACION A FECHA DE HOY -  03-MAYO- 2023--2:29 PM.</t>
  </si>
  <si>
    <t>MES</t>
  </si>
  <si>
    <t>RECAUDO MENSUAL</t>
  </si>
  <si>
    <t>TOTAL</t>
  </si>
  <si>
    <t>TOTAL RECAUDADO 10%</t>
  </si>
  <si>
    <t>TOTAL CANCELADO</t>
  </si>
  <si>
    <t>SALDO A FAVOR ICDE</t>
  </si>
  <si>
    <t>ENERO</t>
  </si>
  <si>
    <t>FEBRERO</t>
  </si>
  <si>
    <t>MARZO</t>
  </si>
  <si>
    <t xml:space="preserve"> Se canceló con Apto 102 ($390) y 301 (490)</t>
  </si>
  <si>
    <t>ABRIL</t>
  </si>
  <si>
    <t xml:space="preserve">Se cancelo con Apto 201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</si>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</sst>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/>
    <font>
      <b/>
      <sz val="12.0"/>
      <color theme="1"/>
      <name val="Calibri"/>
    </font>
    <font>
      <b/>
      <sz val="10.0"/>
      <color theme="1"/>
      <name val="Calibri"/>
    </font>
    <font>
      <u/>
      <sz val="11.0"/>
      <color theme="1"/>
      <name val="Calibri"/>
    </font>
    <font>
      <sz val="14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sz val="20.0"/>
      <color rgb="FF2F5496"/>
      <name val="Calibri"/>
    </font>
    <font>
      <b/>
      <sz val="20.0"/>
      <color rgb="FF2F5496"/>
      <name val="Calibri"/>
    </font>
    <font>
      <b/>
      <sz val="22.0"/>
      <color rgb="FF2F5496"/>
      <name val="Calibri"/>
    </font>
    <font>
      <b/>
      <sz val="24.0"/>
      <color rgb="FF2F5496"/>
      <name val="Calibri"/>
    </font>
    <font>
      <sz val="20.0"/>
      <color rgb="FFC55A11"/>
      <name val="Calibri"/>
    </font>
    <font>
      <sz val="20.0"/>
      <color rgb="FF385623"/>
      <name val="Calibri"/>
    </font>
    <font>
      <sz val="20.0"/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</fills>
  <borders count="51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horizontal="right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right" vertical="center"/>
    </xf>
    <xf borderId="1" fillId="2" fontId="1" numFmtId="3" xfId="0" applyBorder="1" applyFont="1" applyNumberFormat="1"/>
    <xf borderId="1" fillId="2" fontId="3" numFmtId="3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3" fillId="2" fontId="2" numFmtId="3" xfId="0" applyAlignment="1" applyBorder="1" applyFont="1" applyNumberForma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1" fillId="2" fontId="1" numFmtId="0" xfId="0" applyAlignment="1" applyBorder="1" applyFont="1">
      <alignment horizontal="center"/>
    </xf>
    <xf borderId="1" fillId="2" fontId="3" numFmtId="3" xfId="0" applyAlignment="1" applyBorder="1" applyFont="1" applyNumberFormat="1">
      <alignment horizontal="center"/>
    </xf>
    <xf borderId="1" fillId="2" fontId="1" numFmtId="3" xfId="0" applyAlignment="1" applyBorder="1" applyFont="1" applyNumberFormat="1">
      <alignment horizont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readingOrder="0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right" shrinkToFit="0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7" numFmtId="0" xfId="0" applyBorder="1" applyFont="1"/>
    <xf borderId="13" fillId="2" fontId="8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left" readingOrder="0"/>
    </xf>
    <xf borderId="13" fillId="5" fontId="9" numFmtId="3" xfId="0" applyAlignment="1" applyBorder="1" applyFill="1" applyFont="1" applyNumberFormat="1">
      <alignment horizontal="center" readingOrder="0" vertical="center"/>
    </xf>
    <xf borderId="13" fillId="2" fontId="3" numFmtId="3" xfId="0" applyAlignment="1" applyBorder="1" applyFont="1" applyNumberFormat="1">
      <alignment horizontal="center"/>
    </xf>
    <xf borderId="13" fillId="2" fontId="3" numFmtId="0" xfId="0" applyAlignment="1" applyBorder="1" applyFont="1">
      <alignment horizontal="right" vertical="center"/>
    </xf>
    <xf borderId="1" fillId="2" fontId="1" numFmtId="16" xfId="0" applyAlignment="1" applyBorder="1" applyFont="1" applyNumberFormat="1">
      <alignment horizontal="center"/>
    </xf>
    <xf borderId="13" fillId="2" fontId="3" numFmtId="15" xfId="0" applyAlignment="1" applyBorder="1" applyFont="1" applyNumberFormat="1">
      <alignment horizontal="center" readingOrder="0" vertical="center"/>
    </xf>
    <xf borderId="13" fillId="2" fontId="3" numFmtId="0" xfId="0" applyAlignment="1" applyBorder="1" applyFont="1">
      <alignment horizontal="left" readingOrder="0" shrinkToFit="0" vertical="center" wrapText="1"/>
    </xf>
    <xf borderId="13" fillId="2" fontId="3" numFmtId="3" xfId="0" applyAlignment="1" applyBorder="1" applyFont="1" applyNumberFormat="1">
      <alignment horizontal="center" readingOrder="0" vertical="center"/>
    </xf>
    <xf borderId="13" fillId="2" fontId="3" numFmtId="0" xfId="0" applyAlignment="1" applyBorder="1" applyFont="1">
      <alignment horizontal="right" readingOrder="0" vertical="center"/>
    </xf>
    <xf borderId="13" fillId="6" fontId="9" numFmtId="3" xfId="0" applyAlignment="1" applyBorder="1" applyFill="1" applyFont="1" applyNumberFormat="1">
      <alignment horizontal="center" readingOrder="0" vertical="center"/>
    </xf>
    <xf borderId="3" fillId="2" fontId="1" numFmtId="0" xfId="0" applyBorder="1" applyFont="1"/>
    <xf borderId="13" fillId="0" fontId="10" numFmtId="0" xfId="0" applyBorder="1" applyFont="1"/>
    <xf borderId="13" fillId="7" fontId="9" numFmtId="3" xfId="0" applyAlignment="1" applyBorder="1" applyFill="1" applyFont="1" applyNumberFormat="1">
      <alignment horizontal="center" readingOrder="0" vertical="center"/>
    </xf>
    <xf borderId="1" fillId="7" fontId="1" numFmtId="0" xfId="0" applyAlignment="1" applyBorder="1" applyFont="1">
      <alignment horizontal="center"/>
    </xf>
    <xf borderId="13" fillId="7" fontId="3" numFmtId="0" xfId="0" applyAlignment="1" applyBorder="1" applyFont="1">
      <alignment horizontal="center" vertical="center"/>
    </xf>
    <xf borderId="13" fillId="7" fontId="3" numFmtId="0" xfId="0" applyAlignment="1" applyBorder="1" applyFont="1">
      <alignment horizontal="left"/>
    </xf>
    <xf borderId="13" fillId="7" fontId="3" numFmtId="3" xfId="0" applyAlignment="1" applyBorder="1" applyFont="1" applyNumberFormat="1">
      <alignment horizontal="right"/>
    </xf>
    <xf borderId="13" fillId="7" fontId="3" numFmtId="3" xfId="0" applyAlignment="1" applyBorder="1" applyFont="1" applyNumberFormat="1">
      <alignment horizontal="right" vertical="center"/>
    </xf>
    <xf borderId="13" fillId="7" fontId="5" numFmtId="0" xfId="0" applyAlignment="1" applyBorder="1" applyFont="1">
      <alignment horizontal="left" readingOrder="0"/>
    </xf>
    <xf borderId="13" fillId="7" fontId="1" numFmtId="0" xfId="0" applyBorder="1" applyFont="1"/>
    <xf borderId="13" fillId="7" fontId="3" numFmtId="15" xfId="0" applyAlignment="1" applyBorder="1" applyFont="1" applyNumberFormat="1">
      <alignment horizontal="center" vertical="center"/>
    </xf>
    <xf borderId="13" fillId="7" fontId="3" numFmtId="0" xfId="0" applyAlignment="1" applyBorder="1" applyFont="1">
      <alignment horizontal="left" shrinkToFit="0" wrapText="1"/>
    </xf>
    <xf borderId="13" fillId="7" fontId="3" numFmtId="0" xfId="0" applyBorder="1" applyFont="1"/>
    <xf borderId="13" fillId="7" fontId="3" numFmtId="0" xfId="0" applyAlignment="1" applyBorder="1" applyFont="1">
      <alignment shrinkToFit="0" vertical="center" wrapText="1"/>
    </xf>
    <xf borderId="13" fillId="7" fontId="3" numFmtId="0" xfId="0" applyAlignment="1" applyBorder="1" applyFont="1">
      <alignment vertical="center"/>
    </xf>
    <xf borderId="1" fillId="7" fontId="11" numFmtId="0" xfId="0" applyAlignment="1" applyBorder="1" applyFont="1">
      <alignment horizontal="center" shrinkToFit="0" vertical="center" wrapText="1"/>
    </xf>
    <xf borderId="1" fillId="7" fontId="11" numFmtId="3" xfId="0" applyAlignment="1" applyBorder="1" applyFont="1" applyNumberFormat="1">
      <alignment horizontal="center" shrinkToFit="0" wrapText="1"/>
    </xf>
    <xf borderId="1" fillId="2" fontId="1" numFmtId="0" xfId="0" applyAlignment="1" applyBorder="1" applyFont="1">
      <alignment horizontal="center" vertical="center"/>
    </xf>
    <xf borderId="1" fillId="2" fontId="1" numFmtId="3" xfId="0" applyAlignment="1" applyBorder="1" applyFont="1" applyNumberFormat="1">
      <alignment horizontal="center" vertical="center"/>
    </xf>
    <xf borderId="13" fillId="7" fontId="1" numFmtId="0" xfId="0" applyAlignment="1" applyBorder="1" applyFont="1">
      <alignment shrinkToFit="0" wrapText="1"/>
    </xf>
    <xf borderId="13" fillId="7" fontId="1" numFmtId="3" xfId="0" applyBorder="1" applyFont="1" applyNumberFormat="1"/>
    <xf borderId="13" fillId="7" fontId="1" numFmtId="3" xfId="0" applyAlignment="1" applyBorder="1" applyFont="1" applyNumberFormat="1">
      <alignment vertical="center"/>
    </xf>
    <xf borderId="1" fillId="7" fontId="1" numFmtId="3" xfId="0" applyAlignment="1" applyBorder="1" applyFont="1" applyNumberFormat="1">
      <alignment horizontal="center"/>
    </xf>
    <xf borderId="13" fillId="7" fontId="1" numFmtId="0" xfId="0" applyAlignment="1" applyBorder="1" applyFont="1">
      <alignment shrinkToFit="0" vertical="center" wrapText="1"/>
    </xf>
    <xf borderId="13" fillId="7" fontId="3" numFmtId="3" xfId="0" applyBorder="1" applyFont="1" applyNumberFormat="1"/>
    <xf borderId="13" fillId="7" fontId="3" numFmtId="3" xfId="0" applyAlignment="1" applyBorder="1" applyFont="1" applyNumberFormat="1">
      <alignment horizontal="center"/>
    </xf>
    <xf borderId="13" fillId="7" fontId="3" numFmtId="0" xfId="0" applyAlignment="1" applyBorder="1" applyFont="1">
      <alignment horizontal="right" vertical="center"/>
    </xf>
    <xf borderId="1" fillId="7" fontId="1" numFmtId="3" xfId="0" applyBorder="1" applyFont="1" applyNumberFormat="1"/>
    <xf borderId="1" fillId="7" fontId="1" numFmtId="0" xfId="0" applyBorder="1" applyFont="1"/>
    <xf borderId="13" fillId="7" fontId="3" numFmtId="3" xfId="0" applyAlignment="1" applyBorder="1" applyFont="1" applyNumberFormat="1">
      <alignment horizontal="center" vertical="center"/>
    </xf>
    <xf borderId="1" fillId="7" fontId="1" numFmtId="0" xfId="0" applyAlignment="1" applyBorder="1" applyFont="1">
      <alignment horizontal="center" shrinkToFit="0" vertical="center" wrapText="1"/>
    </xf>
    <xf borderId="13" fillId="7" fontId="3" numFmtId="0" xfId="0" applyAlignment="1" applyBorder="1" applyFont="1">
      <alignment horizontal="left" shrinkToFit="0" vertical="center" wrapText="1"/>
    </xf>
    <xf borderId="13" fillId="7" fontId="8" numFmtId="0" xfId="0" applyAlignment="1" applyBorder="1" applyFont="1">
      <alignment horizontal="center" vertical="center"/>
    </xf>
    <xf borderId="13" fillId="7" fontId="3" numFmtId="15" xfId="0" applyAlignment="1" applyBorder="1" applyFont="1" applyNumberFormat="1">
      <alignment horizontal="center" readingOrder="0" vertical="center"/>
    </xf>
    <xf borderId="13" fillId="7" fontId="3" numFmtId="0" xfId="0" applyAlignment="1" applyBorder="1" applyFont="1">
      <alignment horizontal="left" readingOrder="0" shrinkToFit="0" vertical="center" wrapText="1"/>
    </xf>
    <xf borderId="13" fillId="7" fontId="3" numFmtId="3" xfId="0" applyAlignment="1" applyBorder="1" applyFont="1" applyNumberFormat="1">
      <alignment horizontal="center" readingOrder="0" vertical="center"/>
    </xf>
    <xf borderId="13" fillId="7" fontId="3" numFmtId="0" xfId="0" applyAlignment="1" applyBorder="1" applyFont="1">
      <alignment horizontal="right" readingOrder="0" vertical="center"/>
    </xf>
    <xf borderId="13" fillId="7" fontId="3" numFmtId="0" xfId="0" applyAlignment="1" applyBorder="1" applyFont="1">
      <alignment horizontal="right"/>
    </xf>
    <xf borderId="13" fillId="7" fontId="12" numFmtId="0" xfId="0" applyAlignment="1" applyBorder="1" applyFont="1">
      <alignment horizontal="center"/>
    </xf>
    <xf borderId="1" fillId="7" fontId="8" numFmtId="0" xfId="0" applyAlignment="1" applyBorder="1" applyFont="1">
      <alignment horizontal="center" vertical="center"/>
    </xf>
    <xf borderId="1" fillId="7" fontId="12" numFmtId="0" xfId="0" applyAlignment="1" applyBorder="1" applyFont="1">
      <alignment horizontal="center"/>
    </xf>
    <xf borderId="1" fillId="7" fontId="3" numFmtId="3" xfId="0" applyAlignment="1" applyBorder="1" applyFont="1" applyNumberFormat="1">
      <alignment horizontal="center"/>
    </xf>
    <xf borderId="1" fillId="7" fontId="3" numFmtId="0" xfId="0" applyAlignment="1" applyBorder="1" applyFont="1">
      <alignment horizontal="right" vertical="center"/>
    </xf>
    <xf borderId="1" fillId="7" fontId="3" numFmtId="0" xfId="0" applyAlignment="1" applyBorder="1" applyFont="1">
      <alignment horizontal="right"/>
    </xf>
    <xf borderId="1" fillId="7" fontId="3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right"/>
    </xf>
    <xf borderId="1" fillId="2" fontId="2" numFmtId="3" xfId="0" applyAlignment="1" applyBorder="1" applyFont="1" applyNumberFormat="1">
      <alignment horizontal="center" vertical="center"/>
    </xf>
    <xf borderId="1" fillId="2" fontId="2" numFmtId="3" xfId="0" applyAlignment="1" applyBorder="1" applyFont="1" applyNumberFormat="1">
      <alignment horizontal="right" vertical="center"/>
    </xf>
    <xf borderId="13" fillId="2" fontId="3" numFmtId="0" xfId="0" applyAlignment="1" applyBorder="1" applyFont="1">
      <alignment horizontal="center" vertical="center"/>
    </xf>
    <xf borderId="13" fillId="3" fontId="3" numFmtId="3" xfId="0" applyAlignment="1" applyBorder="1" applyFont="1" applyNumberFormat="1">
      <alignment horizontal="right"/>
    </xf>
    <xf borderId="13" fillId="2" fontId="1" numFmtId="0" xfId="0" applyAlignment="1" applyBorder="1" applyFont="1">
      <alignment horizontal="right"/>
    </xf>
    <xf borderId="13" fillId="2" fontId="1" numFmtId="3" xfId="0" applyAlignment="1" applyBorder="1" applyFont="1" applyNumberFormat="1">
      <alignment horizontal="right"/>
    </xf>
    <xf borderId="13" fillId="2" fontId="3" numFmtId="0" xfId="0" applyAlignment="1" applyBorder="1" applyFont="1">
      <alignment horizontal="left"/>
    </xf>
    <xf borderId="13" fillId="2" fontId="3" numFmtId="3" xfId="0" applyAlignment="1" applyBorder="1" applyFont="1" applyNumberFormat="1">
      <alignment horizontal="right"/>
    </xf>
    <xf borderId="13" fillId="2" fontId="3" numFmtId="3" xfId="0" applyAlignment="1" applyBorder="1" applyFont="1" applyNumberFormat="1">
      <alignment horizontal="right" vertical="center"/>
    </xf>
    <xf borderId="13" fillId="2" fontId="3" numFmtId="0" xfId="0" applyAlignment="1" applyBorder="1" applyFont="1">
      <alignment horizontal="left" shrinkToFit="0" wrapText="1"/>
    </xf>
    <xf borderId="13" fillId="2" fontId="1" numFmtId="0" xfId="0" applyBorder="1" applyFont="1"/>
    <xf borderId="13" fillId="2" fontId="3" numFmtId="15" xfId="0" applyAlignment="1" applyBorder="1" applyFont="1" applyNumberFormat="1">
      <alignment horizontal="center" vertical="center"/>
    </xf>
    <xf borderId="13" fillId="2" fontId="3" numFmtId="0" xfId="0" applyBorder="1" applyFont="1"/>
    <xf borderId="13" fillId="2" fontId="3" numFmtId="0" xfId="0" applyAlignment="1" applyBorder="1" applyFont="1">
      <alignment shrinkToFit="0" vertical="center" wrapText="1"/>
    </xf>
    <xf borderId="13" fillId="2" fontId="3" numFmtId="0" xfId="0" applyAlignment="1" applyBorder="1" applyFont="1">
      <alignment vertical="center"/>
    </xf>
    <xf borderId="1" fillId="2" fontId="11" numFmtId="0" xfId="0" applyAlignment="1" applyBorder="1" applyFont="1">
      <alignment horizontal="center" shrinkToFit="0" vertical="center" wrapText="1"/>
    </xf>
    <xf borderId="1" fillId="2" fontId="11" numFmtId="3" xfId="0" applyAlignment="1" applyBorder="1" applyFont="1" applyNumberFormat="1">
      <alignment horizontal="center" shrinkToFit="0" wrapText="1"/>
    </xf>
    <xf borderId="13" fillId="2" fontId="1" numFmtId="0" xfId="0" applyAlignment="1" applyBorder="1" applyFont="1">
      <alignment shrinkToFit="0" wrapText="1"/>
    </xf>
    <xf borderId="13" fillId="2" fontId="1" numFmtId="3" xfId="0" applyBorder="1" applyFont="1" applyNumberFormat="1"/>
    <xf borderId="13" fillId="2" fontId="1" numFmtId="3" xfId="0" applyAlignment="1" applyBorder="1" applyFont="1" applyNumberFormat="1">
      <alignment vertical="center"/>
    </xf>
    <xf borderId="13" fillId="2" fontId="1" numFmtId="0" xfId="0" applyAlignment="1" applyBorder="1" applyFont="1">
      <alignment shrinkToFit="0" vertical="center" wrapText="1"/>
    </xf>
    <xf borderId="13" fillId="2" fontId="3" numFmtId="3" xfId="0" applyBorder="1" applyFont="1" applyNumberFormat="1"/>
    <xf borderId="13" fillId="8" fontId="3" numFmtId="3" xfId="0" applyAlignment="1" applyBorder="1" applyFill="1" applyFont="1" applyNumberFormat="1">
      <alignment horizontal="center"/>
    </xf>
    <xf borderId="13" fillId="2" fontId="3" numFmtId="3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left" shrinkToFit="0" vertical="center" wrapText="1"/>
    </xf>
    <xf borderId="13" fillId="3" fontId="3" numFmtId="3" xfId="0" applyAlignment="1" applyBorder="1" applyFont="1" applyNumberFormat="1">
      <alignment horizontal="center"/>
    </xf>
    <xf borderId="13" fillId="2" fontId="3" numFmtId="0" xfId="0" applyAlignment="1" applyBorder="1" applyFont="1">
      <alignment horizontal="right"/>
    </xf>
    <xf borderId="13" fillId="2" fontId="12" numFmtId="0" xfId="0" applyAlignment="1" applyBorder="1" applyFont="1">
      <alignment horizontal="center"/>
    </xf>
    <xf borderId="1" fillId="2" fontId="3" numFmtId="0" xfId="0" applyAlignment="1" applyBorder="1" applyFont="1">
      <alignment horizontal="right" vertical="center"/>
    </xf>
    <xf borderId="0" fillId="0" fontId="13" numFmtId="0" xfId="0" applyAlignment="1" applyFont="1">
      <alignment vertical="center"/>
    </xf>
    <xf borderId="14" fillId="0" fontId="14" numFmtId="14" xfId="0" applyAlignment="1" applyBorder="1" applyFont="1" applyNumberFormat="1">
      <alignment horizontal="center" vertical="center"/>
    </xf>
    <xf borderId="15" fillId="0" fontId="14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15" numFmtId="3" xfId="0" applyAlignment="1" applyBorder="1" applyFont="1" applyNumberFormat="1">
      <alignment horizontal="center" vertical="center"/>
    </xf>
    <xf borderId="18" fillId="9" fontId="15" numFmtId="3" xfId="0" applyAlignment="1" applyBorder="1" applyFill="1" applyFont="1" applyNumberFormat="1">
      <alignment vertical="center"/>
    </xf>
    <xf borderId="19" fillId="9" fontId="15" numFmtId="3" xfId="0" applyAlignment="1" applyBorder="1" applyFont="1" applyNumberFormat="1">
      <alignment vertical="center"/>
    </xf>
    <xf borderId="20" fillId="9" fontId="15" numFmtId="3" xfId="0" applyAlignment="1" applyBorder="1" applyFont="1" applyNumberFormat="1">
      <alignment vertical="center"/>
    </xf>
    <xf borderId="13" fillId="10" fontId="15" numFmtId="3" xfId="0" applyAlignment="1" applyBorder="1" applyFill="1" applyFont="1" applyNumberFormat="1">
      <alignment horizontal="center" vertical="center"/>
    </xf>
    <xf borderId="13" fillId="9" fontId="15" numFmtId="3" xfId="0" applyAlignment="1" applyBorder="1" applyFont="1" applyNumberFormat="1">
      <alignment vertical="center"/>
    </xf>
    <xf borderId="13" fillId="0" fontId="15" numFmtId="3" xfId="0" applyAlignment="1" applyBorder="1" applyFont="1" applyNumberForma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10" fillId="0" fontId="14" numFmtId="0" xfId="0" applyAlignment="1" applyBorder="1" applyFont="1">
      <alignment horizontal="center" shrinkToFit="0" vertical="center" wrapText="1"/>
    </xf>
    <xf borderId="24" fillId="11" fontId="14" numFmtId="0" xfId="0" applyAlignment="1" applyBorder="1" applyFill="1" applyFont="1">
      <alignment horizontal="center" shrinkToFit="0" vertical="center" wrapText="1"/>
    </xf>
    <xf borderId="24" fillId="0" fontId="14" numFmtId="0" xfId="0" applyAlignment="1" applyBorder="1" applyFont="1">
      <alignment horizontal="center" vertical="center"/>
    </xf>
    <xf borderId="25" fillId="0" fontId="14" numFmtId="0" xfId="0" applyAlignment="1" applyBorder="1" applyFont="1">
      <alignment horizontal="center" vertical="center"/>
    </xf>
    <xf borderId="13" fillId="2" fontId="14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horizontal="center" shrinkToFit="0" vertical="center" wrapText="1"/>
    </xf>
    <xf borderId="26" fillId="2" fontId="13" numFmtId="0" xfId="0" applyAlignment="1" applyBorder="1" applyFont="1">
      <alignment horizontal="center" vertical="center"/>
    </xf>
    <xf borderId="27" fillId="0" fontId="4" numFmtId="0" xfId="0" applyBorder="1" applyFont="1"/>
    <xf borderId="28" fillId="0" fontId="4" numFmtId="0" xfId="0" applyBorder="1" applyFont="1"/>
    <xf borderId="29" fillId="2" fontId="13" numFmtId="3" xfId="0" applyAlignment="1" applyBorder="1" applyFont="1" applyNumberFormat="1">
      <alignment horizontal="center" vertical="center"/>
    </xf>
    <xf borderId="12" fillId="2" fontId="13" numFmtId="3" xfId="0" applyAlignment="1" applyBorder="1" applyFont="1" applyNumberFormat="1">
      <alignment vertical="center"/>
    </xf>
    <xf borderId="30" fillId="0" fontId="13" numFmtId="3" xfId="0" applyAlignment="1" applyBorder="1" applyFont="1" applyNumberFormat="1">
      <alignment vertical="center"/>
    </xf>
    <xf borderId="31" fillId="12" fontId="14" numFmtId="15" xfId="0" applyAlignment="1" applyBorder="1" applyFill="1" applyFont="1" applyNumberFormat="1">
      <alignment horizontal="center" vertical="center"/>
    </xf>
    <xf borderId="32" fillId="12" fontId="14" numFmtId="0" xfId="0" applyAlignment="1" applyBorder="1" applyFont="1">
      <alignment horizontal="left" vertical="center"/>
    </xf>
    <xf borderId="33" fillId="0" fontId="4" numFmtId="0" xfId="0" applyBorder="1" applyFont="1"/>
    <xf borderId="34" fillId="2" fontId="13" numFmtId="3" xfId="0" applyAlignment="1" applyBorder="1" applyFont="1" applyNumberFormat="1">
      <alignment horizontal="right" vertical="center"/>
    </xf>
    <xf borderId="13" fillId="2" fontId="13" numFmtId="3" xfId="0" applyAlignment="1" applyBorder="1" applyFont="1" applyNumberFormat="1">
      <alignment vertical="center"/>
    </xf>
    <xf borderId="13" fillId="0" fontId="13" numFmtId="3" xfId="0" applyAlignment="1" applyBorder="1" applyFont="1" applyNumberFormat="1">
      <alignment vertical="center"/>
    </xf>
    <xf borderId="13" fillId="2" fontId="13" numFmtId="164" xfId="0" applyAlignment="1" applyBorder="1" applyFont="1" applyNumberFormat="1">
      <alignment horizontal="center" vertical="center"/>
    </xf>
    <xf borderId="35" fillId="2" fontId="13" numFmtId="0" xfId="0" applyAlignment="1" applyBorder="1" applyFont="1">
      <alignment horizontal="left" shrinkToFit="0" vertical="center" wrapText="1"/>
    </xf>
    <xf borderId="36" fillId="0" fontId="4" numFmtId="0" xfId="0" applyBorder="1" applyFont="1"/>
    <xf borderId="13" fillId="13" fontId="13" numFmtId="3" xfId="0" applyAlignment="1" applyBorder="1" applyFill="1" applyFont="1" applyNumberFormat="1">
      <alignment vertical="center"/>
    </xf>
    <xf borderId="35" fillId="2" fontId="13" numFmtId="0" xfId="0" applyAlignment="1" applyBorder="1" applyFont="1">
      <alignment horizontal="left" vertical="center"/>
    </xf>
    <xf borderId="0" fillId="0" fontId="13" numFmtId="3" xfId="0" applyAlignment="1" applyFont="1" applyNumberFormat="1">
      <alignment vertical="center"/>
    </xf>
    <xf borderId="37" fillId="2" fontId="13" numFmtId="3" xfId="0" applyAlignment="1" applyBorder="1" applyFont="1" applyNumberFormat="1">
      <alignment horizontal="right" vertical="center"/>
    </xf>
    <xf borderId="38" fillId="2" fontId="13" numFmtId="3" xfId="0" applyAlignment="1" applyBorder="1" applyFont="1" applyNumberFormat="1">
      <alignment vertical="center"/>
    </xf>
    <xf borderId="39" fillId="0" fontId="13" numFmtId="3" xfId="0" applyAlignment="1" applyBorder="1" applyFont="1" applyNumberFormat="1">
      <alignment vertical="center"/>
    </xf>
    <xf borderId="13" fillId="8" fontId="15" numFmtId="3" xfId="0" applyAlignment="1" applyBorder="1" applyFont="1" applyNumberFormat="1">
      <alignment vertical="center"/>
    </xf>
    <xf borderId="0" fillId="0" fontId="15" numFmtId="0" xfId="0" applyAlignment="1" applyFont="1">
      <alignment horizontal="left" vertical="center"/>
    </xf>
    <xf borderId="13" fillId="0" fontId="13" numFmtId="164" xfId="0" applyAlignment="1" applyBorder="1" applyFont="1" applyNumberFormat="1">
      <alignment horizontal="center" vertical="center"/>
    </xf>
    <xf borderId="35" fillId="8" fontId="14" numFmtId="0" xfId="0" applyAlignment="1" applyBorder="1" applyFont="1">
      <alignment horizontal="left" vertical="center"/>
    </xf>
    <xf borderId="13" fillId="8" fontId="13" numFmtId="3" xfId="0" applyAlignment="1" applyBorder="1" applyFont="1" applyNumberFormat="1">
      <alignment horizontal="right" vertical="center"/>
    </xf>
    <xf borderId="0" fillId="0" fontId="15" numFmtId="0" xfId="0" applyAlignment="1" applyFont="1">
      <alignment vertical="center"/>
    </xf>
    <xf borderId="13" fillId="2" fontId="13" numFmtId="3" xfId="0" applyAlignment="1" applyBorder="1" applyFont="1" applyNumberFormat="1">
      <alignment horizontal="right" vertical="center"/>
    </xf>
    <xf borderId="13" fillId="4" fontId="13" numFmtId="3" xfId="0" applyAlignment="1" applyBorder="1" applyFont="1" applyNumberFormat="1">
      <alignment horizontal="right" vertical="center"/>
    </xf>
    <xf borderId="13" fillId="4" fontId="15" numFmtId="3" xfId="0" applyAlignment="1" applyBorder="1" applyFont="1" applyNumberFormat="1">
      <alignment vertical="center"/>
    </xf>
    <xf borderId="13" fillId="2" fontId="13" numFmtId="0" xfId="0" applyAlignment="1" applyBorder="1" applyFont="1">
      <alignment vertical="center"/>
    </xf>
    <xf borderId="13" fillId="13" fontId="15" numFmtId="3" xfId="0" applyAlignment="1" applyBorder="1" applyFont="1" applyNumberFormat="1">
      <alignment vertical="center"/>
    </xf>
    <xf borderId="0" fillId="0" fontId="16" numFmtId="3" xfId="0" applyAlignment="1" applyFont="1" applyNumberFormat="1">
      <alignment vertical="center"/>
    </xf>
    <xf borderId="35" fillId="2" fontId="13" numFmtId="3" xfId="0" applyAlignment="1" applyBorder="1" applyFont="1" applyNumberFormat="1">
      <alignment horizontal="left" shrinkToFit="0" vertical="center" wrapText="1"/>
    </xf>
    <xf borderId="13" fillId="2" fontId="13" numFmtId="3" xfId="0" applyAlignment="1" applyBorder="1" applyFont="1" applyNumberFormat="1">
      <alignment horizontal="right" shrinkToFit="0" vertical="center" wrapText="1"/>
    </xf>
    <xf borderId="13" fillId="13" fontId="13" numFmtId="3" xfId="0" applyAlignment="1" applyBorder="1" applyFont="1" applyNumberFormat="1">
      <alignment horizontal="right" vertical="center"/>
    </xf>
    <xf borderId="40" fillId="0" fontId="16" numFmtId="3" xfId="0" applyAlignment="1" applyBorder="1" applyFont="1" applyNumberFormat="1">
      <alignment horizontal="center" shrinkToFit="0" vertical="center" wrapText="1"/>
    </xf>
    <xf borderId="13" fillId="0" fontId="13" numFmtId="3" xfId="0" applyAlignment="1" applyBorder="1" applyFont="1" applyNumberFormat="1">
      <alignment horizontal="right" vertical="center"/>
    </xf>
    <xf borderId="1" fillId="2" fontId="13" numFmtId="0" xfId="0" applyAlignment="1" applyBorder="1" applyFont="1">
      <alignment vertical="center"/>
    </xf>
    <xf borderId="1" fillId="2" fontId="13" numFmtId="3" xfId="0" applyAlignment="1" applyBorder="1" applyFont="1" applyNumberFormat="1">
      <alignment horizontal="right" vertical="center"/>
    </xf>
    <xf borderId="1" fillId="2" fontId="13" numFmtId="3" xfId="0" applyAlignment="1" applyBorder="1" applyFont="1" applyNumberFormat="1">
      <alignment vertical="center"/>
    </xf>
    <xf borderId="0" fillId="0" fontId="17" numFmtId="3" xfId="0" applyAlignment="1" applyFont="1" applyNumberFormat="1">
      <alignment vertical="center"/>
    </xf>
    <xf borderId="1" fillId="2" fontId="13" numFmtId="164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left" shrinkToFit="0" vertical="center" wrapText="1"/>
    </xf>
    <xf borderId="1" fillId="2" fontId="13" numFmtId="3" xfId="0" applyAlignment="1" applyBorder="1" applyFont="1" applyNumberFormat="1">
      <alignment horizontal="right" shrinkToFit="0" vertical="center" wrapText="1"/>
    </xf>
    <xf borderId="1" fillId="2" fontId="17" numFmtId="3" xfId="0" applyAlignment="1" applyBorder="1" applyFont="1" applyNumberFormat="1">
      <alignment vertical="center"/>
    </xf>
    <xf borderId="13" fillId="12" fontId="14" numFmtId="14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vertical="center"/>
    </xf>
    <xf borderId="13" fillId="0" fontId="13" numFmtId="14" xfId="0" applyAlignment="1" applyBorder="1" applyFont="1" applyNumberFormat="1">
      <alignment horizontal="center" vertical="center"/>
    </xf>
    <xf borderId="13" fillId="2" fontId="13" numFmtId="0" xfId="0" applyAlignment="1" applyBorder="1" applyFont="1">
      <alignment horizontal="right" vertical="center"/>
    </xf>
    <xf borderId="35" fillId="0" fontId="13" numFmtId="14" xfId="0" applyAlignment="1" applyBorder="1" applyFont="1" applyNumberFormat="1">
      <alignment horizontal="center" vertical="center"/>
    </xf>
    <xf borderId="41" fillId="2" fontId="13" numFmtId="0" xfId="0" applyAlignment="1" applyBorder="1" applyFont="1">
      <alignment vertical="center"/>
    </xf>
    <xf borderId="34" fillId="2" fontId="13" numFmtId="0" xfId="0" applyAlignment="1" applyBorder="1" applyFont="1">
      <alignment vertical="center"/>
    </xf>
    <xf borderId="34" fillId="2" fontId="13" numFmtId="0" xfId="0" applyAlignment="1" applyBorder="1" applyFont="1">
      <alignment horizontal="right" vertical="center"/>
    </xf>
    <xf borderId="13" fillId="13" fontId="13" numFmtId="0" xfId="0" applyAlignment="1" applyBorder="1" applyFont="1">
      <alignment vertical="center"/>
    </xf>
    <xf borderId="35" fillId="0" fontId="13" numFmtId="164" xfId="0" applyAlignment="1" applyBorder="1" applyFont="1" applyNumberFormat="1">
      <alignment horizontal="center" vertical="center"/>
    </xf>
    <xf borderId="34" fillId="2" fontId="13" numFmtId="0" xfId="0" applyAlignment="1" applyBorder="1" applyFont="1">
      <alignment horizontal="right" shrinkToFit="0" vertical="center" wrapText="1"/>
    </xf>
    <xf borderId="34" fillId="2" fontId="13" numFmtId="0" xfId="0" applyAlignment="1" applyBorder="1" applyFont="1">
      <alignment horizontal="center" vertical="center"/>
    </xf>
    <xf borderId="13" fillId="4" fontId="13" numFmtId="3" xfId="0" applyAlignment="1" applyBorder="1" applyFont="1" applyNumberFormat="1">
      <alignment vertical="center"/>
    </xf>
    <xf borderId="13" fillId="2" fontId="13" numFmtId="0" xfId="0" applyAlignment="1" applyBorder="1" applyFont="1">
      <alignment horizontal="right" shrinkToFit="0" vertical="center" wrapText="1"/>
    </xf>
    <xf borderId="1" fillId="2" fontId="13" numFmtId="0" xfId="0" applyAlignment="1" applyBorder="1" applyFont="1">
      <alignment horizontal="right" vertical="center"/>
    </xf>
    <xf borderId="42" fillId="0" fontId="13" numFmtId="14" xfId="0" applyAlignment="1" applyBorder="1" applyFont="1" applyNumberFormat="1">
      <alignment horizontal="center" vertical="center"/>
    </xf>
    <xf borderId="13" fillId="0" fontId="13" numFmtId="0" xfId="0" applyAlignment="1" applyBorder="1" applyFont="1">
      <alignment vertical="center"/>
    </xf>
    <xf borderId="1" fillId="2" fontId="13" numFmtId="0" xfId="0" applyAlignment="1" applyBorder="1" applyFont="1">
      <alignment horizontal="right" shrinkToFit="0" vertical="center" wrapText="1"/>
    </xf>
    <xf borderId="1" fillId="2" fontId="13" numFmtId="0" xfId="0" applyAlignment="1" applyBorder="1" applyFont="1">
      <alignment horizontal="center" vertical="center"/>
    </xf>
    <xf borderId="13" fillId="2" fontId="18" numFmtId="0" xfId="0" applyAlignment="1" applyBorder="1" applyFont="1">
      <alignment vertical="center"/>
    </xf>
    <xf borderId="35" fillId="0" fontId="13" numFmtId="0" xfId="0" applyAlignment="1" applyBorder="1" applyFont="1">
      <alignment horizontal="left" shrinkToFit="0" vertical="center" wrapText="1"/>
    </xf>
    <xf borderId="35" fillId="0" fontId="13" numFmtId="0" xfId="0" applyAlignment="1" applyBorder="1" applyFont="1">
      <alignment horizontal="left" vertical="center"/>
    </xf>
    <xf borderId="1" fillId="2" fontId="18" numFmtId="3" xfId="0" applyAlignment="1" applyBorder="1" applyFont="1" applyNumberFormat="1">
      <alignment vertical="center"/>
    </xf>
    <xf borderId="0" fillId="0" fontId="13" numFmtId="14" xfId="0" applyAlignment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1" fillId="2" fontId="18" numFmtId="0" xfId="0" applyAlignment="1" applyBorder="1" applyFont="1">
      <alignment vertical="center"/>
    </xf>
    <xf borderId="35" fillId="12" fontId="14" numFmtId="0" xfId="0" applyAlignment="1" applyBorder="1" applyFont="1">
      <alignment horizontal="left" shrinkToFit="0" vertical="center" wrapText="1"/>
    </xf>
    <xf borderId="13" fillId="2" fontId="13" numFmtId="14" xfId="0" applyAlignment="1" applyBorder="1" applyFont="1" applyNumberFormat="1">
      <alignment horizontal="center" vertical="center"/>
    </xf>
    <xf borderId="1" fillId="2" fontId="13" numFmtId="14" xfId="0" applyAlignment="1" applyBorder="1" applyFont="1" applyNumberFormat="1">
      <alignment horizontal="center" vertical="center"/>
    </xf>
    <xf borderId="38" fillId="12" fontId="14" numFmtId="0" xfId="0" applyAlignment="1" applyBorder="1" applyFont="1">
      <alignment vertical="center"/>
    </xf>
    <xf borderId="38" fillId="12" fontId="13" numFmtId="0" xfId="0" applyAlignment="1" applyBorder="1" applyFont="1">
      <alignment vertical="center"/>
    </xf>
    <xf borderId="13" fillId="2" fontId="13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left" vertical="center"/>
    </xf>
    <xf borderId="13" fillId="2" fontId="19" numFmtId="0" xfId="0" applyAlignment="1" applyBorder="1" applyFont="1">
      <alignment vertical="center"/>
    </xf>
    <xf borderId="35" fillId="2" fontId="19" numFmtId="0" xfId="0" applyAlignment="1" applyBorder="1" applyFont="1">
      <alignment horizontal="left" vertical="center"/>
    </xf>
    <xf borderId="1" fillId="2" fontId="19" numFmtId="0" xfId="0" applyAlignment="1" applyBorder="1" applyFont="1">
      <alignment horizontal="center" vertical="center"/>
    </xf>
    <xf borderId="1" fillId="2" fontId="19" numFmtId="3" xfId="0" applyAlignment="1" applyBorder="1" applyFont="1" applyNumberFormat="1">
      <alignment vertical="center"/>
    </xf>
    <xf borderId="35" fillId="11" fontId="16" numFmtId="0" xfId="0" applyAlignment="1" applyBorder="1" applyFont="1">
      <alignment horizontal="center" vertical="center"/>
    </xf>
    <xf borderId="43" fillId="0" fontId="4" numFmtId="0" xfId="0" applyBorder="1" applyFont="1"/>
    <xf borderId="44" fillId="0" fontId="13" numFmtId="0" xfId="0" applyAlignment="1" applyBorder="1" applyFont="1">
      <alignment horizontal="center" vertical="center"/>
    </xf>
    <xf borderId="44" fillId="0" fontId="13" numFmtId="0" xfId="0" applyAlignment="1" applyBorder="1" applyFont="1">
      <alignment horizontal="center" shrinkToFit="0" vertical="center" wrapText="1"/>
    </xf>
    <xf borderId="45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39" fillId="14" fontId="14" numFmtId="0" xfId="0" applyAlignment="1" applyBorder="1" applyFill="1" applyFont="1">
      <alignment horizontal="center" vertical="center"/>
    </xf>
    <xf borderId="39" fillId="14" fontId="14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6" fillId="0" fontId="13" numFmtId="9" xfId="0" applyAlignment="1" applyBorder="1" applyFont="1" applyNumberFormat="1">
      <alignment horizontal="center" vertical="center"/>
    </xf>
    <xf borderId="30" fillId="0" fontId="4" numFmtId="0" xfId="0" applyBorder="1" applyFont="1"/>
    <xf borderId="13" fillId="0" fontId="14" numFmtId="3" xfId="0" applyAlignment="1" applyBorder="1" applyFont="1" applyNumberFormat="1">
      <alignment vertical="center"/>
    </xf>
    <xf borderId="35" fillId="2" fontId="15" numFmtId="3" xfId="0" applyAlignment="1" applyBorder="1" applyFont="1" applyNumberForma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13" fillId="0" fontId="15" numFmtId="3" xfId="0" applyAlignment="1" applyBorder="1" applyFont="1" applyNumberFormat="1">
      <alignment vertical="center"/>
    </xf>
    <xf borderId="13" fillId="2" fontId="15" numFmtId="3" xfId="0" applyAlignment="1" applyBorder="1" applyFont="1" applyNumberFormat="1">
      <alignment vertical="center"/>
    </xf>
    <xf borderId="13" fillId="0" fontId="13" numFmtId="3" xfId="0" applyAlignment="1" applyBorder="1" applyFont="1" applyNumberFormat="1">
      <alignment horizontal="center" vertical="center"/>
    </xf>
    <xf borderId="47" fillId="0" fontId="13" numFmtId="15" xfId="0" applyAlignment="1" applyBorder="1" applyFont="1" applyNumberFormat="1">
      <alignment horizontal="center" vertical="center"/>
    </xf>
    <xf borderId="48" fillId="0" fontId="13" numFmtId="3" xfId="0" applyAlignment="1" applyBorder="1" applyFont="1" applyNumberFormat="1">
      <alignment vertical="center"/>
    </xf>
    <xf borderId="47" fillId="0" fontId="13" numFmtId="3" xfId="0" applyAlignment="1" applyBorder="1" applyFont="1" applyNumberFormat="1">
      <alignment horizontal="center" vertical="center"/>
    </xf>
    <xf borderId="13" fillId="0" fontId="13" numFmtId="15" xfId="0" applyAlignment="1" applyBorder="1" applyFont="1" applyNumberFormat="1">
      <alignment vertical="center"/>
    </xf>
    <xf borderId="13" fillId="2" fontId="13" numFmtId="0" xfId="0" applyAlignment="1" applyBorder="1" applyFont="1">
      <alignment horizontal="center" shrinkToFit="0" vertical="center" wrapText="1"/>
    </xf>
    <xf borderId="13" fillId="0" fontId="13" numFmtId="3" xfId="0" applyAlignment="1" applyBorder="1" applyFont="1" applyNumberFormat="1">
      <alignment horizontal="center" shrinkToFit="0" vertical="center" wrapText="1"/>
    </xf>
    <xf borderId="48" fillId="0" fontId="13" numFmtId="0" xfId="0" applyAlignment="1" applyBorder="1" applyFont="1">
      <alignment horizontal="center" vertical="center"/>
    </xf>
    <xf borderId="49" fillId="0" fontId="13" numFmtId="3" xfId="0" applyAlignment="1" applyBorder="1" applyFont="1" applyNumberFormat="1">
      <alignment horizontal="center" vertical="center"/>
    </xf>
    <xf borderId="24" fillId="0" fontId="13" numFmtId="3" xfId="0" applyAlignment="1" applyBorder="1" applyFont="1" applyNumberFormat="1">
      <alignment horizontal="center" vertical="center"/>
    </xf>
    <xf borderId="50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right" vertical="center"/>
    </xf>
    <xf borderId="3" fillId="2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57"/>
    <col customWidth="1" min="3" max="3" width="8.86"/>
    <col customWidth="1" min="4" max="4" width="13.57"/>
    <col customWidth="1" min="5" max="5" width="43.86"/>
    <col customWidth="1" min="6" max="6" width="13.86"/>
    <col customWidth="1" min="7" max="7" width="12.29"/>
    <col customWidth="1" min="8" max="8" width="11.0"/>
    <col customWidth="1" min="9" max="9" width="16.0"/>
    <col customWidth="1" min="10" max="10" width="8.43"/>
    <col customWidth="1" min="11" max="11" width="12.71"/>
    <col customWidth="1" min="13" max="13" width="10.71"/>
    <col customWidth="1" min="14" max="14" width="13.86"/>
    <col customWidth="1" min="15" max="15" width="13.14"/>
    <col customWidth="1" min="16" max="16" width="14.29"/>
    <col customWidth="1" min="17" max="17" width="10.71"/>
    <col customWidth="1" min="18" max="18" width="12.0"/>
    <col customWidth="1" min="19" max="19" width="10.71"/>
    <col customWidth="1" min="20" max="20" width="11.86"/>
    <col customWidth="1" min="21" max="21" width="15.14"/>
    <col customWidth="1" min="22" max="22" width="16.14"/>
    <col customWidth="1" min="23" max="23" width="12.57"/>
    <col customWidth="1" min="25" max="25" width="4.57"/>
    <col customWidth="1" min="26" max="26" width="11.14"/>
    <col customWidth="1" min="27" max="27" width="11.71"/>
    <col customWidth="1" min="28" max="28" width="12.43"/>
    <col customWidth="1" min="29" max="29" width="14.57"/>
    <col customWidth="1" min="30" max="30" width="15.14"/>
    <col customWidth="1" min="31" max="31" width="14.0"/>
    <col customWidth="1" min="32" max="32" width="15.71"/>
    <col customWidth="1" min="33" max="33" width="16.43"/>
    <col customWidth="1" min="34" max="34" width="17.0"/>
    <col customWidth="1" min="35" max="35" width="15.43"/>
    <col customWidth="1" min="36" max="36" width="13.86"/>
    <col customWidth="1" min="37" max="37" width="14.14"/>
    <col customWidth="1" min="38" max="38" width="6.71"/>
    <col customWidth="1" min="39" max="39" width="16.29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9.5" customHeight="1">
      <c r="A2" s="2"/>
      <c r="B2" s="2"/>
      <c r="C2" s="2"/>
      <c r="D2" s="2"/>
      <c r="E2" s="2"/>
      <c r="F2" s="4"/>
      <c r="G2" s="4"/>
      <c r="H2" s="5"/>
      <c r="I2" s="6"/>
      <c r="J2" s="2"/>
      <c r="K2" s="2"/>
      <c r="L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2"/>
      <c r="AM2" s="2"/>
    </row>
    <row r="3" ht="19.5" customHeight="1">
      <c r="A3" s="2"/>
      <c r="B3" s="2"/>
      <c r="C3" s="2"/>
      <c r="D3" s="9" t="s">
        <v>1</v>
      </c>
      <c r="E3" s="10" t="s">
        <v>2</v>
      </c>
      <c r="F3" s="11" t="s">
        <v>3</v>
      </c>
      <c r="G3" s="12"/>
      <c r="H3" s="13"/>
      <c r="I3" s="6"/>
      <c r="J3" s="2"/>
      <c r="K3" s="2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2"/>
      <c r="AM3" s="2"/>
    </row>
    <row r="4" ht="15.75" customHeight="1">
      <c r="A4" s="2"/>
      <c r="B4" s="2"/>
      <c r="C4" s="2"/>
      <c r="D4" s="14" t="s">
        <v>4</v>
      </c>
      <c r="E4" s="15"/>
      <c r="F4" s="15"/>
      <c r="G4" s="15"/>
      <c r="H4" s="16"/>
      <c r="I4" s="17"/>
      <c r="J4" s="17"/>
      <c r="K4" s="17"/>
      <c r="L4" s="18"/>
      <c r="M4" s="6"/>
      <c r="N4" s="6"/>
      <c r="O4" s="6"/>
      <c r="P4" s="19"/>
      <c r="Q4" s="19"/>
      <c r="R4" s="6"/>
      <c r="S4" s="6"/>
      <c r="T4" s="6"/>
      <c r="U4" s="6"/>
      <c r="V4" s="6"/>
      <c r="W4" s="6"/>
      <c r="X4" s="6"/>
      <c r="Y4" s="6"/>
      <c r="Z4" s="6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9.75" customHeight="1">
      <c r="A5" s="2"/>
      <c r="B5" s="2"/>
      <c r="C5" s="2"/>
      <c r="D5" s="20"/>
      <c r="E5" s="21"/>
      <c r="F5" s="21"/>
      <c r="G5" s="21"/>
      <c r="H5" s="22"/>
      <c r="I5" s="17"/>
      <c r="J5" s="17"/>
      <c r="K5" s="17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7"/>
      <c r="AB5" s="17"/>
      <c r="AC5" s="17"/>
      <c r="AD5" s="17"/>
      <c r="AE5" s="2"/>
      <c r="AF5" s="2"/>
      <c r="AG5" s="2"/>
      <c r="AH5" s="2"/>
      <c r="AI5" s="2"/>
      <c r="AJ5" s="2"/>
      <c r="AK5" s="2"/>
      <c r="AL5" s="2"/>
      <c r="AM5" s="2"/>
    </row>
    <row r="6" ht="32.25" customHeight="1">
      <c r="A6" s="2"/>
      <c r="B6" s="2"/>
      <c r="C6" s="2"/>
      <c r="D6" s="23" t="s">
        <v>5</v>
      </c>
      <c r="E6" s="24" t="s">
        <v>6</v>
      </c>
      <c r="F6" s="25" t="s">
        <v>7</v>
      </c>
      <c r="G6" s="26" t="s">
        <v>8</v>
      </c>
      <c r="H6" s="27" t="s">
        <v>9</v>
      </c>
      <c r="I6" s="28"/>
      <c r="J6" s="29"/>
      <c r="K6" s="30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7"/>
      <c r="AB6" s="17"/>
      <c r="AC6" s="17"/>
      <c r="AD6" s="17"/>
      <c r="AE6" s="2"/>
      <c r="AF6" s="2"/>
      <c r="AG6" s="31"/>
      <c r="AH6" s="30"/>
      <c r="AI6" s="2"/>
      <c r="AJ6" s="2"/>
      <c r="AK6" s="30"/>
      <c r="AL6" s="2"/>
      <c r="AM6" s="2"/>
    </row>
    <row r="7" ht="15.75" customHeight="1">
      <c r="A7" s="2"/>
      <c r="B7" s="2"/>
      <c r="C7" s="2"/>
      <c r="D7" s="32"/>
      <c r="E7" s="33" t="s">
        <v>10</v>
      </c>
      <c r="F7" s="34">
        <v>534000.0</v>
      </c>
      <c r="G7" s="35"/>
      <c r="H7" s="36"/>
      <c r="I7" s="2"/>
      <c r="J7" s="17"/>
      <c r="K7" s="1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7"/>
      <c r="AB7" s="17"/>
      <c r="AC7" s="17"/>
      <c r="AD7" s="17"/>
      <c r="AE7" s="2"/>
      <c r="AF7" s="2"/>
      <c r="AG7" s="2"/>
      <c r="AH7" s="37"/>
      <c r="AI7" s="2"/>
      <c r="AJ7" s="2"/>
      <c r="AK7" s="17"/>
      <c r="AL7" s="2"/>
      <c r="AM7" s="2"/>
    </row>
    <row r="8" ht="34.5" customHeight="1">
      <c r="A8" s="2"/>
      <c r="B8" s="2"/>
      <c r="C8" s="2"/>
      <c r="D8" s="38">
        <v>46069.0</v>
      </c>
      <c r="E8" s="39" t="s">
        <v>11</v>
      </c>
      <c r="F8" s="35"/>
      <c r="G8" s="40">
        <v>534000.0</v>
      </c>
      <c r="H8" s="41">
        <v>0.0</v>
      </c>
      <c r="I8" s="2"/>
      <c r="J8" s="17"/>
      <c r="K8" s="1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7"/>
      <c r="AB8" s="17"/>
      <c r="AC8" s="17"/>
      <c r="AD8" s="17"/>
      <c r="AE8" s="2"/>
      <c r="AF8" s="2"/>
      <c r="AG8" s="2"/>
      <c r="AH8" s="37"/>
      <c r="AI8" s="2"/>
      <c r="AJ8" s="2"/>
      <c r="AK8" s="17"/>
      <c r="AL8" s="2"/>
      <c r="AM8" s="2"/>
    </row>
    <row r="9" ht="15.75" customHeight="1">
      <c r="A9" s="2"/>
      <c r="B9" s="2"/>
      <c r="C9" s="2"/>
      <c r="D9" s="32"/>
      <c r="E9" s="33" t="s">
        <v>12</v>
      </c>
      <c r="F9" s="42">
        <v>728000.0</v>
      </c>
      <c r="G9" s="35"/>
      <c r="H9" s="36"/>
      <c r="I9" s="2"/>
      <c r="J9" s="17"/>
      <c r="K9" s="1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7"/>
      <c r="AB9" s="17"/>
      <c r="AC9" s="17"/>
      <c r="AD9" s="17"/>
      <c r="AE9" s="2"/>
      <c r="AF9" s="2"/>
      <c r="AG9" s="2"/>
      <c r="AH9" s="17"/>
      <c r="AI9" s="2"/>
      <c r="AJ9" s="2"/>
      <c r="AK9" s="17"/>
      <c r="AL9" s="2"/>
      <c r="AM9" s="2"/>
    </row>
    <row r="10" ht="29.25" customHeight="1">
      <c r="A10" s="2"/>
      <c r="B10" s="2"/>
      <c r="C10" s="43"/>
      <c r="D10" s="44"/>
      <c r="E10" s="44"/>
      <c r="F10" s="35"/>
      <c r="G10" s="40"/>
      <c r="H10" s="41">
        <v>0.0</v>
      </c>
      <c r="I10" s="2"/>
      <c r="J10" s="17"/>
      <c r="K10" s="1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7"/>
      <c r="AB10" s="17"/>
      <c r="AC10" s="17"/>
      <c r="AD10" s="17"/>
      <c r="AE10" s="2"/>
      <c r="AF10" s="2"/>
      <c r="AG10" s="2"/>
      <c r="AH10" s="17"/>
      <c r="AI10" s="2"/>
      <c r="AJ10" s="2"/>
      <c r="AK10" s="17"/>
      <c r="AL10" s="2"/>
      <c r="AM10" s="2"/>
    </row>
    <row r="11" ht="15.75" customHeight="1">
      <c r="A11" s="2"/>
      <c r="B11" s="2"/>
      <c r="C11" s="2"/>
      <c r="D11" s="32"/>
      <c r="E11" s="33" t="s">
        <v>13</v>
      </c>
      <c r="F11" s="45"/>
      <c r="G11" s="35"/>
      <c r="H11" s="36"/>
      <c r="I11" s="2"/>
      <c r="J11" s="17"/>
      <c r="K11" s="1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7"/>
      <c r="AB11" s="17"/>
      <c r="AC11" s="17"/>
      <c r="AD11" s="17"/>
      <c r="AE11" s="2"/>
      <c r="AF11" s="2"/>
      <c r="AG11" s="2"/>
      <c r="AH11" s="17"/>
      <c r="AI11" s="2"/>
      <c r="AJ11" s="2"/>
      <c r="AK11" s="17"/>
      <c r="AL11" s="2"/>
      <c r="AM11" s="2"/>
    </row>
    <row r="12" ht="15.75" customHeight="1">
      <c r="A12" s="2"/>
      <c r="B12" s="2"/>
      <c r="C12" s="2"/>
      <c r="D12" s="44"/>
      <c r="E12" s="44"/>
      <c r="F12" s="35"/>
      <c r="G12" s="40"/>
      <c r="H12" s="41">
        <v>0.0</v>
      </c>
      <c r="I12" s="46"/>
      <c r="J12" s="17"/>
      <c r="K12" s="1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7"/>
      <c r="AB12" s="17"/>
      <c r="AC12" s="17"/>
      <c r="AD12" s="17"/>
      <c r="AE12" s="2"/>
      <c r="AF12" s="2"/>
      <c r="AG12" s="2"/>
      <c r="AH12" s="19"/>
      <c r="AI12" s="2"/>
      <c r="AJ12" s="2"/>
      <c r="AK12" s="17"/>
      <c r="AL12" s="2"/>
      <c r="AM12" s="2"/>
    </row>
    <row r="13" ht="15.75" customHeight="1">
      <c r="A13" s="2"/>
      <c r="B13" s="2"/>
      <c r="C13" s="2"/>
      <c r="D13" s="47"/>
      <c r="E13" s="48"/>
      <c r="F13" s="49"/>
      <c r="G13" s="49"/>
      <c r="H13" s="50"/>
      <c r="I13" s="46"/>
      <c r="J13" s="17"/>
      <c r="K13" s="1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7"/>
      <c r="AB13" s="17"/>
      <c r="AC13" s="17"/>
      <c r="AD13" s="17"/>
      <c r="AE13" s="2"/>
      <c r="AF13" s="2"/>
      <c r="AG13" s="2"/>
      <c r="AH13" s="19"/>
      <c r="AI13" s="2"/>
      <c r="AJ13" s="2"/>
      <c r="AK13" s="17"/>
      <c r="AL13" s="2"/>
      <c r="AM13" s="2"/>
    </row>
    <row r="14" ht="15.75" customHeight="1">
      <c r="A14" s="2"/>
      <c r="B14" s="2"/>
      <c r="C14" s="2"/>
      <c r="D14" s="47"/>
      <c r="E14" s="51"/>
      <c r="F14" s="49"/>
      <c r="G14" s="52"/>
      <c r="H14" s="50"/>
      <c r="I14" s="46"/>
      <c r="J14" s="17"/>
      <c r="K14" s="1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7"/>
      <c r="AB14" s="17"/>
      <c r="AC14" s="17"/>
      <c r="AD14" s="17"/>
      <c r="AE14" s="2"/>
      <c r="AF14" s="2"/>
      <c r="AG14" s="2"/>
      <c r="AH14" s="19"/>
      <c r="AI14" s="2"/>
      <c r="AJ14" s="2"/>
      <c r="AK14" s="17"/>
      <c r="AL14" s="2"/>
      <c r="AM14" s="2"/>
    </row>
    <row r="15" ht="31.5" customHeight="1">
      <c r="A15" s="2"/>
      <c r="B15" s="2"/>
      <c r="C15" s="2"/>
      <c r="D15" s="53"/>
      <c r="E15" s="54"/>
      <c r="F15" s="49"/>
      <c r="G15" s="50"/>
      <c r="H15" s="50"/>
      <c r="I15" s="46"/>
      <c r="J15" s="17"/>
      <c r="K15" s="1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7"/>
      <c r="AB15" s="17"/>
      <c r="AC15" s="17"/>
      <c r="AD15" s="17"/>
      <c r="AE15" s="2"/>
      <c r="AF15" s="2"/>
      <c r="AG15" s="2"/>
      <c r="AH15" s="19"/>
      <c r="AI15" s="2"/>
      <c r="AJ15" s="2"/>
      <c r="AK15" s="17"/>
      <c r="AL15" s="2"/>
      <c r="AM15" s="2"/>
    </row>
    <row r="16" ht="15.75" customHeight="1">
      <c r="A16" s="2"/>
      <c r="B16" s="2"/>
      <c r="C16" s="2"/>
      <c r="D16" s="55"/>
      <c r="E16" s="51"/>
      <c r="F16" s="49"/>
      <c r="G16" s="52"/>
      <c r="H16" s="50"/>
      <c r="I16" s="46"/>
      <c r="J16" s="17"/>
      <c r="K16" s="1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7"/>
      <c r="AB16" s="17"/>
      <c r="AC16" s="17"/>
      <c r="AD16" s="17"/>
      <c r="AE16" s="2"/>
      <c r="AF16" s="2"/>
      <c r="AG16" s="2"/>
      <c r="AH16" s="17"/>
      <c r="AI16" s="2"/>
      <c r="AJ16" s="2"/>
      <c r="AK16" s="2"/>
      <c r="AL16" s="2"/>
      <c r="AM16" s="2"/>
    </row>
    <row r="17" ht="37.5" customHeight="1">
      <c r="A17" s="2"/>
      <c r="B17" s="2"/>
      <c r="C17" s="2"/>
      <c r="D17" s="53"/>
      <c r="E17" s="56"/>
      <c r="F17" s="57"/>
      <c r="G17" s="50"/>
      <c r="H17" s="50"/>
      <c r="I17" s="46"/>
      <c r="J17" s="17"/>
      <c r="K17" s="1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7"/>
      <c r="AB17" s="17"/>
      <c r="AC17" s="17"/>
      <c r="AD17" s="17"/>
      <c r="AE17" s="2"/>
      <c r="AF17" s="2"/>
      <c r="AG17" s="2"/>
      <c r="AH17" s="17"/>
      <c r="AI17" s="2"/>
      <c r="AJ17" s="2"/>
      <c r="AK17" s="2"/>
      <c r="AL17" s="2"/>
      <c r="AM17" s="2"/>
    </row>
    <row r="18" ht="15.75" customHeight="1">
      <c r="A18" s="2"/>
      <c r="B18" s="2"/>
      <c r="C18" s="2"/>
      <c r="D18" s="52"/>
      <c r="E18" s="51"/>
      <c r="F18" s="49"/>
      <c r="G18" s="49"/>
      <c r="H18" s="50"/>
      <c r="I18" s="46"/>
      <c r="J18" s="17"/>
      <c r="K18" s="17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7"/>
      <c r="AB18" s="17"/>
      <c r="AC18" s="17"/>
      <c r="AD18" s="17"/>
      <c r="AE18" s="2"/>
      <c r="AF18" s="2"/>
      <c r="AG18" s="2"/>
      <c r="AH18" s="2"/>
      <c r="AI18" s="2"/>
      <c r="AJ18" s="2"/>
      <c r="AK18" s="2"/>
      <c r="AL18" s="2"/>
      <c r="AM18" s="2"/>
    </row>
    <row r="19" ht="15.75" customHeight="1">
      <c r="A19" s="2"/>
      <c r="B19" s="2"/>
      <c r="C19" s="2"/>
      <c r="D19" s="47"/>
      <c r="E19" s="48"/>
      <c r="F19" s="49"/>
      <c r="G19" s="49"/>
      <c r="H19" s="50"/>
      <c r="I19" s="46"/>
      <c r="J19" s="17"/>
      <c r="K19" s="1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7"/>
      <c r="AB19" s="17"/>
      <c r="AC19" s="17"/>
      <c r="AD19" s="17"/>
      <c r="AE19" s="2"/>
      <c r="AF19" s="2"/>
      <c r="AG19" s="2"/>
      <c r="AH19" s="2"/>
      <c r="AI19" s="2"/>
      <c r="AJ19" s="2"/>
      <c r="AK19" s="2"/>
      <c r="AL19" s="2"/>
      <c r="AM19" s="2"/>
    </row>
    <row r="20" ht="15.75" customHeight="1">
      <c r="A20" s="2"/>
      <c r="B20" s="2"/>
      <c r="C20" s="2"/>
      <c r="D20" s="47"/>
      <c r="E20" s="48"/>
      <c r="F20" s="49"/>
      <c r="G20" s="49"/>
      <c r="H20" s="50"/>
      <c r="I20" s="46"/>
      <c r="J20" s="17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7"/>
      <c r="AB20" s="17"/>
      <c r="AC20" s="17"/>
      <c r="AD20" s="17"/>
      <c r="AE20" s="2"/>
      <c r="AF20" s="2"/>
      <c r="AG20" s="2"/>
      <c r="AH20" s="2"/>
      <c r="AI20" s="2"/>
      <c r="AJ20" s="2"/>
      <c r="AK20" s="2"/>
      <c r="AL20" s="2"/>
      <c r="AM20" s="2"/>
    </row>
    <row r="21" ht="15.75" customHeight="1">
      <c r="A21" s="2"/>
      <c r="B21" s="2"/>
      <c r="C21" s="2"/>
      <c r="D21" s="47"/>
      <c r="E21" s="55"/>
      <c r="F21" s="55"/>
      <c r="G21" s="49"/>
      <c r="H21" s="50"/>
      <c r="I21" s="46"/>
      <c r="J21" s="17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7"/>
      <c r="AB21" s="17"/>
      <c r="AC21" s="17"/>
      <c r="AD21" s="17"/>
      <c r="AE21" s="2"/>
      <c r="AF21" s="2"/>
      <c r="AG21" s="2"/>
      <c r="AH21" s="2"/>
      <c r="AI21" s="2"/>
      <c r="AJ21" s="2"/>
      <c r="AK21" s="2"/>
      <c r="AL21" s="2"/>
      <c r="AM21" s="2"/>
    </row>
    <row r="22" ht="47.25" customHeight="1">
      <c r="A22" s="2"/>
      <c r="B22" s="2"/>
      <c r="C22" s="2"/>
      <c r="D22" s="53"/>
      <c r="E22" s="54"/>
      <c r="F22" s="49"/>
      <c r="G22" s="50"/>
      <c r="H22" s="50"/>
      <c r="I22" s="58"/>
      <c r="J22" s="17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7"/>
      <c r="AB22" s="17"/>
      <c r="AC22" s="17"/>
      <c r="AD22" s="17"/>
      <c r="AE22" s="2"/>
      <c r="AF22" s="2"/>
      <c r="AG22" s="2"/>
      <c r="AH22" s="2"/>
      <c r="AI22" s="2"/>
      <c r="AJ22" s="2"/>
      <c r="AK22" s="2"/>
      <c r="AL22" s="2"/>
      <c r="AM22" s="2"/>
    </row>
    <row r="23" ht="15.75" customHeight="1">
      <c r="A23" s="2"/>
      <c r="B23" s="2"/>
      <c r="C23" s="2"/>
      <c r="D23" s="47"/>
      <c r="E23" s="51"/>
      <c r="F23" s="49"/>
      <c r="G23" s="49"/>
      <c r="H23" s="50"/>
      <c r="I23" s="59"/>
      <c r="J23" s="19"/>
      <c r="K23" s="19"/>
      <c r="L23" s="60"/>
      <c r="M23" s="61"/>
      <c r="N23" s="19"/>
      <c r="O23" s="17"/>
      <c r="P23" s="17"/>
      <c r="Q23" s="19"/>
      <c r="R23" s="19"/>
      <c r="S23" s="19"/>
      <c r="T23" s="17"/>
      <c r="U23" s="17"/>
      <c r="V23" s="19"/>
      <c r="W23" s="19"/>
      <c r="X23" s="19"/>
      <c r="Y23" s="19"/>
      <c r="Z23" s="17"/>
      <c r="AA23" s="17"/>
      <c r="AB23" s="17"/>
      <c r="AC23" s="17"/>
      <c r="AD23" s="17"/>
      <c r="AE23" s="2"/>
      <c r="AF23" s="2"/>
      <c r="AG23" s="2"/>
      <c r="AH23" s="2"/>
      <c r="AI23" s="2"/>
      <c r="AJ23" s="2"/>
      <c r="AK23" s="2"/>
      <c r="AL23" s="2"/>
      <c r="AM23" s="2"/>
    </row>
    <row r="24" ht="30.0" customHeight="1">
      <c r="A24" s="2"/>
      <c r="B24" s="2"/>
      <c r="C24" s="2"/>
      <c r="D24" s="53"/>
      <c r="E24" s="62"/>
      <c r="F24" s="63"/>
      <c r="G24" s="64"/>
      <c r="H24" s="50"/>
      <c r="I24" s="65"/>
      <c r="J24" s="19"/>
      <c r="K24" s="19"/>
      <c r="L24" s="60"/>
      <c r="M24" s="61"/>
      <c r="N24" s="19"/>
      <c r="O24" s="17"/>
      <c r="P24" s="17"/>
      <c r="Q24" s="19"/>
      <c r="R24" s="19"/>
      <c r="S24" s="19"/>
      <c r="T24" s="17"/>
      <c r="U24" s="17"/>
      <c r="V24" s="19"/>
      <c r="W24" s="19"/>
      <c r="X24" s="19"/>
      <c r="Y24" s="19"/>
      <c r="Z24" s="17"/>
      <c r="AA24" s="17"/>
      <c r="AB24" s="17"/>
      <c r="AC24" s="17"/>
      <c r="AD24" s="17"/>
      <c r="AE24" s="2"/>
      <c r="AF24" s="2"/>
      <c r="AG24" s="2"/>
      <c r="AH24" s="2"/>
      <c r="AI24" s="2"/>
      <c r="AJ24" s="2"/>
      <c r="AK24" s="2"/>
      <c r="AL24" s="2"/>
      <c r="AM24" s="2"/>
    </row>
    <row r="25" ht="30.0" customHeight="1">
      <c r="A25" s="2"/>
      <c r="B25" s="2"/>
      <c r="C25" s="2"/>
      <c r="D25" s="53"/>
      <c r="E25" s="66"/>
      <c r="F25" s="63"/>
      <c r="G25" s="64"/>
      <c r="H25" s="50"/>
      <c r="I25" s="65"/>
      <c r="J25" s="19"/>
      <c r="K25" s="19"/>
      <c r="L25" s="60"/>
      <c r="M25" s="61"/>
      <c r="N25" s="19"/>
      <c r="O25" s="17"/>
      <c r="P25" s="17"/>
      <c r="Q25" s="19"/>
      <c r="R25" s="19"/>
      <c r="S25" s="19"/>
      <c r="T25" s="17"/>
      <c r="U25" s="17"/>
      <c r="V25" s="19"/>
      <c r="W25" s="19"/>
      <c r="X25" s="19"/>
      <c r="Y25" s="19"/>
      <c r="Z25" s="17"/>
      <c r="AA25" s="17"/>
      <c r="AB25" s="17"/>
      <c r="AC25" s="17"/>
      <c r="AD25" s="17"/>
      <c r="AE25" s="2"/>
      <c r="AF25" s="2"/>
      <c r="AG25" s="2"/>
      <c r="AH25" s="2"/>
      <c r="AI25" s="2"/>
      <c r="AJ25" s="2"/>
      <c r="AK25" s="2"/>
      <c r="AL25" s="2"/>
      <c r="AM25" s="2"/>
    </row>
    <row r="26" ht="27.75" customHeight="1">
      <c r="A26" s="2"/>
      <c r="B26" s="2"/>
      <c r="C26" s="2"/>
      <c r="D26" s="53"/>
      <c r="E26" s="62"/>
      <c r="F26" s="67"/>
      <c r="G26" s="50"/>
      <c r="H26" s="50"/>
      <c r="I26" s="65"/>
      <c r="J26" s="19"/>
      <c r="K26" s="19"/>
      <c r="L26" s="60"/>
      <c r="M26" s="61"/>
      <c r="N26" s="19"/>
      <c r="O26" s="17"/>
      <c r="P26" s="17"/>
      <c r="Q26" s="19"/>
      <c r="R26" s="19"/>
      <c r="S26" s="19"/>
      <c r="T26" s="17"/>
      <c r="U26" s="17"/>
      <c r="V26" s="19"/>
      <c r="W26" s="19"/>
      <c r="X26" s="19"/>
      <c r="Y26" s="19"/>
      <c r="Z26" s="17"/>
      <c r="AA26" s="17"/>
      <c r="AB26" s="17"/>
      <c r="AC26" s="17"/>
      <c r="AD26" s="17"/>
      <c r="AE26" s="2"/>
      <c r="AF26" s="2"/>
      <c r="AG26" s="2"/>
      <c r="AH26" s="19"/>
      <c r="AI26" s="2"/>
      <c r="AJ26" s="2"/>
      <c r="AK26" s="2"/>
      <c r="AL26" s="2"/>
      <c r="AM26" s="2"/>
    </row>
    <row r="27" ht="15.75" customHeight="1">
      <c r="A27" s="2"/>
      <c r="B27" s="2"/>
      <c r="C27" s="2"/>
      <c r="D27" s="47"/>
      <c r="E27" s="51"/>
      <c r="F27" s="68"/>
      <c r="G27" s="68"/>
      <c r="H27" s="69"/>
      <c r="I27" s="7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5.75" customHeight="1">
      <c r="A28" s="2"/>
      <c r="B28" s="2"/>
      <c r="C28" s="2"/>
      <c r="D28" s="47"/>
      <c r="E28" s="48"/>
      <c r="F28" s="68"/>
      <c r="G28" s="68"/>
      <c r="H28" s="50"/>
      <c r="I28" s="7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33.0" customHeight="1">
      <c r="A29" s="2"/>
      <c r="B29" s="2"/>
      <c r="C29" s="2"/>
      <c r="D29" s="53"/>
      <c r="E29" s="54"/>
      <c r="F29" s="68"/>
      <c r="G29" s="72"/>
      <c r="H29" s="50"/>
      <c r="I29" s="7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30.0" customHeight="1">
      <c r="A30" s="2"/>
      <c r="B30" s="2"/>
      <c r="C30" s="2"/>
      <c r="D30" s="53"/>
      <c r="E30" s="74"/>
      <c r="F30" s="68"/>
      <c r="G30" s="72"/>
      <c r="H30" s="69"/>
      <c r="I30" s="7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2"/>
      <c r="B31" s="2"/>
      <c r="C31" s="2"/>
      <c r="D31" s="47"/>
      <c r="E31" s="51"/>
      <c r="F31" s="68"/>
      <c r="G31" s="68"/>
      <c r="H31" s="69"/>
      <c r="I31" s="7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34.5" customHeight="1">
      <c r="A32" s="2"/>
      <c r="B32" s="2"/>
      <c r="C32" s="2"/>
      <c r="D32" s="53"/>
      <c r="E32" s="54"/>
      <c r="F32" s="68"/>
      <c r="G32" s="72"/>
      <c r="H32" s="69"/>
      <c r="I32" s="7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33.0" customHeight="1">
      <c r="A33" s="2"/>
      <c r="B33" s="2"/>
      <c r="C33" s="2"/>
      <c r="D33" s="53"/>
      <c r="E33" s="74"/>
      <c r="F33" s="68"/>
      <c r="G33" s="72"/>
      <c r="H33" s="69"/>
      <c r="I33" s="7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6.5" customHeight="1">
      <c r="A34" s="2"/>
      <c r="B34" s="2"/>
      <c r="C34" s="2"/>
      <c r="D34" s="75"/>
      <c r="E34" s="51"/>
      <c r="F34" s="45"/>
      <c r="G34" s="68"/>
      <c r="H34" s="69"/>
      <c r="I34" s="7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35.25" customHeight="1">
      <c r="A35" s="2"/>
      <c r="B35" s="2"/>
      <c r="C35" s="2"/>
      <c r="D35" s="76"/>
      <c r="E35" s="77"/>
      <c r="F35" s="68"/>
      <c r="G35" s="78"/>
      <c r="H35" s="79"/>
      <c r="I35" s="7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5.75" customHeight="1">
      <c r="A36" s="2"/>
      <c r="B36" s="2"/>
      <c r="C36" s="2"/>
      <c r="D36" s="75"/>
      <c r="E36" s="51"/>
      <c r="F36" s="45"/>
      <c r="G36" s="68"/>
      <c r="H36" s="69"/>
      <c r="I36" s="7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30.75" customHeight="1">
      <c r="A37" s="2"/>
      <c r="B37" s="2"/>
      <c r="C37" s="2"/>
      <c r="D37" s="76"/>
      <c r="E37" s="77"/>
      <c r="F37" s="68"/>
      <c r="G37" s="78"/>
      <c r="H37" s="79"/>
      <c r="I37" s="7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5.75" customHeight="1">
      <c r="A38" s="2"/>
      <c r="B38" s="2"/>
      <c r="C38" s="2"/>
      <c r="D38" s="75"/>
      <c r="E38" s="51"/>
      <c r="F38" s="45"/>
      <c r="G38" s="68"/>
      <c r="H38" s="69"/>
      <c r="I38" s="7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33.75" customHeight="1">
      <c r="A39" s="2"/>
      <c r="B39" s="2"/>
      <c r="C39" s="2"/>
      <c r="D39" s="76"/>
      <c r="E39" s="77"/>
      <c r="F39" s="68"/>
      <c r="G39" s="78"/>
      <c r="H39" s="79"/>
      <c r="I39" s="7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8.0" customHeight="1">
      <c r="A40" s="2"/>
      <c r="B40" s="2"/>
      <c r="C40" s="2"/>
      <c r="D40" s="75"/>
      <c r="E40" s="51"/>
      <c r="F40" s="45"/>
      <c r="G40" s="68"/>
      <c r="H40" s="69"/>
      <c r="I40" s="7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29.25" customHeight="1">
      <c r="A41" s="2"/>
      <c r="B41" s="2"/>
      <c r="C41" s="2"/>
      <c r="D41" s="76"/>
      <c r="E41" s="77"/>
      <c r="F41" s="68"/>
      <c r="G41" s="78"/>
      <c r="H41" s="79"/>
      <c r="I41" s="7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5.75" customHeight="1">
      <c r="A42" s="2"/>
      <c r="B42" s="2"/>
      <c r="C42" s="2"/>
      <c r="D42" s="76"/>
      <c r="E42" s="77"/>
      <c r="F42" s="68"/>
      <c r="G42" s="78"/>
      <c r="H42" s="80"/>
      <c r="I42" s="7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5.75" customHeight="1">
      <c r="A43" s="2"/>
      <c r="B43" s="2"/>
      <c r="C43" s="2"/>
      <c r="D43" s="75"/>
      <c r="E43" s="81"/>
      <c r="F43" s="68"/>
      <c r="G43" s="68"/>
      <c r="H43" s="80"/>
      <c r="I43" s="7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75" customHeight="1">
      <c r="A44" s="2"/>
      <c r="B44" s="2"/>
      <c r="C44" s="2"/>
      <c r="D44" s="75"/>
      <c r="E44" s="81"/>
      <c r="F44" s="68"/>
      <c r="G44" s="68"/>
      <c r="H44" s="80"/>
      <c r="I44" s="7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5.75" customHeight="1">
      <c r="A45" s="2"/>
      <c r="B45" s="2"/>
      <c r="C45" s="2"/>
      <c r="D45" s="75"/>
      <c r="E45" s="81"/>
      <c r="F45" s="68"/>
      <c r="G45" s="68"/>
      <c r="H45" s="80"/>
      <c r="I45" s="7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2"/>
      <c r="B46" s="2"/>
      <c r="C46" s="2"/>
      <c r="D46" s="75"/>
      <c r="E46" s="81"/>
      <c r="F46" s="68"/>
      <c r="G46" s="68"/>
      <c r="H46" s="80"/>
      <c r="I46" s="7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2"/>
      <c r="B47" s="2"/>
      <c r="C47" s="2"/>
      <c r="D47" s="82"/>
      <c r="E47" s="83"/>
      <c r="F47" s="84"/>
      <c r="G47" s="84"/>
      <c r="H47" s="85"/>
      <c r="I47" s="7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2"/>
      <c r="B48" s="2"/>
      <c r="C48" s="2"/>
      <c r="D48" s="82"/>
      <c r="E48" s="83"/>
      <c r="F48" s="84"/>
      <c r="G48" s="84"/>
      <c r="H48" s="86"/>
      <c r="I48" s="7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2"/>
      <c r="B49" s="2"/>
      <c r="C49" s="2"/>
      <c r="D49" s="82"/>
      <c r="E49" s="83"/>
      <c r="F49" s="87"/>
      <c r="G49" s="87"/>
      <c r="H49" s="86"/>
      <c r="I49" s="7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2"/>
      <c r="B50" s="2"/>
      <c r="C50" s="2"/>
      <c r="D50" s="82"/>
      <c r="E50" s="83"/>
      <c r="F50" s="87"/>
      <c r="G50" s="87"/>
      <c r="H50" s="86"/>
      <c r="I50" s="7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2"/>
      <c r="B51" s="2"/>
      <c r="C51" s="2"/>
      <c r="D51" s="88"/>
      <c r="E51" s="89"/>
      <c r="F51" s="90"/>
      <c r="G51" s="90"/>
      <c r="H51" s="9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2"/>
      <c r="B52" s="2"/>
      <c r="C52" s="2"/>
      <c r="D52" s="88"/>
      <c r="E52" s="89"/>
      <c r="F52" s="90"/>
      <c r="G52" s="90"/>
      <c r="H52" s="9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5.75" customHeight="1">
      <c r="A53" s="2"/>
      <c r="B53" s="2"/>
      <c r="C53" s="2"/>
      <c r="D53" s="88"/>
      <c r="E53" s="89"/>
      <c r="F53" s="90"/>
      <c r="G53" s="90"/>
      <c r="H53" s="9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5.75" customHeight="1">
      <c r="A54" s="2"/>
      <c r="B54" s="2"/>
      <c r="C54" s="2"/>
      <c r="D54" s="88"/>
      <c r="E54" s="89"/>
      <c r="F54" s="90"/>
      <c r="G54" s="90"/>
      <c r="H54" s="9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15.75" customHeight="1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ht="15.75" customHeight="1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15.75" customHeight="1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ht="15.75" customHeight="1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15.75" customHeight="1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ht="15.75" customHeight="1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15.75" customHeight="1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15.75" customHeight="1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ht="15.75" customHeight="1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ht="15.75" customHeight="1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ht="15.75" customHeight="1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ht="15.75" customHeight="1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ht="15.75" customHeight="1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ht="15.75" customHeight="1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ht="15.75" customHeight="1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ht="15.75" customHeight="1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ht="15.75" customHeight="1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ht="15.75" customHeight="1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15.75" customHeight="1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ht="15.75" customHeight="1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15.75" customHeight="1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ht="15.75" customHeight="1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ht="15.75" customHeight="1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ht="15.75" customHeight="1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ht="15.75" customHeight="1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ht="15.75" customHeight="1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ht="15.75" customHeight="1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ht="15.75" customHeight="1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ht="15.75" customHeight="1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ht="15.75" customHeight="1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ht="15.75" customHeight="1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ht="15.75" customHeight="1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15.75" customHeight="1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ht="15.75" customHeight="1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ht="15.75" customHeight="1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</sheetData>
  <mergeCells count="2">
    <mergeCell ref="D4:H5"/>
    <mergeCell ref="F3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57"/>
    <col customWidth="1" min="3" max="3" width="8.86"/>
    <col customWidth="1" min="4" max="4" width="13.57"/>
    <col customWidth="1" min="5" max="5" width="43.86"/>
    <col customWidth="1" min="6" max="6" width="13.86"/>
    <col customWidth="1" min="7" max="7" width="12.29"/>
    <col customWidth="1" min="8" max="8" width="11.0"/>
    <col customWidth="1" min="9" max="9" width="16.0"/>
    <col customWidth="1" min="10" max="10" width="8.43"/>
    <col customWidth="1" min="11" max="11" width="12.71"/>
    <col customWidth="1" min="13" max="13" width="10.71"/>
    <col customWidth="1" min="14" max="14" width="13.86"/>
    <col customWidth="1" min="15" max="15" width="13.14"/>
    <col customWidth="1" min="16" max="16" width="14.29"/>
    <col customWidth="1" min="17" max="17" width="10.71"/>
    <col customWidth="1" min="18" max="18" width="12.0"/>
    <col customWidth="1" min="19" max="19" width="10.71"/>
    <col customWidth="1" min="20" max="20" width="11.86"/>
    <col customWidth="1" min="21" max="21" width="15.14"/>
    <col customWidth="1" min="22" max="22" width="16.14"/>
    <col customWidth="1" min="23" max="23" width="12.57"/>
    <col customWidth="1" min="25" max="25" width="4.57"/>
    <col customWidth="1" min="26" max="26" width="11.14"/>
    <col customWidth="1" min="27" max="27" width="11.71"/>
    <col customWidth="1" min="28" max="28" width="12.43"/>
    <col customWidth="1" min="29" max="29" width="14.57"/>
    <col customWidth="1" min="30" max="30" width="15.14"/>
    <col customWidth="1" min="31" max="31" width="14.0"/>
    <col customWidth="1" min="32" max="32" width="15.71"/>
    <col customWidth="1" min="33" max="33" width="16.43"/>
    <col customWidth="1" min="34" max="34" width="17.0"/>
    <col customWidth="1" min="35" max="35" width="15.43"/>
    <col customWidth="1" min="36" max="36" width="13.86"/>
    <col customWidth="1" min="37" max="37" width="14.14"/>
    <col customWidth="1" min="38" max="38" width="6.71"/>
    <col customWidth="1" min="39" max="39" width="16.29"/>
  </cols>
  <sheetData>
    <row r="1">
      <c r="A1" s="2"/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9.5" customHeight="1">
      <c r="A2" s="2"/>
      <c r="B2" s="2"/>
      <c r="C2" s="2"/>
      <c r="D2" s="2"/>
      <c r="E2" s="2"/>
      <c r="F2" s="4"/>
      <c r="G2" s="4"/>
      <c r="H2" s="5"/>
      <c r="I2" s="6"/>
      <c r="J2" s="2"/>
      <c r="K2" s="2"/>
      <c r="L2" s="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2"/>
      <c r="AM2" s="2"/>
    </row>
    <row r="3" ht="19.5" customHeight="1">
      <c r="A3" s="2"/>
      <c r="B3" s="2"/>
      <c r="C3" s="2"/>
      <c r="D3" s="9" t="s">
        <v>1</v>
      </c>
      <c r="E3" s="10" t="s">
        <v>2</v>
      </c>
      <c r="F3" s="92"/>
      <c r="G3" s="92"/>
      <c r="H3" s="93"/>
      <c r="I3" s="6"/>
      <c r="J3" s="2"/>
      <c r="K3" s="2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2"/>
      <c r="AM3" s="2"/>
    </row>
    <row r="4" ht="15.75" customHeight="1">
      <c r="A4" s="2"/>
      <c r="B4" s="2"/>
      <c r="C4" s="2"/>
      <c r="D4" s="14" t="s">
        <v>4</v>
      </c>
      <c r="E4" s="15"/>
      <c r="F4" s="15"/>
      <c r="G4" s="15"/>
      <c r="H4" s="16"/>
      <c r="I4" s="17"/>
      <c r="J4" s="17"/>
      <c r="K4" s="17"/>
      <c r="L4" s="18"/>
      <c r="M4" s="6"/>
      <c r="N4" s="6"/>
      <c r="O4" s="6"/>
      <c r="P4" s="19"/>
      <c r="Q4" s="19"/>
      <c r="R4" s="6"/>
      <c r="S4" s="6"/>
      <c r="T4" s="6"/>
      <c r="U4" s="6"/>
      <c r="V4" s="6"/>
      <c r="W4" s="6"/>
      <c r="X4" s="6"/>
      <c r="Y4" s="6"/>
      <c r="Z4" s="6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9.75" customHeight="1">
      <c r="A5" s="2"/>
      <c r="B5" s="2"/>
      <c r="C5" s="2"/>
      <c r="D5" s="20"/>
      <c r="E5" s="21"/>
      <c r="F5" s="21"/>
      <c r="G5" s="21"/>
      <c r="H5" s="22"/>
      <c r="I5" s="17"/>
      <c r="J5" s="17"/>
      <c r="K5" s="17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7"/>
      <c r="AB5" s="17"/>
      <c r="AC5" s="17"/>
      <c r="AD5" s="17"/>
      <c r="AE5" s="2"/>
      <c r="AF5" s="2"/>
      <c r="AG5" s="2"/>
      <c r="AH5" s="2"/>
      <c r="AI5" s="2"/>
      <c r="AJ5" s="2"/>
      <c r="AK5" s="2"/>
      <c r="AL5" s="2"/>
      <c r="AM5" s="2"/>
    </row>
    <row r="6" ht="32.25" customHeight="1">
      <c r="A6" s="2"/>
      <c r="B6" s="2"/>
      <c r="C6" s="2"/>
      <c r="D6" s="23" t="s">
        <v>5</v>
      </c>
      <c r="E6" s="24" t="s">
        <v>6</v>
      </c>
      <c r="F6" s="24" t="s">
        <v>14</v>
      </c>
      <c r="G6" s="26" t="s">
        <v>8</v>
      </c>
      <c r="H6" s="27" t="s">
        <v>9</v>
      </c>
      <c r="I6" s="28"/>
      <c r="J6" s="29"/>
      <c r="K6" s="30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7"/>
      <c r="AB6" s="17"/>
      <c r="AC6" s="17"/>
      <c r="AD6" s="17"/>
      <c r="AE6" s="2"/>
      <c r="AF6" s="2"/>
      <c r="AG6" s="31"/>
      <c r="AH6" s="30"/>
      <c r="AI6" s="2"/>
      <c r="AJ6" s="2"/>
      <c r="AK6" s="30"/>
      <c r="AL6" s="2"/>
      <c r="AM6" s="2"/>
    </row>
    <row r="7" ht="15.75" customHeight="1">
      <c r="A7" s="2"/>
      <c r="B7" s="2"/>
      <c r="C7" s="2"/>
      <c r="D7" s="94"/>
      <c r="E7" s="33" t="s">
        <v>15</v>
      </c>
      <c r="F7" s="95">
        <v>624000.0</v>
      </c>
      <c r="G7" s="96"/>
      <c r="H7" s="97">
        <v>624000.0</v>
      </c>
      <c r="I7" s="17"/>
      <c r="J7" s="17"/>
      <c r="K7" s="1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7"/>
      <c r="AB7" s="17"/>
      <c r="AC7" s="17"/>
      <c r="AD7" s="17"/>
      <c r="AE7" s="2"/>
      <c r="AF7" s="2"/>
      <c r="AG7" s="2"/>
      <c r="AH7" s="37"/>
      <c r="AI7" s="2"/>
      <c r="AJ7" s="2"/>
      <c r="AK7" s="17"/>
      <c r="AL7" s="2"/>
      <c r="AM7" s="2"/>
    </row>
    <row r="8" ht="15.75" customHeight="1">
      <c r="A8" s="2"/>
      <c r="B8" s="2"/>
      <c r="C8" s="2"/>
      <c r="D8" s="94" t="s">
        <v>16</v>
      </c>
      <c r="E8" s="98" t="s">
        <v>17</v>
      </c>
      <c r="F8" s="99"/>
      <c r="G8" s="99">
        <v>500000.0</v>
      </c>
      <c r="H8" s="100">
        <v>124000.0</v>
      </c>
      <c r="I8" s="17"/>
      <c r="J8" s="17"/>
      <c r="K8" s="1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7"/>
      <c r="AB8" s="17"/>
      <c r="AC8" s="17"/>
      <c r="AD8" s="17"/>
      <c r="AE8" s="2"/>
      <c r="AF8" s="2"/>
      <c r="AG8" s="2"/>
      <c r="AH8" s="37"/>
      <c r="AI8" s="2"/>
      <c r="AJ8" s="2"/>
      <c r="AK8" s="17"/>
      <c r="AL8" s="2"/>
      <c r="AM8" s="2"/>
    </row>
    <row r="9" ht="15.75" customHeight="1">
      <c r="A9" s="2"/>
      <c r="B9" s="2"/>
      <c r="C9" s="2"/>
      <c r="D9" s="94"/>
      <c r="E9" s="33" t="s">
        <v>10</v>
      </c>
      <c r="F9" s="95">
        <v>533000.0</v>
      </c>
      <c r="G9" s="99"/>
      <c r="H9" s="100">
        <v>657000.0</v>
      </c>
      <c r="I9" s="17"/>
      <c r="J9" s="17"/>
      <c r="K9" s="1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7"/>
      <c r="AB9" s="17"/>
      <c r="AC9" s="17"/>
      <c r="AD9" s="17"/>
      <c r="AE9" s="2"/>
      <c r="AF9" s="2"/>
      <c r="AG9" s="2"/>
      <c r="AH9" s="17"/>
      <c r="AI9" s="2"/>
      <c r="AJ9" s="2"/>
      <c r="AK9" s="17"/>
      <c r="AL9" s="2"/>
      <c r="AM9" s="2"/>
    </row>
    <row r="10" ht="29.25" customHeight="1">
      <c r="A10" s="2"/>
      <c r="B10" s="2"/>
      <c r="C10" s="2"/>
      <c r="D10" s="94" t="s">
        <v>18</v>
      </c>
      <c r="E10" s="101" t="s">
        <v>19</v>
      </c>
      <c r="F10" s="99"/>
      <c r="G10" s="100">
        <v>300000.0</v>
      </c>
      <c r="H10" s="100"/>
      <c r="I10" s="17"/>
      <c r="J10" s="17"/>
      <c r="K10" s="1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7"/>
      <c r="AB10" s="17"/>
      <c r="AC10" s="17"/>
      <c r="AD10" s="17"/>
      <c r="AE10" s="2"/>
      <c r="AF10" s="2"/>
      <c r="AG10" s="2"/>
      <c r="AH10" s="17"/>
      <c r="AI10" s="2"/>
      <c r="AJ10" s="2"/>
      <c r="AK10" s="17"/>
      <c r="AL10" s="2"/>
      <c r="AM10" s="2"/>
    </row>
    <row r="11" ht="15.75" customHeight="1">
      <c r="A11" s="2"/>
      <c r="B11" s="2"/>
      <c r="C11" s="2"/>
      <c r="D11" s="94" t="s">
        <v>18</v>
      </c>
      <c r="E11" s="98" t="s">
        <v>20</v>
      </c>
      <c r="F11" s="99"/>
      <c r="G11" s="99">
        <v>375000.0</v>
      </c>
      <c r="H11" s="100">
        <v>0.0</v>
      </c>
      <c r="I11" s="17"/>
      <c r="J11" s="17"/>
      <c r="K11" s="1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7"/>
      <c r="AB11" s="17"/>
      <c r="AC11" s="17"/>
      <c r="AD11" s="17"/>
      <c r="AE11" s="2"/>
      <c r="AF11" s="2"/>
      <c r="AG11" s="2"/>
      <c r="AH11" s="17"/>
      <c r="AI11" s="2"/>
      <c r="AJ11" s="2"/>
      <c r="AK11" s="17"/>
      <c r="AL11" s="2"/>
      <c r="AM11" s="2"/>
    </row>
    <row r="12" ht="15.75" customHeight="1">
      <c r="A12" s="2"/>
      <c r="B12" s="2"/>
      <c r="C12" s="2"/>
      <c r="D12" s="94"/>
      <c r="E12" s="33" t="s">
        <v>12</v>
      </c>
      <c r="F12" s="95">
        <v>676000.0</v>
      </c>
      <c r="G12" s="102"/>
      <c r="H12" s="100">
        <v>676000.0</v>
      </c>
      <c r="I12" s="17"/>
      <c r="J12" s="17"/>
      <c r="K12" s="1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7"/>
      <c r="AB12" s="17"/>
      <c r="AC12" s="17"/>
      <c r="AD12" s="17"/>
      <c r="AE12" s="2"/>
      <c r="AF12" s="2"/>
      <c r="AG12" s="2"/>
      <c r="AH12" s="19"/>
      <c r="AI12" s="2"/>
      <c r="AJ12" s="2"/>
      <c r="AK12" s="17"/>
      <c r="AL12" s="2"/>
      <c r="AM12" s="2"/>
    </row>
    <row r="13" ht="15.75" customHeight="1">
      <c r="A13" s="2"/>
      <c r="B13" s="2"/>
      <c r="C13" s="2"/>
      <c r="D13" s="94" t="s">
        <v>18</v>
      </c>
      <c r="E13" s="98" t="s">
        <v>21</v>
      </c>
      <c r="F13" s="99"/>
      <c r="G13" s="99">
        <v>500000.0</v>
      </c>
      <c r="H13" s="100">
        <v>176000.0</v>
      </c>
      <c r="I13" s="17"/>
      <c r="J13" s="17"/>
      <c r="K13" s="1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7"/>
      <c r="AB13" s="17"/>
      <c r="AC13" s="17"/>
      <c r="AD13" s="17"/>
      <c r="AE13" s="2"/>
      <c r="AF13" s="2"/>
      <c r="AG13" s="2"/>
      <c r="AH13" s="19"/>
      <c r="AI13" s="2"/>
      <c r="AJ13" s="2"/>
      <c r="AK13" s="17"/>
      <c r="AL13" s="2"/>
      <c r="AM13" s="2"/>
    </row>
    <row r="14" ht="15.75" customHeight="1">
      <c r="A14" s="2"/>
      <c r="B14" s="2"/>
      <c r="C14" s="2"/>
      <c r="D14" s="94"/>
      <c r="E14" s="33" t="s">
        <v>13</v>
      </c>
      <c r="F14" s="95">
        <v>624000.0</v>
      </c>
      <c r="G14" s="102"/>
      <c r="H14" s="100">
        <v>800000.0</v>
      </c>
      <c r="I14" s="17"/>
      <c r="J14" s="17"/>
      <c r="K14" s="1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7"/>
      <c r="AB14" s="17"/>
      <c r="AC14" s="17"/>
      <c r="AD14" s="17"/>
      <c r="AE14" s="2"/>
      <c r="AF14" s="2"/>
      <c r="AG14" s="2"/>
      <c r="AH14" s="19"/>
      <c r="AI14" s="2"/>
      <c r="AJ14" s="2"/>
      <c r="AK14" s="17"/>
      <c r="AL14" s="2"/>
      <c r="AM14" s="2"/>
    </row>
    <row r="15" ht="31.5" customHeight="1">
      <c r="A15" s="2"/>
      <c r="B15" s="2"/>
      <c r="C15" s="2"/>
      <c r="D15" s="103">
        <v>45750.0</v>
      </c>
      <c r="E15" s="101" t="s">
        <v>22</v>
      </c>
      <c r="F15" s="99"/>
      <c r="G15" s="100">
        <v>500000.0</v>
      </c>
      <c r="H15" s="100">
        <v>300000.0</v>
      </c>
      <c r="I15" s="17"/>
      <c r="J15" s="17"/>
      <c r="K15" s="1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7"/>
      <c r="AB15" s="17"/>
      <c r="AC15" s="17"/>
      <c r="AD15" s="17"/>
      <c r="AE15" s="2"/>
      <c r="AF15" s="2"/>
      <c r="AG15" s="2"/>
      <c r="AH15" s="19"/>
      <c r="AI15" s="2"/>
      <c r="AJ15" s="2"/>
      <c r="AK15" s="17"/>
      <c r="AL15" s="2"/>
      <c r="AM15" s="2"/>
    </row>
    <row r="16" ht="15.75" customHeight="1">
      <c r="A16" s="2"/>
      <c r="B16" s="2"/>
      <c r="C16" s="2"/>
      <c r="D16" s="104"/>
      <c r="E16" s="33" t="s">
        <v>23</v>
      </c>
      <c r="F16" s="95">
        <v>571000.0</v>
      </c>
      <c r="G16" s="102"/>
      <c r="H16" s="100">
        <v>871000.0</v>
      </c>
      <c r="I16" s="17"/>
      <c r="J16" s="17"/>
      <c r="K16" s="1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7"/>
      <c r="AB16" s="17"/>
      <c r="AC16" s="17"/>
      <c r="AD16" s="17"/>
      <c r="AE16" s="2"/>
      <c r="AF16" s="2"/>
      <c r="AG16" s="2"/>
      <c r="AH16" s="17"/>
      <c r="AI16" s="2"/>
      <c r="AJ16" s="2"/>
      <c r="AK16" s="2"/>
      <c r="AL16" s="2"/>
      <c r="AM16" s="2"/>
    </row>
    <row r="17" ht="37.5" customHeight="1">
      <c r="A17" s="2"/>
      <c r="B17" s="2"/>
      <c r="C17" s="2"/>
      <c r="D17" s="103">
        <v>45784.0</v>
      </c>
      <c r="E17" s="105" t="s">
        <v>24</v>
      </c>
      <c r="F17" s="106"/>
      <c r="G17" s="100">
        <v>500000.0</v>
      </c>
      <c r="H17" s="100">
        <v>371000.0</v>
      </c>
      <c r="I17" s="17"/>
      <c r="J17" s="17"/>
      <c r="K17" s="1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7"/>
      <c r="AB17" s="17"/>
      <c r="AC17" s="17"/>
      <c r="AD17" s="17"/>
      <c r="AE17" s="2"/>
      <c r="AF17" s="2"/>
      <c r="AG17" s="2"/>
      <c r="AH17" s="17"/>
      <c r="AI17" s="2"/>
      <c r="AJ17" s="2"/>
      <c r="AK17" s="2"/>
      <c r="AL17" s="2"/>
      <c r="AM17" s="2"/>
    </row>
    <row r="18" ht="15.75" customHeight="1">
      <c r="A18" s="2"/>
      <c r="B18" s="2"/>
      <c r="C18" s="2"/>
      <c r="D18" s="102"/>
      <c r="E18" s="33" t="s">
        <v>25</v>
      </c>
      <c r="F18" s="95">
        <v>592600.0</v>
      </c>
      <c r="G18" s="99"/>
      <c r="H18" s="100">
        <v>963600.0</v>
      </c>
      <c r="I18" s="17"/>
      <c r="J18" s="17"/>
      <c r="K18" s="17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7"/>
      <c r="AB18" s="17"/>
      <c r="AC18" s="17"/>
      <c r="AD18" s="17"/>
      <c r="AE18" s="2"/>
      <c r="AF18" s="2"/>
      <c r="AG18" s="2"/>
      <c r="AH18" s="2"/>
      <c r="AI18" s="2"/>
      <c r="AJ18" s="2"/>
      <c r="AK18" s="2"/>
      <c r="AL18" s="2"/>
      <c r="AM18" s="2"/>
    </row>
    <row r="19" ht="15.75" customHeight="1">
      <c r="A19" s="2"/>
      <c r="B19" s="2"/>
      <c r="C19" s="2"/>
      <c r="D19" s="94"/>
      <c r="E19" s="98" t="s">
        <v>26</v>
      </c>
      <c r="F19" s="99">
        <v>25000.0</v>
      </c>
      <c r="G19" s="99"/>
      <c r="H19" s="100">
        <f t="shared" ref="H19:H20" si="1">SUM(H18+F19)</f>
        <v>988600</v>
      </c>
      <c r="I19" s="17"/>
      <c r="J19" s="17"/>
      <c r="K19" s="1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7"/>
      <c r="AB19" s="17"/>
      <c r="AC19" s="17"/>
      <c r="AD19" s="17"/>
      <c r="AE19" s="2"/>
      <c r="AF19" s="2"/>
      <c r="AG19" s="2"/>
      <c r="AH19" s="2"/>
      <c r="AI19" s="2"/>
      <c r="AJ19" s="2"/>
      <c r="AK19" s="2"/>
      <c r="AL19" s="2"/>
      <c r="AM19" s="2"/>
    </row>
    <row r="20" ht="15.75" customHeight="1">
      <c r="A20" s="2"/>
      <c r="B20" s="2"/>
      <c r="C20" s="2"/>
      <c r="D20" s="94"/>
      <c r="E20" s="98" t="s">
        <v>27</v>
      </c>
      <c r="F20" s="99">
        <v>7000.0</v>
      </c>
      <c r="G20" s="99"/>
      <c r="H20" s="100">
        <f t="shared" si="1"/>
        <v>995600</v>
      </c>
      <c r="I20" s="17"/>
      <c r="J20" s="17"/>
      <c r="K20" s="17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7"/>
      <c r="AB20" s="17"/>
      <c r="AC20" s="17"/>
      <c r="AD20" s="17"/>
      <c r="AE20" s="2"/>
      <c r="AF20" s="2"/>
      <c r="AG20" s="2"/>
      <c r="AH20" s="2"/>
      <c r="AI20" s="2"/>
      <c r="AJ20" s="2"/>
      <c r="AK20" s="2"/>
      <c r="AL20" s="2"/>
      <c r="AM20" s="2"/>
    </row>
    <row r="21" ht="15.75" customHeight="1">
      <c r="A21" s="2"/>
      <c r="B21" s="2"/>
      <c r="C21" s="2"/>
      <c r="D21" s="94"/>
      <c r="E21" s="104" t="s">
        <v>28</v>
      </c>
      <c r="F21" s="104"/>
      <c r="G21" s="99">
        <v>14754.0</v>
      </c>
      <c r="H21" s="100">
        <f>SUM(H20-G21)</f>
        <v>980846</v>
      </c>
      <c r="I21" s="17"/>
      <c r="J21" s="17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7"/>
      <c r="AB21" s="17"/>
      <c r="AC21" s="17"/>
      <c r="AD21" s="17"/>
      <c r="AE21" s="2"/>
      <c r="AF21" s="2"/>
      <c r="AG21" s="2"/>
      <c r="AH21" s="2"/>
      <c r="AI21" s="2"/>
      <c r="AJ21" s="2"/>
      <c r="AK21" s="2"/>
      <c r="AL21" s="2"/>
      <c r="AM21" s="2"/>
    </row>
    <row r="22" ht="47.25" customHeight="1">
      <c r="A22" s="2"/>
      <c r="B22" s="2"/>
      <c r="C22" s="2"/>
      <c r="D22" s="103">
        <v>45817.0</v>
      </c>
      <c r="E22" s="101" t="s">
        <v>29</v>
      </c>
      <c r="F22" s="99"/>
      <c r="G22" s="100">
        <v>518000.0</v>
      </c>
      <c r="H22" s="100">
        <v>462846.0</v>
      </c>
      <c r="I22" s="107"/>
      <c r="J22" s="17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7"/>
      <c r="AB22" s="17"/>
      <c r="AC22" s="17"/>
      <c r="AD22" s="17"/>
      <c r="AE22" s="2"/>
      <c r="AF22" s="2"/>
      <c r="AG22" s="2"/>
      <c r="AH22" s="2"/>
      <c r="AI22" s="2"/>
      <c r="AJ22" s="2"/>
      <c r="AK22" s="2"/>
      <c r="AL22" s="2"/>
      <c r="AM22" s="2"/>
    </row>
    <row r="23" ht="15.75" customHeight="1">
      <c r="A23" s="2"/>
      <c r="B23" s="2"/>
      <c r="C23" s="2"/>
      <c r="D23" s="94"/>
      <c r="E23" s="33" t="s">
        <v>30</v>
      </c>
      <c r="F23" s="95">
        <v>535500.0</v>
      </c>
      <c r="G23" s="99"/>
      <c r="H23" s="100">
        <v>998346.0</v>
      </c>
      <c r="I23" s="108"/>
      <c r="J23" s="19"/>
      <c r="K23" s="19"/>
      <c r="L23" s="60"/>
      <c r="M23" s="61"/>
      <c r="N23" s="19"/>
      <c r="O23" s="17"/>
      <c r="P23" s="17"/>
      <c r="Q23" s="19"/>
      <c r="R23" s="19"/>
      <c r="S23" s="19"/>
      <c r="T23" s="17"/>
      <c r="U23" s="17"/>
      <c r="V23" s="19"/>
      <c r="W23" s="19"/>
      <c r="X23" s="19"/>
      <c r="Y23" s="19"/>
      <c r="Z23" s="17"/>
      <c r="AA23" s="17"/>
      <c r="AB23" s="17"/>
      <c r="AC23" s="17"/>
      <c r="AD23" s="17"/>
      <c r="AE23" s="2"/>
      <c r="AF23" s="2"/>
      <c r="AG23" s="2"/>
      <c r="AH23" s="2"/>
      <c r="AI23" s="2"/>
      <c r="AJ23" s="2"/>
      <c r="AK23" s="2"/>
      <c r="AL23" s="2"/>
      <c r="AM23" s="2"/>
    </row>
    <row r="24" ht="30.0" customHeight="1">
      <c r="A24" s="2"/>
      <c r="B24" s="2"/>
      <c r="C24" s="2"/>
      <c r="D24" s="103">
        <v>45843.0</v>
      </c>
      <c r="E24" s="109" t="s">
        <v>31</v>
      </c>
      <c r="F24" s="110"/>
      <c r="G24" s="111">
        <v>400000.0</v>
      </c>
      <c r="H24" s="100">
        <f>SUM(H23-G24)</f>
        <v>598346</v>
      </c>
      <c r="I24" s="19"/>
      <c r="J24" s="19"/>
      <c r="K24" s="19"/>
      <c r="L24" s="60"/>
      <c r="M24" s="61"/>
      <c r="N24" s="19"/>
      <c r="O24" s="17"/>
      <c r="P24" s="17"/>
      <c r="Q24" s="19"/>
      <c r="R24" s="19"/>
      <c r="S24" s="19"/>
      <c r="T24" s="17"/>
      <c r="U24" s="17"/>
      <c r="V24" s="19"/>
      <c r="W24" s="19"/>
      <c r="X24" s="19"/>
      <c r="Y24" s="19"/>
      <c r="Z24" s="17"/>
      <c r="AA24" s="17"/>
      <c r="AB24" s="17"/>
      <c r="AC24" s="17"/>
      <c r="AD24" s="17"/>
      <c r="AE24" s="2"/>
      <c r="AF24" s="2"/>
      <c r="AG24" s="2"/>
      <c r="AH24" s="2"/>
      <c r="AI24" s="2"/>
      <c r="AJ24" s="2"/>
      <c r="AK24" s="2"/>
      <c r="AL24" s="2"/>
      <c r="AM24" s="2"/>
    </row>
    <row r="25" ht="30.0" customHeight="1">
      <c r="A25" s="2"/>
      <c r="B25" s="2"/>
      <c r="C25" s="2"/>
      <c r="D25" s="103"/>
      <c r="E25" s="112" t="s">
        <v>32</v>
      </c>
      <c r="F25" s="110"/>
      <c r="G25" s="111"/>
      <c r="H25" s="100">
        <v>168346.0</v>
      </c>
      <c r="I25" s="19"/>
      <c r="J25" s="19"/>
      <c r="K25" s="19"/>
      <c r="L25" s="60"/>
      <c r="M25" s="61"/>
      <c r="N25" s="19"/>
      <c r="O25" s="17"/>
      <c r="P25" s="17"/>
      <c r="Q25" s="19"/>
      <c r="R25" s="19"/>
      <c r="S25" s="19"/>
      <c r="T25" s="17"/>
      <c r="U25" s="17"/>
      <c r="V25" s="19"/>
      <c r="W25" s="19"/>
      <c r="X25" s="19"/>
      <c r="Y25" s="19"/>
      <c r="Z25" s="17"/>
      <c r="AA25" s="17"/>
      <c r="AB25" s="17"/>
      <c r="AC25" s="17"/>
      <c r="AD25" s="17"/>
      <c r="AE25" s="2"/>
      <c r="AF25" s="2"/>
      <c r="AG25" s="2"/>
      <c r="AH25" s="2"/>
      <c r="AI25" s="2"/>
      <c r="AJ25" s="2"/>
      <c r="AK25" s="2"/>
      <c r="AL25" s="2"/>
      <c r="AM25" s="2"/>
    </row>
    <row r="26" ht="27.75" customHeight="1">
      <c r="A26" s="2"/>
      <c r="B26" s="2"/>
      <c r="C26" s="2"/>
      <c r="D26" s="103">
        <v>45849.0</v>
      </c>
      <c r="E26" s="109" t="s">
        <v>33</v>
      </c>
      <c r="F26" s="113"/>
      <c r="G26" s="100">
        <v>430000.0</v>
      </c>
      <c r="H26" s="100">
        <v>0.0</v>
      </c>
      <c r="I26" s="19"/>
      <c r="J26" s="19"/>
      <c r="K26" s="19"/>
      <c r="L26" s="60"/>
      <c r="M26" s="61"/>
      <c r="N26" s="19"/>
      <c r="O26" s="17"/>
      <c r="P26" s="17"/>
      <c r="Q26" s="19"/>
      <c r="R26" s="19"/>
      <c r="S26" s="19"/>
      <c r="T26" s="17"/>
      <c r="U26" s="17"/>
      <c r="V26" s="19"/>
      <c r="W26" s="19"/>
      <c r="X26" s="19"/>
      <c r="Y26" s="19"/>
      <c r="Z26" s="17"/>
      <c r="AA26" s="17"/>
      <c r="AB26" s="17"/>
      <c r="AC26" s="17"/>
      <c r="AD26" s="17"/>
      <c r="AE26" s="2"/>
      <c r="AF26" s="2"/>
      <c r="AG26" s="2"/>
      <c r="AH26" s="19"/>
      <c r="AI26" s="2"/>
      <c r="AJ26" s="2"/>
      <c r="AK26" s="2"/>
      <c r="AL26" s="2"/>
      <c r="AM26" s="2"/>
    </row>
    <row r="27" ht="15.75" customHeight="1">
      <c r="A27" s="2"/>
      <c r="B27" s="2"/>
      <c r="C27" s="2"/>
      <c r="D27" s="94"/>
      <c r="E27" s="33" t="s">
        <v>34</v>
      </c>
      <c r="F27" s="114">
        <v>613500.0</v>
      </c>
      <c r="G27" s="35"/>
      <c r="H27" s="36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5.75" customHeight="1">
      <c r="A28" s="2"/>
      <c r="B28" s="2"/>
      <c r="C28" s="2"/>
      <c r="D28" s="94"/>
      <c r="E28" s="98" t="s">
        <v>35</v>
      </c>
      <c r="F28" s="114">
        <v>45000.0</v>
      </c>
      <c r="G28" s="35"/>
      <c r="H28" s="100">
        <f>SUM(F27:F28)</f>
        <v>658500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33.0" customHeight="1">
      <c r="A29" s="2"/>
      <c r="B29" s="2"/>
      <c r="C29" s="2"/>
      <c r="D29" s="103">
        <v>45880.0</v>
      </c>
      <c r="E29" s="101" t="s">
        <v>36</v>
      </c>
      <c r="F29" s="35"/>
      <c r="G29" s="115">
        <v>400000.0</v>
      </c>
      <c r="H29" s="100">
        <f>SUM(H28-G29)</f>
        <v>258500</v>
      </c>
      <c r="I29" s="11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30.0" customHeight="1">
      <c r="A30" s="2"/>
      <c r="B30" s="2"/>
      <c r="C30" s="2"/>
      <c r="D30" s="103">
        <v>45883.0</v>
      </c>
      <c r="E30" s="117" t="s">
        <v>37</v>
      </c>
      <c r="F30" s="35"/>
      <c r="G30" s="115">
        <v>258500.0</v>
      </c>
      <c r="H30" s="36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5.75" customHeight="1">
      <c r="A31" s="2"/>
      <c r="B31" s="2"/>
      <c r="C31" s="2"/>
      <c r="D31" s="94"/>
      <c r="E31" s="33" t="s">
        <v>38</v>
      </c>
      <c r="F31" s="118">
        <v>622500.0</v>
      </c>
      <c r="G31" s="35"/>
      <c r="H31" s="3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34.5" customHeight="1">
      <c r="A32" s="2"/>
      <c r="B32" s="2"/>
      <c r="C32" s="2"/>
      <c r="D32" s="103">
        <v>45916.0</v>
      </c>
      <c r="E32" s="101" t="s">
        <v>39</v>
      </c>
      <c r="F32" s="35"/>
      <c r="G32" s="115">
        <v>549500.0</v>
      </c>
      <c r="H32" s="3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33.0" customHeight="1">
      <c r="A33" s="2"/>
      <c r="B33" s="2"/>
      <c r="C33" s="2"/>
      <c r="D33" s="103">
        <v>45918.0</v>
      </c>
      <c r="E33" s="117" t="s">
        <v>40</v>
      </c>
      <c r="F33" s="35"/>
      <c r="G33" s="115">
        <v>73000.0</v>
      </c>
      <c r="H33" s="36">
        <v>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6.5" customHeight="1">
      <c r="A34" s="2"/>
      <c r="B34" s="2"/>
      <c r="C34" s="2"/>
      <c r="D34" s="32"/>
      <c r="E34" s="33" t="s">
        <v>41</v>
      </c>
      <c r="F34" s="34">
        <v>650500.0</v>
      </c>
      <c r="G34" s="35"/>
      <c r="H34" s="3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35.25" customHeight="1">
      <c r="A35" s="2"/>
      <c r="B35" s="2"/>
      <c r="C35" s="2"/>
      <c r="D35" s="38">
        <v>45948.0</v>
      </c>
      <c r="E35" s="39" t="s">
        <v>42</v>
      </c>
      <c r="F35" s="35"/>
      <c r="G35" s="40">
        <v>650500.0</v>
      </c>
      <c r="H35" s="41">
        <v>0.0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5.75" customHeight="1">
      <c r="A36" s="2"/>
      <c r="B36" s="2"/>
      <c r="C36" s="2"/>
      <c r="D36" s="32"/>
      <c r="E36" s="33" t="s">
        <v>43</v>
      </c>
      <c r="F36" s="34">
        <v>613565.0</v>
      </c>
      <c r="G36" s="35"/>
      <c r="H36" s="3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30.75" customHeight="1">
      <c r="A37" s="2"/>
      <c r="B37" s="2"/>
      <c r="C37" s="2"/>
      <c r="D37" s="38">
        <v>45980.0</v>
      </c>
      <c r="E37" s="39" t="s">
        <v>44</v>
      </c>
      <c r="F37" s="35"/>
      <c r="G37" s="40">
        <v>613565.0</v>
      </c>
      <c r="H37" s="41">
        <v>0.0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5.75" customHeight="1">
      <c r="A38" s="2"/>
      <c r="B38" s="2"/>
      <c r="C38" s="2"/>
      <c r="D38" s="32"/>
      <c r="E38" s="33" t="s">
        <v>45</v>
      </c>
      <c r="F38" s="34">
        <v>669000.0</v>
      </c>
      <c r="G38" s="35"/>
      <c r="H38" s="3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33.75" customHeight="1">
      <c r="A39" s="2"/>
      <c r="B39" s="2"/>
      <c r="C39" s="2"/>
      <c r="D39" s="38">
        <v>46010.0</v>
      </c>
      <c r="E39" s="39" t="s">
        <v>46</v>
      </c>
      <c r="F39" s="35"/>
      <c r="G39" s="40">
        <v>669000.0</v>
      </c>
      <c r="H39" s="41">
        <v>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8.0" customHeight="1">
      <c r="A40" s="2"/>
      <c r="B40" s="2"/>
      <c r="C40" s="2"/>
      <c r="D40" s="32"/>
      <c r="E40" s="33" t="s">
        <v>15</v>
      </c>
      <c r="F40" s="34">
        <v>663500.0</v>
      </c>
      <c r="G40" s="35"/>
      <c r="H40" s="3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29.25" customHeight="1">
      <c r="A41" s="2"/>
      <c r="B41" s="2"/>
      <c r="C41" s="2"/>
      <c r="D41" s="38"/>
      <c r="E41" s="39" t="s">
        <v>47</v>
      </c>
      <c r="F41" s="35"/>
      <c r="G41" s="40"/>
      <c r="H41" s="41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5.75" customHeight="1">
      <c r="A42" s="2"/>
      <c r="B42" s="2"/>
      <c r="C42" s="2"/>
      <c r="D42" s="38">
        <v>46035.0</v>
      </c>
      <c r="E42" s="39" t="s">
        <v>48</v>
      </c>
      <c r="F42" s="35"/>
      <c r="G42" s="40">
        <v>663500.0</v>
      </c>
      <c r="H42" s="11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5.75" customHeight="1">
      <c r="A43" s="2"/>
      <c r="B43" s="2"/>
      <c r="C43" s="2"/>
      <c r="D43" s="32"/>
      <c r="E43" s="120"/>
      <c r="F43" s="35"/>
      <c r="G43" s="35"/>
      <c r="H43" s="11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5.75" customHeight="1">
      <c r="A44" s="2"/>
      <c r="B44" s="2"/>
      <c r="C44" s="2"/>
      <c r="D44" s="32"/>
      <c r="E44" s="120"/>
      <c r="F44" s="35"/>
      <c r="G44" s="35"/>
      <c r="H44" s="11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5.75" customHeight="1">
      <c r="A45" s="2"/>
      <c r="B45" s="2"/>
      <c r="C45" s="2"/>
      <c r="D45" s="32"/>
      <c r="E45" s="120"/>
      <c r="F45" s="35"/>
      <c r="G45" s="35"/>
      <c r="H45" s="1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5.75" customHeight="1">
      <c r="A46" s="2"/>
      <c r="B46" s="2"/>
      <c r="C46" s="2"/>
      <c r="D46" s="32"/>
      <c r="E46" s="120"/>
      <c r="F46" s="35"/>
      <c r="G46" s="35"/>
      <c r="H46" s="11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5.75" customHeight="1">
      <c r="A47" s="2"/>
      <c r="B47" s="2"/>
      <c r="C47" s="2"/>
      <c r="D47" s="88"/>
      <c r="E47" s="89"/>
      <c r="F47" s="18"/>
      <c r="G47" s="18"/>
      <c r="H47" s="12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5.75" customHeight="1">
      <c r="A48" s="2"/>
      <c r="B48" s="2"/>
      <c r="C48" s="2"/>
      <c r="D48" s="88"/>
      <c r="E48" s="89"/>
      <c r="F48" s="18"/>
      <c r="G48" s="18"/>
      <c r="H48" s="9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5.75" customHeight="1">
      <c r="A49" s="2"/>
      <c r="B49" s="2"/>
      <c r="C49" s="2"/>
      <c r="D49" s="88"/>
      <c r="E49" s="89"/>
      <c r="F49" s="90"/>
      <c r="G49" s="90"/>
      <c r="H49" s="9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5.75" customHeight="1">
      <c r="A50" s="2"/>
      <c r="B50" s="2"/>
      <c r="C50" s="2"/>
      <c r="D50" s="88"/>
      <c r="E50" s="89"/>
      <c r="F50" s="90"/>
      <c r="G50" s="90"/>
      <c r="H50" s="9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5.75" customHeight="1">
      <c r="A51" s="2"/>
      <c r="B51" s="2"/>
      <c r="C51" s="2"/>
      <c r="D51" s="88"/>
      <c r="E51" s="89"/>
      <c r="F51" s="90"/>
      <c r="G51" s="90"/>
      <c r="H51" s="9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5.75" customHeight="1">
      <c r="A52" s="2"/>
      <c r="B52" s="2"/>
      <c r="C52" s="2"/>
      <c r="D52" s="88"/>
      <c r="E52" s="89"/>
      <c r="F52" s="90"/>
      <c r="G52" s="90"/>
      <c r="H52" s="9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5.75" customHeight="1">
      <c r="A53" s="2"/>
      <c r="B53" s="2"/>
      <c r="C53" s="2"/>
      <c r="D53" s="88"/>
      <c r="E53" s="89"/>
      <c r="F53" s="90"/>
      <c r="G53" s="90"/>
      <c r="H53" s="9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5.75" customHeight="1">
      <c r="A54" s="2"/>
      <c r="B54" s="2"/>
      <c r="C54" s="2"/>
      <c r="D54" s="88"/>
      <c r="E54" s="89"/>
      <c r="F54" s="90"/>
      <c r="G54" s="90"/>
      <c r="H54" s="9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15.75" customHeight="1">
      <c r="A55" s="2"/>
      <c r="B55" s="2"/>
      <c r="C55" s="2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ht="15.75" customHeight="1">
      <c r="A56" s="2"/>
      <c r="B56" s="2"/>
      <c r="C56" s="2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15.75" customHeight="1">
      <c r="A57" s="2"/>
      <c r="B57" s="2"/>
      <c r="C57" s="2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ht="15.75" customHeight="1">
      <c r="A58" s="2"/>
      <c r="B58" s="2"/>
      <c r="C58" s="2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15.75" customHeight="1">
      <c r="A59" s="2"/>
      <c r="B59" s="2"/>
      <c r="C59" s="2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ht="15.75" customHeight="1">
      <c r="A60" s="2"/>
      <c r="B60" s="2"/>
      <c r="C60" s="2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15.75" customHeight="1">
      <c r="A61" s="2"/>
      <c r="B61" s="2"/>
      <c r="C61" s="2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15.75" customHeight="1">
      <c r="A62" s="2"/>
      <c r="B62" s="2"/>
      <c r="C62" s="2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ht="15.75" customHeight="1">
      <c r="A63" s="2"/>
      <c r="B63" s="2"/>
      <c r="C63" s="2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ht="15.75" customHeight="1">
      <c r="A64" s="2"/>
      <c r="B64" s="2"/>
      <c r="C64" s="2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ht="15.75" customHeight="1">
      <c r="A65" s="2"/>
      <c r="B65" s="2"/>
      <c r="C65" s="2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ht="15.75" customHeight="1">
      <c r="A66" s="2"/>
      <c r="B66" s="2"/>
      <c r="C66" s="2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ht="15.75" customHeight="1">
      <c r="A67" s="2"/>
      <c r="B67" s="2"/>
      <c r="C67" s="2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ht="15.75" customHeight="1">
      <c r="A68" s="2"/>
      <c r="B68" s="2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ht="15.75" customHeight="1">
      <c r="A69" s="2"/>
      <c r="B69" s="2"/>
      <c r="C69" s="2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ht="15.75" customHeight="1">
      <c r="A70" s="2"/>
      <c r="B70" s="2"/>
      <c r="C70" s="2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ht="15.75" customHeight="1">
      <c r="A71" s="2"/>
      <c r="B71" s="2"/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ht="15.75" customHeight="1">
      <c r="A72" s="2"/>
      <c r="B72" s="2"/>
      <c r="C72" s="2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15.75" customHeight="1">
      <c r="A73" s="2"/>
      <c r="B73" s="2"/>
      <c r="C73" s="2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ht="15.75" customHeight="1">
      <c r="A74" s="2"/>
      <c r="B74" s="2"/>
      <c r="C74" s="2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15.75" customHeight="1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ht="15.75" customHeight="1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ht="15.75" customHeight="1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ht="15.75" customHeight="1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ht="15.75" customHeight="1">
      <c r="A79" s="2"/>
      <c r="B79" s="2"/>
      <c r="C79" s="2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ht="15.75" customHeight="1">
      <c r="A80" s="2"/>
      <c r="B80" s="2"/>
      <c r="C80" s="2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ht="15.75" customHeight="1">
      <c r="A81" s="2"/>
      <c r="B81" s="2"/>
      <c r="C81" s="2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ht="15.75" customHeight="1">
      <c r="A82" s="2"/>
      <c r="B82" s="2"/>
      <c r="C82" s="2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ht="15.75" customHeight="1">
      <c r="A83" s="2"/>
      <c r="B83" s="2"/>
      <c r="C83" s="2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ht="15.75" customHeight="1">
      <c r="A84" s="2"/>
      <c r="B84" s="2"/>
      <c r="C84" s="2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ht="15.75" customHeight="1">
      <c r="A85" s="2"/>
      <c r="B85" s="2"/>
      <c r="C85" s="2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ht="15.75" customHeight="1">
      <c r="A86" s="2"/>
      <c r="B86" s="2"/>
      <c r="C86" s="2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15.75" customHeight="1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ht="15.75" customHeight="1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15.75" customHeight="1">
      <c r="A89" s="2"/>
      <c r="B89" s="2"/>
      <c r="C89" s="2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ht="15.75" customHeight="1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15.75" customHeight="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15.75" customHeight="1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15.75" customHeight="1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15.75" customHeight="1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ht="15.75" customHeight="1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15.75" customHeight="1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ht="15.75" customHeight="1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15.75" customHeight="1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ht="15.75" customHeight="1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15.75" customHeight="1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ht="15.75" customHeight="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ht="15.75" customHeight="1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ht="15.75" customHeight="1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ht="15.75" customHeight="1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ht="15.75" customHeight="1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ht="15.75" customHeight="1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ht="15.75" customHeight="1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ht="15.75" customHeight="1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ht="15.75" customHeight="1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ht="15.75" customHeight="1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ht="15.75" customHeight="1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ht="15.75" customHeight="1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ht="15.75" customHeight="1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ht="15.75" customHeight="1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ht="15.75" customHeight="1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ht="15.75" customHeight="1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ht="15.75" customHeight="1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ht="15.75" customHeight="1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ht="15.75" customHeight="1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ht="15.75" customHeight="1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ht="15.75" customHeight="1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ht="15.75" customHeight="1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ht="15.75" customHeight="1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ht="15.75" customHeight="1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ht="15.75" customHeight="1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ht="15.75" customHeight="1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ht="15.75" customHeight="1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ht="15.75" customHeight="1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ht="15.75" customHeight="1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ht="15.75" customHeight="1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ht="15.75" customHeight="1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ht="15.75" customHeight="1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ht="15.75" customHeight="1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ht="15.75" customHeight="1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ht="15.75" customHeight="1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ht="15.75" customHeight="1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ht="15.75" customHeight="1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ht="15.75" customHeight="1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ht="15.75" customHeight="1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ht="15.75" customHeight="1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ht="15.75" customHeight="1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ht="15.75" customHeight="1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ht="15.75" customHeight="1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ht="15.75" customHeight="1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ht="15.75" customHeight="1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>
      <c r="A987" s="2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>
      <c r="A988" s="2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>
      <c r="A989" s="2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>
      <c r="A990" s="2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>
      <c r="A991" s="2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>
      <c r="A992" s="2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>
      <c r="A993" s="2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>
      <c r="A994" s="2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>
      <c r="A995" s="2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>
      <c r="A996" s="2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>
      <c r="A997" s="2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>
      <c r="A998" s="2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>
      <c r="A999" s="2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>
      <c r="A1000" s="2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  <row r="1001">
      <c r="A1001" s="2"/>
      <c r="B1001" s="2"/>
      <c r="C1001" s="2"/>
      <c r="D1001" s="2"/>
      <c r="E1001" s="2"/>
      <c r="F1001" s="2"/>
      <c r="G1001" s="2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</row>
  </sheetData>
  <mergeCells count="1">
    <mergeCell ref="D4:H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14"/>
    <col customWidth="1" min="2" max="2" width="32.0"/>
    <col customWidth="1" min="3" max="3" width="24.57"/>
    <col customWidth="1" min="4" max="4" width="110.43"/>
    <col customWidth="1" min="5" max="5" width="26.14"/>
    <col customWidth="1" min="6" max="6" width="23.57"/>
    <col customWidth="1" min="7" max="7" width="21.71"/>
    <col customWidth="1" min="8" max="8" width="19.0"/>
    <col customWidth="1" min="9" max="9" width="22.29"/>
    <col customWidth="1" min="10" max="10" width="34.57"/>
    <col customWidth="1" min="11" max="11" width="31.29"/>
    <col customWidth="1" min="12" max="12" width="22.14"/>
    <col customWidth="1" min="13" max="13" width="30.43"/>
    <col customWidth="1" min="14" max="14" width="14.14"/>
    <col customWidth="1" min="15" max="15" width="27.0"/>
    <col customWidth="1" min="16" max="16" width="30.43"/>
    <col customWidth="1" min="17" max="17" width="31.57"/>
    <col customWidth="1" min="18" max="18" width="21.86"/>
    <col customWidth="1" min="19" max="19" width="122.43"/>
    <col customWidth="1" min="20" max="20" width="28.0"/>
    <col customWidth="1" min="21" max="21" width="27.0"/>
    <col customWidth="1" min="22" max="22" width="22.71"/>
    <col customWidth="1" min="23" max="26" width="11.57"/>
  </cols>
  <sheetData>
    <row r="1" ht="51.0" customHeight="1">
      <c r="A1" s="122"/>
      <c r="B1" s="123" t="s">
        <v>49</v>
      </c>
      <c r="C1" s="124" t="s">
        <v>50</v>
      </c>
      <c r="D1" s="125"/>
      <c r="E1" s="126">
        <f>SUM(E4:E93)</f>
        <v>6270600</v>
      </c>
      <c r="F1" s="127">
        <f>SUM(F3:F89)</f>
        <v>2612497</v>
      </c>
      <c r="G1" s="128">
        <f t="shared" ref="G1:H1" si="1">SUM(G3:G99)</f>
        <v>384000</v>
      </c>
      <c r="H1" s="128">
        <f t="shared" si="1"/>
        <v>1130114</v>
      </c>
      <c r="I1" s="128">
        <f>SUM(I3:I97)</f>
        <v>1761720</v>
      </c>
      <c r="J1" s="129">
        <f>SUM(J3:J98)</f>
        <v>757011</v>
      </c>
      <c r="K1" s="130">
        <f>SUM(F1:H1)</f>
        <v>4126611</v>
      </c>
      <c r="L1" s="131">
        <f>SUM(F1:J1)</f>
        <v>6645342</v>
      </c>
      <c r="M1" s="132">
        <f>SUM(L1-E1)</f>
        <v>374742</v>
      </c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ht="58.5" customHeight="1">
      <c r="A2" s="122"/>
      <c r="B2" s="133"/>
      <c r="C2" s="134"/>
      <c r="D2" s="135"/>
      <c r="E2" s="136" t="s">
        <v>51</v>
      </c>
      <c r="F2" s="137" t="s">
        <v>52</v>
      </c>
      <c r="G2" s="137" t="s">
        <v>53</v>
      </c>
      <c r="H2" s="137" t="s">
        <v>54</v>
      </c>
      <c r="I2" s="138" t="s">
        <v>55</v>
      </c>
      <c r="J2" s="139" t="s">
        <v>56</v>
      </c>
      <c r="K2" s="140" t="s">
        <v>57</v>
      </c>
      <c r="L2" s="141" t="s">
        <v>58</v>
      </c>
      <c r="M2" s="141" t="s">
        <v>59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ht="24.75" customHeight="1">
      <c r="A3" s="122"/>
      <c r="B3" s="142"/>
      <c r="C3" s="143"/>
      <c r="D3" s="144"/>
      <c r="E3" s="145"/>
      <c r="F3" s="146"/>
      <c r="G3" s="146"/>
      <c r="H3" s="147"/>
      <c r="I3" s="147"/>
      <c r="J3" s="147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ht="24.75" customHeight="1">
      <c r="A4" s="122"/>
      <c r="B4" s="148">
        <v>44947.0</v>
      </c>
      <c r="C4" s="149" t="s">
        <v>60</v>
      </c>
      <c r="D4" s="150"/>
      <c r="E4" s="151">
        <v>280000.0</v>
      </c>
      <c r="F4" s="152"/>
      <c r="G4" s="152"/>
      <c r="H4" s="153"/>
      <c r="I4" s="153"/>
      <c r="J4" s="153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ht="51.0" customHeight="1">
      <c r="A5" s="122"/>
      <c r="B5" s="154">
        <v>44947.0</v>
      </c>
      <c r="C5" s="155" t="s">
        <v>61</v>
      </c>
      <c r="D5" s="156"/>
      <c r="E5" s="151"/>
      <c r="F5" s="152"/>
      <c r="G5" s="157">
        <v>14000.0</v>
      </c>
      <c r="H5" s="153"/>
      <c r="I5" s="153"/>
      <c r="J5" s="15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ht="24.75" customHeight="1">
      <c r="A6" s="122"/>
      <c r="B6" s="154">
        <v>44947.0</v>
      </c>
      <c r="C6" s="158" t="s">
        <v>62</v>
      </c>
      <c r="D6" s="156"/>
      <c r="E6" s="151"/>
      <c r="F6" s="157">
        <v>26490.0</v>
      </c>
      <c r="G6" s="122"/>
      <c r="H6" s="153"/>
      <c r="I6" s="153"/>
      <c r="J6" s="152"/>
      <c r="K6" s="159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51.75" customHeight="1">
      <c r="A7" s="122"/>
      <c r="B7" s="154">
        <v>44949.0</v>
      </c>
      <c r="C7" s="155" t="s">
        <v>63</v>
      </c>
      <c r="D7" s="156"/>
      <c r="E7" s="151"/>
      <c r="F7" s="152"/>
      <c r="G7" s="152"/>
      <c r="H7" s="153"/>
      <c r="I7" s="157">
        <v>67220.0</v>
      </c>
      <c r="J7" s="153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ht="24.75" customHeight="1">
      <c r="A8" s="122"/>
      <c r="B8" s="148">
        <v>44949.0</v>
      </c>
      <c r="C8" s="149" t="s">
        <v>64</v>
      </c>
      <c r="D8" s="150"/>
      <c r="E8" s="160">
        <v>800000.0</v>
      </c>
      <c r="F8" s="161"/>
      <c r="G8" s="161"/>
      <c r="H8" s="162"/>
      <c r="I8" s="162"/>
      <c r="J8" s="162"/>
      <c r="K8" s="163">
        <v>250000.0</v>
      </c>
      <c r="L8" s="164" t="s">
        <v>65</v>
      </c>
      <c r="R8" s="122"/>
      <c r="S8" s="122"/>
      <c r="T8" s="122"/>
      <c r="U8" s="122"/>
      <c r="V8" s="122"/>
      <c r="W8" s="122"/>
      <c r="X8" s="122"/>
      <c r="Y8" s="122"/>
      <c r="Z8" s="122"/>
    </row>
    <row r="9" ht="24.75" customHeight="1">
      <c r="A9" s="122"/>
      <c r="B9" s="165">
        <v>44950.0</v>
      </c>
      <c r="C9" s="166" t="s">
        <v>66</v>
      </c>
      <c r="D9" s="156"/>
      <c r="E9" s="167">
        <v>250000.0</v>
      </c>
      <c r="F9" s="161"/>
      <c r="G9" s="161"/>
      <c r="H9" s="162"/>
      <c r="I9" s="162"/>
      <c r="J9" s="162"/>
      <c r="K9" s="168"/>
      <c r="L9" s="168"/>
      <c r="M9" s="168"/>
      <c r="N9" s="168"/>
      <c r="O9" s="168"/>
      <c r="P9" s="168"/>
      <c r="Q9" s="168"/>
      <c r="R9" s="122"/>
      <c r="S9" s="122"/>
      <c r="T9" s="122"/>
      <c r="U9" s="122"/>
      <c r="V9" s="122"/>
      <c r="W9" s="122"/>
      <c r="X9" s="122"/>
      <c r="Y9" s="122"/>
      <c r="Z9" s="122"/>
    </row>
    <row r="10" ht="24.75" customHeight="1">
      <c r="A10" s="122"/>
      <c r="B10" s="165">
        <v>44950.0</v>
      </c>
      <c r="C10" s="152" t="s">
        <v>67</v>
      </c>
      <c r="D10" s="152"/>
      <c r="E10" s="169"/>
      <c r="F10" s="170">
        <v>474992.0</v>
      </c>
      <c r="G10" s="153"/>
      <c r="H10" s="153"/>
      <c r="I10" s="153"/>
      <c r="J10" s="153"/>
      <c r="K10" s="171">
        <f>SUM(F10+F11+F12+F13+F15+F18+F19+F21+F22+F23+F33+F34+F35+F36+F37+F38+F39+F41+F42)</f>
        <v>980207</v>
      </c>
      <c r="L10" s="168" t="s">
        <v>68</v>
      </c>
      <c r="M10" s="168"/>
      <c r="N10" s="168"/>
      <c r="O10" s="168"/>
      <c r="P10" s="168"/>
      <c r="Q10" s="168"/>
      <c r="R10" s="122"/>
      <c r="S10" s="122"/>
      <c r="T10" s="122"/>
      <c r="U10" s="122"/>
      <c r="V10" s="122"/>
      <c r="W10" s="122"/>
      <c r="X10" s="122"/>
      <c r="Y10" s="122"/>
      <c r="Z10" s="122"/>
    </row>
    <row r="11" ht="24.75" customHeight="1">
      <c r="A11" s="122"/>
      <c r="B11" s="165">
        <v>44950.0</v>
      </c>
      <c r="C11" s="152" t="s">
        <v>69</v>
      </c>
      <c r="D11" s="172"/>
      <c r="E11" s="169"/>
      <c r="F11" s="170">
        <v>35700.0</v>
      </c>
      <c r="G11" s="153"/>
      <c r="H11" s="153"/>
      <c r="I11" s="153"/>
      <c r="J11" s="153"/>
      <c r="K11" s="173">
        <f>SUM(G5+F6+I7+H14+H20+H24+H25+H26+F29+I30+I31+I32+H40+F43)</f>
        <v>819824</v>
      </c>
      <c r="L11" s="168" t="s">
        <v>70</v>
      </c>
      <c r="M11" s="168"/>
      <c r="N11" s="168"/>
      <c r="O11" s="168"/>
      <c r="P11" s="168"/>
      <c r="Q11" s="168"/>
      <c r="R11" s="122"/>
      <c r="S11" s="122"/>
      <c r="T11" s="122"/>
      <c r="U11" s="122"/>
      <c r="V11" s="122"/>
      <c r="W11" s="122"/>
      <c r="X11" s="122"/>
      <c r="Y11" s="122"/>
      <c r="Z11" s="122"/>
    </row>
    <row r="12" ht="24.75" customHeight="1">
      <c r="A12" s="122"/>
      <c r="B12" s="165">
        <v>44950.0</v>
      </c>
      <c r="C12" s="152" t="s">
        <v>71</v>
      </c>
      <c r="D12" s="172"/>
      <c r="E12" s="169"/>
      <c r="F12" s="170">
        <v>21800.0</v>
      </c>
      <c r="G12" s="153"/>
      <c r="H12" s="153"/>
      <c r="I12" s="153"/>
      <c r="J12" s="153"/>
      <c r="K12" s="174">
        <f>SUM(K10:K11)</f>
        <v>1800031</v>
      </c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ht="24.75" customHeight="1">
      <c r="A13" s="122"/>
      <c r="B13" s="165">
        <v>44950.0</v>
      </c>
      <c r="C13" s="175" t="s">
        <v>72</v>
      </c>
      <c r="D13" s="156"/>
      <c r="E13" s="176"/>
      <c r="F13" s="170">
        <v>10000.0</v>
      </c>
      <c r="G13" s="153"/>
      <c r="H13" s="153"/>
      <c r="I13" s="153"/>
      <c r="J13" s="153"/>
      <c r="K13" s="159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ht="24.75" customHeight="1">
      <c r="A14" s="122"/>
      <c r="B14" s="165">
        <v>44952.0</v>
      </c>
      <c r="C14" s="175" t="s">
        <v>73</v>
      </c>
      <c r="D14" s="156"/>
      <c r="E14" s="176"/>
      <c r="F14" s="159"/>
      <c r="G14" s="153"/>
      <c r="H14" s="177">
        <v>60114.0</v>
      </c>
      <c r="I14" s="153"/>
      <c r="J14" s="153"/>
      <c r="K14" s="178" t="s">
        <v>74</v>
      </c>
      <c r="S14" s="122"/>
      <c r="T14" s="122"/>
      <c r="U14" s="122"/>
      <c r="V14" s="122"/>
      <c r="W14" s="122"/>
      <c r="X14" s="122"/>
      <c r="Y14" s="122"/>
      <c r="Z14" s="122"/>
    </row>
    <row r="15" ht="24.75" customHeight="1">
      <c r="A15" s="122"/>
      <c r="B15" s="165">
        <v>44952.0</v>
      </c>
      <c r="C15" s="175" t="s">
        <v>75</v>
      </c>
      <c r="D15" s="156"/>
      <c r="E15" s="176"/>
      <c r="F15" s="170">
        <v>21400.0</v>
      </c>
      <c r="G15" s="153"/>
      <c r="H15" s="153"/>
      <c r="I15" s="153"/>
      <c r="J15" s="153"/>
      <c r="K15" s="122"/>
      <c r="L15" s="122"/>
      <c r="M15" s="159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ht="24.75" customHeight="1">
      <c r="A16" s="122"/>
      <c r="B16" s="165">
        <v>44952.0</v>
      </c>
      <c r="C16" s="175" t="s">
        <v>76</v>
      </c>
      <c r="D16" s="156"/>
      <c r="E16" s="176"/>
      <c r="F16" s="179">
        <v>4800.0</v>
      </c>
      <c r="G16" s="153"/>
      <c r="H16" s="153"/>
      <c r="I16" s="153"/>
      <c r="J16" s="153"/>
      <c r="K16" s="15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ht="24.75" customHeight="1">
      <c r="A17" s="122"/>
      <c r="B17" s="165">
        <v>44952.0</v>
      </c>
      <c r="C17" s="175" t="s">
        <v>77</v>
      </c>
      <c r="D17" s="156"/>
      <c r="E17" s="176"/>
      <c r="F17" s="179">
        <v>15000.0</v>
      </c>
      <c r="G17" s="153"/>
      <c r="H17" s="153"/>
      <c r="I17" s="153"/>
      <c r="J17" s="153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ht="24.75" customHeight="1">
      <c r="A18" s="122"/>
      <c r="B18" s="165">
        <v>44952.0</v>
      </c>
      <c r="C18" s="175" t="s">
        <v>78</v>
      </c>
      <c r="D18" s="156"/>
      <c r="E18" s="176"/>
      <c r="F18" s="170">
        <v>22000.0</v>
      </c>
      <c r="G18" s="153"/>
      <c r="H18" s="153"/>
      <c r="I18" s="153"/>
      <c r="J18" s="153"/>
      <c r="K18" s="122"/>
      <c r="L18" s="180"/>
      <c r="M18" s="180"/>
      <c r="N18" s="180"/>
      <c r="O18" s="180"/>
      <c r="P18" s="180"/>
      <c r="Q18" s="180"/>
      <c r="R18" s="180"/>
      <c r="S18" s="180"/>
      <c r="T18" s="122"/>
      <c r="U18" s="122"/>
      <c r="V18" s="122"/>
      <c r="W18" s="122"/>
      <c r="X18" s="122"/>
      <c r="Y18" s="122"/>
      <c r="Z18" s="122"/>
    </row>
    <row r="19" ht="24.75" customHeight="1">
      <c r="A19" s="122"/>
      <c r="B19" s="165">
        <v>44952.0</v>
      </c>
      <c r="C19" s="175" t="s">
        <v>79</v>
      </c>
      <c r="D19" s="156"/>
      <c r="E19" s="176"/>
      <c r="F19" s="170">
        <v>5500.0</v>
      </c>
      <c r="G19" s="153"/>
      <c r="H19" s="153"/>
      <c r="I19" s="153"/>
      <c r="J19" s="153"/>
      <c r="K19" s="122"/>
      <c r="L19" s="181"/>
      <c r="M19" s="182"/>
      <c r="N19" s="182"/>
      <c r="O19" s="182"/>
      <c r="P19" s="182"/>
      <c r="Q19" s="182"/>
      <c r="R19" s="180"/>
      <c r="S19" s="180"/>
      <c r="T19" s="122"/>
      <c r="U19" s="122"/>
      <c r="V19" s="122"/>
      <c r="W19" s="122"/>
      <c r="X19" s="122"/>
      <c r="Y19" s="122"/>
      <c r="Z19" s="122"/>
    </row>
    <row r="20" ht="24.75" customHeight="1">
      <c r="A20" s="122"/>
      <c r="B20" s="165">
        <v>44952.0</v>
      </c>
      <c r="C20" s="152" t="s">
        <v>80</v>
      </c>
      <c r="D20" s="172"/>
      <c r="E20" s="169"/>
      <c r="F20" s="159"/>
      <c r="G20" s="153"/>
      <c r="H20" s="177">
        <v>100000.0</v>
      </c>
      <c r="I20" s="153"/>
      <c r="J20" s="153"/>
      <c r="K20" s="122"/>
      <c r="L20" s="181"/>
      <c r="M20" s="182"/>
      <c r="N20" s="182"/>
      <c r="O20" s="182"/>
      <c r="P20" s="182"/>
      <c r="Q20" s="182"/>
      <c r="R20" s="180"/>
      <c r="S20" s="180"/>
      <c r="T20" s="122"/>
      <c r="U20" s="122"/>
      <c r="V20" s="122"/>
      <c r="W20" s="122"/>
      <c r="X20" s="122"/>
      <c r="Y20" s="122"/>
      <c r="Z20" s="122"/>
    </row>
    <row r="21" ht="24.75" customHeight="1">
      <c r="A21" s="122"/>
      <c r="B21" s="165">
        <v>44953.0</v>
      </c>
      <c r="C21" s="155" t="s">
        <v>81</v>
      </c>
      <c r="D21" s="156"/>
      <c r="E21" s="176"/>
      <c r="F21" s="170">
        <v>9600.0</v>
      </c>
      <c r="G21" s="153"/>
      <c r="H21" s="153"/>
      <c r="I21" s="153"/>
      <c r="J21" s="153"/>
      <c r="K21" s="159"/>
      <c r="L21" s="181"/>
      <c r="M21" s="182"/>
      <c r="N21" s="180"/>
      <c r="O21" s="182"/>
      <c r="P21" s="182"/>
      <c r="Q21" s="182"/>
      <c r="R21" s="180"/>
      <c r="S21" s="180"/>
      <c r="T21" s="122"/>
      <c r="U21" s="122"/>
      <c r="V21" s="122"/>
      <c r="W21" s="122"/>
      <c r="X21" s="122"/>
      <c r="Y21" s="122"/>
      <c r="Z21" s="122"/>
    </row>
    <row r="22" ht="24.75" customHeight="1">
      <c r="A22" s="122"/>
      <c r="B22" s="165">
        <v>44953.0</v>
      </c>
      <c r="C22" s="155" t="s">
        <v>82</v>
      </c>
      <c r="D22" s="156"/>
      <c r="E22" s="176"/>
      <c r="F22" s="170">
        <v>19300.0</v>
      </c>
      <c r="G22" s="153"/>
      <c r="H22" s="153"/>
      <c r="I22" s="153"/>
      <c r="J22" s="153"/>
      <c r="K22" s="122"/>
      <c r="L22" s="181"/>
      <c r="M22" s="182"/>
      <c r="N22" s="182"/>
      <c r="O22" s="182"/>
      <c r="P22" s="182"/>
      <c r="Q22" s="182"/>
      <c r="R22" s="180"/>
      <c r="S22" s="182"/>
      <c r="T22" s="122"/>
      <c r="U22" s="122"/>
      <c r="V22" s="122"/>
      <c r="W22" s="122"/>
      <c r="X22" s="122"/>
      <c r="Y22" s="122"/>
      <c r="Z22" s="122"/>
    </row>
    <row r="23" ht="24.75" customHeight="1">
      <c r="A23" s="122"/>
      <c r="B23" s="165">
        <v>44957.0</v>
      </c>
      <c r="C23" s="158" t="s">
        <v>83</v>
      </c>
      <c r="D23" s="156"/>
      <c r="E23" s="169"/>
      <c r="F23" s="170">
        <v>58500.0</v>
      </c>
      <c r="G23" s="153"/>
      <c r="H23" s="153"/>
      <c r="I23" s="153"/>
      <c r="J23" s="153"/>
      <c r="K23" s="122"/>
      <c r="L23" s="181"/>
      <c r="M23" s="182"/>
      <c r="N23" s="182"/>
      <c r="O23" s="182"/>
      <c r="P23" s="182"/>
      <c r="Q23" s="182"/>
      <c r="R23" s="180"/>
      <c r="S23" s="180"/>
      <c r="T23" s="122"/>
      <c r="U23" s="122"/>
      <c r="V23" s="122"/>
      <c r="W23" s="122"/>
      <c r="X23" s="122"/>
      <c r="Y23" s="122"/>
      <c r="Z23" s="122"/>
    </row>
    <row r="24" ht="49.5" customHeight="1">
      <c r="A24" s="122"/>
      <c r="B24" s="165">
        <v>44957.0</v>
      </c>
      <c r="C24" s="155" t="s">
        <v>84</v>
      </c>
      <c r="D24" s="156"/>
      <c r="E24" s="176"/>
      <c r="F24" s="153"/>
      <c r="G24" s="153"/>
      <c r="H24" s="177">
        <v>12000.0</v>
      </c>
      <c r="I24" s="153"/>
      <c r="J24" s="179"/>
      <c r="K24" s="122"/>
      <c r="L24" s="181"/>
      <c r="M24" s="182"/>
      <c r="N24" s="182"/>
      <c r="O24" s="182"/>
      <c r="P24" s="182"/>
      <c r="Q24" s="182"/>
      <c r="R24" s="180"/>
      <c r="S24" s="182"/>
      <c r="T24" s="122"/>
      <c r="U24" s="122"/>
      <c r="V24" s="122"/>
      <c r="W24" s="122"/>
      <c r="X24" s="122"/>
      <c r="Y24" s="122"/>
      <c r="Z24" s="122"/>
    </row>
    <row r="25" ht="51.75" customHeight="1">
      <c r="A25" s="122"/>
      <c r="B25" s="165">
        <v>44957.0</v>
      </c>
      <c r="C25" s="155" t="s">
        <v>85</v>
      </c>
      <c r="D25" s="156"/>
      <c r="E25" s="176"/>
      <c r="F25" s="153"/>
      <c r="G25" s="153"/>
      <c r="H25" s="177">
        <v>4000.0</v>
      </c>
      <c r="I25" s="153"/>
      <c r="J25" s="179"/>
      <c r="K25" s="122"/>
      <c r="L25" s="181"/>
      <c r="M25" s="181"/>
      <c r="N25" s="182"/>
      <c r="O25" s="182"/>
      <c r="P25" s="182"/>
      <c r="Q25" s="182"/>
      <c r="R25" s="180"/>
      <c r="S25" s="182"/>
      <c r="T25" s="122"/>
      <c r="U25" s="122"/>
      <c r="V25" s="122"/>
      <c r="W25" s="122"/>
      <c r="X25" s="122"/>
      <c r="Y25" s="122"/>
      <c r="Z25" s="122"/>
    </row>
    <row r="26" ht="48.0" customHeight="1">
      <c r="A26" s="122"/>
      <c r="B26" s="165">
        <v>44957.0</v>
      </c>
      <c r="C26" s="155" t="s">
        <v>86</v>
      </c>
      <c r="D26" s="156"/>
      <c r="E26" s="176"/>
      <c r="F26" s="153"/>
      <c r="G26" s="153"/>
      <c r="H26" s="177">
        <v>16000.0</v>
      </c>
      <c r="I26" s="153"/>
      <c r="J26" s="179"/>
      <c r="K26" s="183"/>
      <c r="L26" s="181"/>
      <c r="M26" s="181"/>
      <c r="N26" s="182"/>
      <c r="O26" s="182"/>
      <c r="P26" s="182"/>
      <c r="Q26" s="182"/>
      <c r="R26" s="180"/>
      <c r="S26" s="180"/>
      <c r="T26" s="122"/>
      <c r="U26" s="122"/>
      <c r="V26" s="122"/>
      <c r="W26" s="122"/>
      <c r="X26" s="122"/>
      <c r="Y26" s="122"/>
      <c r="Z26" s="122"/>
    </row>
    <row r="27" ht="48.0" customHeight="1">
      <c r="A27" s="122"/>
      <c r="B27" s="184"/>
      <c r="C27" s="185"/>
      <c r="D27" s="185"/>
      <c r="E27" s="186"/>
      <c r="F27" s="182"/>
      <c r="G27" s="182"/>
      <c r="H27" s="181"/>
      <c r="I27" s="182"/>
      <c r="J27" s="181"/>
      <c r="K27" s="187"/>
      <c r="L27" s="181"/>
      <c r="M27" s="181"/>
      <c r="N27" s="182"/>
      <c r="O27" s="182"/>
      <c r="P27" s="182"/>
      <c r="Q27" s="182"/>
      <c r="R27" s="180"/>
      <c r="S27" s="180"/>
      <c r="T27" s="122"/>
      <c r="U27" s="122"/>
      <c r="V27" s="122"/>
      <c r="W27" s="122"/>
      <c r="X27" s="122"/>
      <c r="Y27" s="122"/>
      <c r="Z27" s="122"/>
    </row>
    <row r="28" ht="30.0" customHeight="1">
      <c r="A28" s="122"/>
      <c r="B28" s="188">
        <v>44959.0</v>
      </c>
      <c r="C28" s="189" t="s">
        <v>87</v>
      </c>
      <c r="D28" s="189"/>
      <c r="E28" s="169">
        <v>285000.0</v>
      </c>
      <c r="F28" s="152"/>
      <c r="G28" s="172"/>
      <c r="H28" s="172"/>
      <c r="I28" s="172"/>
      <c r="J28" s="169"/>
      <c r="K28" s="180"/>
      <c r="L28" s="186"/>
      <c r="M28" s="181"/>
      <c r="N28" s="182"/>
      <c r="O28" s="182"/>
      <c r="P28" s="182"/>
      <c r="Q28" s="182"/>
      <c r="R28" s="180"/>
      <c r="S28" s="180"/>
      <c r="T28" s="122"/>
      <c r="U28" s="122"/>
      <c r="V28" s="122"/>
      <c r="W28" s="122"/>
      <c r="X28" s="122"/>
      <c r="Y28" s="122"/>
      <c r="Z28" s="122"/>
    </row>
    <row r="29" ht="24.75" customHeight="1">
      <c r="A29" s="122"/>
      <c r="B29" s="190">
        <v>44959.0</v>
      </c>
      <c r="C29" s="158" t="s">
        <v>88</v>
      </c>
      <c r="D29" s="156"/>
      <c r="E29" s="191"/>
      <c r="F29" s="157">
        <v>150000.0</v>
      </c>
      <c r="G29" s="172"/>
      <c r="H29" s="172"/>
      <c r="I29" s="172"/>
      <c r="J29" s="172"/>
      <c r="K29" s="180"/>
      <c r="L29" s="186"/>
      <c r="M29" s="182"/>
      <c r="N29" s="182"/>
      <c r="O29" s="181"/>
      <c r="P29" s="182"/>
      <c r="Q29" s="182"/>
      <c r="R29" s="180"/>
      <c r="S29" s="180"/>
      <c r="T29" s="122"/>
      <c r="U29" s="122"/>
      <c r="V29" s="122"/>
      <c r="W29" s="122"/>
      <c r="X29" s="122"/>
      <c r="Y29" s="122"/>
      <c r="Z29" s="122"/>
    </row>
    <row r="30" ht="49.5" customHeight="1">
      <c r="A30" s="122"/>
      <c r="B30" s="192">
        <v>44959.0</v>
      </c>
      <c r="C30" s="193" t="s">
        <v>89</v>
      </c>
      <c r="D30" s="194"/>
      <c r="E30" s="195"/>
      <c r="F30" s="152"/>
      <c r="G30" s="172"/>
      <c r="H30" s="172"/>
      <c r="I30" s="196">
        <v>65000.0</v>
      </c>
      <c r="J30" s="172"/>
      <c r="K30" s="180"/>
      <c r="L30" s="186"/>
      <c r="M30" s="181"/>
      <c r="N30" s="182"/>
      <c r="O30" s="182"/>
      <c r="P30" s="182"/>
      <c r="Q30" s="182"/>
      <c r="R30" s="180"/>
      <c r="S30" s="180"/>
      <c r="T30" s="122"/>
      <c r="U30" s="122"/>
      <c r="V30" s="122"/>
      <c r="W30" s="122"/>
      <c r="X30" s="122"/>
      <c r="Y30" s="122"/>
      <c r="Z30" s="122"/>
    </row>
    <row r="31" ht="42.0" customHeight="1">
      <c r="A31" s="122"/>
      <c r="B31" s="192">
        <v>44959.0</v>
      </c>
      <c r="C31" s="193" t="s">
        <v>90</v>
      </c>
      <c r="D31" s="194"/>
      <c r="E31" s="195"/>
      <c r="F31" s="152"/>
      <c r="G31" s="172"/>
      <c r="H31" s="172"/>
      <c r="I31" s="196">
        <v>20000.0</v>
      </c>
      <c r="J31" s="172"/>
      <c r="K31" s="180"/>
      <c r="L31" s="186"/>
      <c r="M31" s="181"/>
      <c r="N31" s="182"/>
      <c r="O31" s="182"/>
      <c r="P31" s="182"/>
      <c r="Q31" s="182"/>
      <c r="R31" s="180"/>
      <c r="S31" s="180"/>
      <c r="T31" s="122"/>
      <c r="U31" s="122"/>
      <c r="V31" s="122"/>
      <c r="W31" s="122"/>
      <c r="X31" s="122"/>
      <c r="Y31" s="122"/>
      <c r="Z31" s="122"/>
    </row>
    <row r="32" ht="42.0" customHeight="1">
      <c r="A32" s="122"/>
      <c r="B32" s="192">
        <v>44959.0</v>
      </c>
      <c r="C32" s="193" t="s">
        <v>91</v>
      </c>
      <c r="D32" s="194"/>
      <c r="E32" s="195"/>
      <c r="F32" s="152"/>
      <c r="G32" s="172"/>
      <c r="H32" s="172"/>
      <c r="I32" s="196">
        <v>25000.0</v>
      </c>
      <c r="J32" s="172"/>
      <c r="K32" s="180"/>
      <c r="L32" s="186"/>
      <c r="M32" s="181"/>
      <c r="N32" s="182"/>
      <c r="O32" s="182"/>
      <c r="P32" s="182"/>
      <c r="Q32" s="182"/>
      <c r="R32" s="180"/>
      <c r="S32" s="180"/>
      <c r="T32" s="122"/>
      <c r="U32" s="122"/>
      <c r="V32" s="122"/>
      <c r="W32" s="122"/>
      <c r="X32" s="122"/>
      <c r="Y32" s="122"/>
      <c r="Z32" s="122"/>
    </row>
    <row r="33" ht="24.75" customHeight="1">
      <c r="A33" s="122"/>
      <c r="B33" s="197">
        <v>44960.0</v>
      </c>
      <c r="C33" s="155" t="s">
        <v>92</v>
      </c>
      <c r="D33" s="156"/>
      <c r="E33" s="198"/>
      <c r="F33" s="170">
        <v>82000.0</v>
      </c>
      <c r="G33" s="172"/>
      <c r="H33" s="172"/>
      <c r="I33" s="172"/>
      <c r="J33" s="172"/>
      <c r="K33" s="180"/>
      <c r="L33" s="186"/>
      <c r="M33" s="181"/>
      <c r="N33" s="182"/>
      <c r="O33" s="182"/>
      <c r="P33" s="182"/>
      <c r="Q33" s="182"/>
      <c r="R33" s="180"/>
      <c r="S33" s="180"/>
      <c r="T33" s="122"/>
      <c r="U33" s="122"/>
      <c r="V33" s="122"/>
      <c r="W33" s="122"/>
      <c r="X33" s="122"/>
      <c r="Y33" s="122"/>
      <c r="Z33" s="122"/>
    </row>
    <row r="34" ht="46.5" customHeight="1">
      <c r="A34" s="122"/>
      <c r="B34" s="197">
        <v>44960.0</v>
      </c>
      <c r="C34" s="155" t="s">
        <v>93</v>
      </c>
      <c r="D34" s="156"/>
      <c r="E34" s="198"/>
      <c r="F34" s="170">
        <v>15900.0</v>
      </c>
      <c r="G34" s="172"/>
      <c r="H34" s="172"/>
      <c r="I34" s="172"/>
      <c r="J34" s="172"/>
      <c r="K34" s="180"/>
      <c r="L34" s="186"/>
      <c r="M34" s="181"/>
      <c r="N34" s="182"/>
      <c r="O34" s="182"/>
      <c r="P34" s="182"/>
      <c r="Q34" s="182"/>
      <c r="R34" s="180"/>
      <c r="S34" s="180"/>
      <c r="T34" s="122"/>
      <c r="U34" s="122"/>
      <c r="V34" s="122"/>
      <c r="W34" s="122"/>
      <c r="X34" s="122"/>
      <c r="Y34" s="122"/>
      <c r="Z34" s="122"/>
    </row>
    <row r="35" ht="24.75" customHeight="1">
      <c r="A35" s="122"/>
      <c r="B35" s="197">
        <v>44960.0</v>
      </c>
      <c r="C35" s="155" t="s">
        <v>94</v>
      </c>
      <c r="D35" s="156"/>
      <c r="E35" s="198"/>
      <c r="F35" s="170">
        <v>34115.0</v>
      </c>
      <c r="G35" s="172"/>
      <c r="H35" s="172"/>
      <c r="I35" s="172"/>
      <c r="J35" s="172"/>
      <c r="K35" s="180"/>
      <c r="L35" s="181"/>
      <c r="M35" s="182"/>
      <c r="N35" s="182"/>
      <c r="O35" s="181"/>
      <c r="P35" s="182"/>
      <c r="Q35" s="182"/>
      <c r="R35" s="180"/>
      <c r="S35" s="180"/>
      <c r="T35" s="122"/>
      <c r="U35" s="122"/>
      <c r="V35" s="122"/>
      <c r="W35" s="122"/>
      <c r="X35" s="122"/>
      <c r="Y35" s="122"/>
      <c r="Z35" s="122"/>
    </row>
    <row r="36" ht="24.75" customHeight="1">
      <c r="A36" s="122"/>
      <c r="B36" s="165">
        <v>44960.0</v>
      </c>
      <c r="C36" s="155" t="s">
        <v>95</v>
      </c>
      <c r="D36" s="156"/>
      <c r="E36" s="198"/>
      <c r="F36" s="170">
        <v>7000.0</v>
      </c>
      <c r="G36" s="172"/>
      <c r="H36" s="172"/>
      <c r="I36" s="172"/>
      <c r="J36" s="172"/>
      <c r="K36" s="180"/>
      <c r="L36" s="186"/>
      <c r="M36" s="181"/>
      <c r="N36" s="182"/>
      <c r="O36" s="182"/>
      <c r="P36" s="182"/>
      <c r="Q36" s="182"/>
      <c r="R36" s="180"/>
      <c r="S36" s="180"/>
      <c r="T36" s="122"/>
      <c r="U36" s="122"/>
      <c r="V36" s="122"/>
      <c r="W36" s="122"/>
      <c r="X36" s="122"/>
      <c r="Y36" s="122"/>
      <c r="Z36" s="122"/>
    </row>
    <row r="37" ht="24.75" customHeight="1">
      <c r="A37" s="122"/>
      <c r="B37" s="165">
        <v>44960.0</v>
      </c>
      <c r="C37" s="155" t="s">
        <v>96</v>
      </c>
      <c r="D37" s="156"/>
      <c r="E37" s="198"/>
      <c r="F37" s="170">
        <v>51400.0</v>
      </c>
      <c r="G37" s="172"/>
      <c r="H37" s="172"/>
      <c r="I37" s="172"/>
      <c r="J37" s="172"/>
      <c r="K37" s="180"/>
      <c r="L37" s="186"/>
      <c r="M37" s="181"/>
      <c r="N37" s="182"/>
      <c r="O37" s="182"/>
      <c r="P37" s="182"/>
      <c r="Q37" s="182"/>
      <c r="R37" s="180"/>
      <c r="S37" s="180"/>
      <c r="T37" s="122"/>
      <c r="U37" s="122"/>
      <c r="V37" s="122"/>
      <c r="W37" s="122"/>
      <c r="X37" s="122"/>
      <c r="Y37" s="122"/>
      <c r="Z37" s="122"/>
    </row>
    <row r="38" ht="24.75" customHeight="1">
      <c r="A38" s="122"/>
      <c r="B38" s="165">
        <v>44960.0</v>
      </c>
      <c r="C38" s="155" t="s">
        <v>97</v>
      </c>
      <c r="D38" s="156"/>
      <c r="E38" s="198"/>
      <c r="F38" s="170">
        <v>16000.0</v>
      </c>
      <c r="G38" s="172"/>
      <c r="H38" s="172"/>
      <c r="I38" s="172"/>
      <c r="J38" s="172"/>
      <c r="K38" s="180"/>
      <c r="L38" s="181"/>
      <c r="M38" s="181"/>
      <c r="N38" s="182"/>
      <c r="O38" s="182"/>
      <c r="P38" s="182"/>
      <c r="Q38" s="182"/>
      <c r="R38" s="180"/>
      <c r="S38" s="180"/>
      <c r="T38" s="122"/>
      <c r="U38" s="122"/>
      <c r="V38" s="122"/>
      <c r="W38" s="122"/>
      <c r="X38" s="122"/>
      <c r="Y38" s="122"/>
      <c r="Z38" s="122"/>
    </row>
    <row r="39" ht="24.75" customHeight="1">
      <c r="A39" s="122"/>
      <c r="B39" s="165">
        <v>44960.0</v>
      </c>
      <c r="C39" s="155" t="s">
        <v>98</v>
      </c>
      <c r="D39" s="156"/>
      <c r="E39" s="198"/>
      <c r="F39" s="170">
        <v>20000.0</v>
      </c>
      <c r="G39" s="172"/>
      <c r="H39" s="172"/>
      <c r="I39" s="172"/>
      <c r="J39" s="172"/>
      <c r="K39" s="180"/>
      <c r="L39" s="186"/>
      <c r="M39" s="182"/>
      <c r="N39" s="182"/>
      <c r="O39" s="181"/>
      <c r="P39" s="182"/>
      <c r="Q39" s="181"/>
      <c r="R39" s="180"/>
      <c r="S39" s="180"/>
      <c r="T39" s="122"/>
      <c r="U39" s="122"/>
      <c r="V39" s="122"/>
      <c r="W39" s="122"/>
      <c r="X39" s="122"/>
      <c r="Y39" s="122"/>
      <c r="Z39" s="122"/>
    </row>
    <row r="40" ht="24.75" customHeight="1">
      <c r="A40" s="122"/>
      <c r="B40" s="165">
        <v>44961.0</v>
      </c>
      <c r="C40" s="158" t="s">
        <v>99</v>
      </c>
      <c r="D40" s="156"/>
      <c r="E40" s="199"/>
      <c r="F40" s="172"/>
      <c r="G40" s="172"/>
      <c r="H40" s="157">
        <v>10000.0</v>
      </c>
      <c r="I40" s="172"/>
      <c r="J40" s="172"/>
      <c r="K40" s="180"/>
      <c r="L40" s="186"/>
      <c r="M40" s="182"/>
      <c r="N40" s="182"/>
      <c r="O40" s="181"/>
      <c r="P40" s="182"/>
      <c r="Q40" s="181"/>
      <c r="R40" s="180"/>
      <c r="S40" s="180"/>
      <c r="T40" s="122"/>
      <c r="U40" s="122"/>
      <c r="V40" s="122"/>
      <c r="W40" s="122"/>
      <c r="X40" s="122"/>
      <c r="Y40" s="122"/>
      <c r="Z40" s="122"/>
    </row>
    <row r="41" ht="24.75" customHeight="1">
      <c r="A41" s="122"/>
      <c r="B41" s="165">
        <v>44961.0</v>
      </c>
      <c r="C41" s="193" t="s">
        <v>100</v>
      </c>
      <c r="D41" s="194"/>
      <c r="E41" s="191"/>
      <c r="F41" s="200">
        <v>40000.0</v>
      </c>
      <c r="G41" s="172"/>
      <c r="H41" s="172"/>
      <c r="I41" s="172"/>
      <c r="J41" s="172"/>
      <c r="K41" s="180"/>
      <c r="L41" s="186"/>
      <c r="M41" s="182"/>
      <c r="N41" s="182"/>
      <c r="O41" s="181"/>
      <c r="P41" s="182"/>
      <c r="Q41" s="181"/>
      <c r="R41" s="180"/>
      <c r="S41" s="180"/>
      <c r="T41" s="122"/>
      <c r="U41" s="122"/>
      <c r="V41" s="122"/>
      <c r="W41" s="122"/>
      <c r="X41" s="122"/>
      <c r="Y41" s="122"/>
      <c r="Z41" s="122"/>
    </row>
    <row r="42" ht="24.75" customHeight="1">
      <c r="A42" s="122"/>
      <c r="B42" s="165">
        <v>44961.0</v>
      </c>
      <c r="C42" s="155" t="s">
        <v>101</v>
      </c>
      <c r="D42" s="156"/>
      <c r="E42" s="201"/>
      <c r="F42" s="200">
        <v>35000.0</v>
      </c>
      <c r="G42" s="172"/>
      <c r="H42" s="172"/>
      <c r="I42" s="172"/>
      <c r="J42" s="172"/>
      <c r="K42" s="180"/>
      <c r="L42" s="186"/>
      <c r="M42" s="182"/>
      <c r="N42" s="182"/>
      <c r="O42" s="181"/>
      <c r="P42" s="182"/>
      <c r="Q42" s="181"/>
      <c r="R42" s="180"/>
      <c r="S42" s="180"/>
      <c r="T42" s="122"/>
      <c r="U42" s="122"/>
      <c r="V42" s="122"/>
      <c r="W42" s="122"/>
      <c r="X42" s="122"/>
      <c r="Y42" s="122"/>
      <c r="Z42" s="122"/>
    </row>
    <row r="43" ht="24.75" customHeight="1">
      <c r="A43" s="122"/>
      <c r="B43" s="165">
        <v>44961.0</v>
      </c>
      <c r="C43" s="193" t="s">
        <v>102</v>
      </c>
      <c r="D43" s="194"/>
      <c r="E43" s="191"/>
      <c r="F43" s="157">
        <v>250000.0</v>
      </c>
      <c r="G43" s="172"/>
      <c r="H43" s="172"/>
      <c r="I43" s="172"/>
      <c r="J43" s="172"/>
      <c r="K43" s="180"/>
      <c r="L43" s="181"/>
      <c r="M43" s="182"/>
      <c r="N43" s="180"/>
      <c r="O43" s="180"/>
      <c r="P43" s="180"/>
      <c r="Q43" s="181"/>
      <c r="R43" s="180"/>
      <c r="S43" s="180"/>
      <c r="T43" s="122"/>
      <c r="U43" s="122"/>
      <c r="V43" s="122"/>
      <c r="W43" s="122"/>
      <c r="X43" s="122"/>
      <c r="Y43" s="122"/>
      <c r="Z43" s="122"/>
    </row>
    <row r="44" ht="24.75" customHeight="1">
      <c r="A44" s="122"/>
      <c r="B44" s="188">
        <v>44963.0</v>
      </c>
      <c r="C44" s="189" t="s">
        <v>103</v>
      </c>
      <c r="D44" s="189"/>
      <c r="E44" s="151">
        <v>250000.0</v>
      </c>
      <c r="F44" s="152"/>
      <c r="G44" s="172"/>
      <c r="H44" s="172"/>
      <c r="I44" s="172"/>
      <c r="J44" s="172"/>
      <c r="K44" s="180"/>
      <c r="L44" s="202"/>
      <c r="M44" s="182"/>
      <c r="N44" s="180"/>
      <c r="O44" s="180"/>
      <c r="P44" s="180"/>
      <c r="Q44" s="180"/>
      <c r="R44" s="180"/>
      <c r="S44" s="180"/>
      <c r="T44" s="122"/>
      <c r="U44" s="122"/>
      <c r="V44" s="122"/>
      <c r="W44" s="122"/>
      <c r="X44" s="122"/>
      <c r="Y44" s="122"/>
      <c r="Z44" s="122"/>
    </row>
    <row r="45" ht="24.75" customHeight="1">
      <c r="A45" s="122"/>
      <c r="B45" s="188">
        <v>44964.0</v>
      </c>
      <c r="C45" s="189" t="s">
        <v>104</v>
      </c>
      <c r="D45" s="189"/>
      <c r="E45" s="151">
        <v>285000.0</v>
      </c>
      <c r="F45" s="152"/>
      <c r="G45" s="172"/>
      <c r="H45" s="172"/>
      <c r="I45" s="172"/>
      <c r="J45" s="172"/>
      <c r="K45" s="180"/>
      <c r="L45" s="202"/>
      <c r="M45" s="182"/>
      <c r="N45" s="180"/>
      <c r="O45" s="180"/>
      <c r="P45" s="180"/>
      <c r="Q45" s="180"/>
      <c r="R45" s="180"/>
      <c r="S45" s="180"/>
      <c r="T45" s="122"/>
      <c r="U45" s="122"/>
      <c r="V45" s="122"/>
      <c r="W45" s="122"/>
      <c r="X45" s="122"/>
      <c r="Y45" s="122"/>
      <c r="Z45" s="122"/>
    </row>
    <row r="46" ht="24.75" customHeight="1">
      <c r="A46" s="122"/>
      <c r="B46" s="203">
        <v>44965.0</v>
      </c>
      <c r="C46" s="204" t="s">
        <v>105</v>
      </c>
      <c r="D46" s="204"/>
      <c r="E46" s="191"/>
      <c r="F46" s="152">
        <v>120000.0</v>
      </c>
      <c r="G46" s="172"/>
      <c r="H46" s="172"/>
      <c r="I46" s="172"/>
      <c r="J46" s="172"/>
      <c r="K46" s="180"/>
      <c r="L46" s="202"/>
      <c r="M46" s="182"/>
      <c r="N46" s="180"/>
      <c r="O46" s="180"/>
      <c r="P46" s="180"/>
      <c r="Q46" s="180"/>
      <c r="R46" s="180"/>
      <c r="S46" s="180"/>
      <c r="T46" s="122"/>
      <c r="U46" s="122"/>
      <c r="V46" s="122"/>
      <c r="W46" s="122"/>
      <c r="X46" s="122"/>
      <c r="Y46" s="122"/>
      <c r="Z46" s="122"/>
    </row>
    <row r="47" ht="24.75" customHeight="1">
      <c r="A47" s="122"/>
      <c r="B47" s="203">
        <v>44965.0</v>
      </c>
      <c r="C47" s="204" t="s">
        <v>106</v>
      </c>
      <c r="D47" s="204"/>
      <c r="E47" s="191"/>
      <c r="F47" s="152"/>
      <c r="G47" s="172"/>
      <c r="H47" s="172"/>
      <c r="I47" s="172"/>
      <c r="J47" s="152">
        <v>45680.0</v>
      </c>
      <c r="K47" s="180"/>
      <c r="L47" s="202"/>
      <c r="M47" s="182"/>
      <c r="N47" s="180"/>
      <c r="O47" s="180"/>
      <c r="P47" s="180"/>
      <c r="Q47" s="180"/>
      <c r="R47" s="180"/>
      <c r="S47" s="180"/>
      <c r="T47" s="122"/>
      <c r="U47" s="122"/>
      <c r="V47" s="122"/>
      <c r="W47" s="122"/>
      <c r="X47" s="122"/>
      <c r="Y47" s="122"/>
      <c r="Z47" s="122"/>
    </row>
    <row r="48" ht="24.75" customHeight="1">
      <c r="A48" s="122"/>
      <c r="B48" s="197">
        <v>44967.0</v>
      </c>
      <c r="C48" s="172" t="s">
        <v>107</v>
      </c>
      <c r="D48" s="172"/>
      <c r="E48" s="191"/>
      <c r="F48" s="152">
        <v>9000.0</v>
      </c>
      <c r="G48" s="172"/>
      <c r="H48" s="172"/>
      <c r="I48" s="172"/>
      <c r="J48" s="152"/>
      <c r="K48" s="180"/>
      <c r="L48" s="205"/>
      <c r="M48" s="181"/>
      <c r="N48" s="180"/>
      <c r="O48" s="180"/>
      <c r="P48" s="180"/>
      <c r="Q48" s="180"/>
      <c r="R48" s="180"/>
      <c r="S48" s="180"/>
      <c r="T48" s="122"/>
      <c r="U48" s="122"/>
      <c r="V48" s="122"/>
      <c r="W48" s="122"/>
      <c r="X48" s="122"/>
      <c r="Y48" s="122"/>
      <c r="Z48" s="122"/>
    </row>
    <row r="49" ht="24.75" customHeight="1">
      <c r="A49" s="122"/>
      <c r="B49" s="197">
        <v>44968.0</v>
      </c>
      <c r="C49" s="204" t="s">
        <v>108</v>
      </c>
      <c r="D49" s="204"/>
      <c r="E49" s="191"/>
      <c r="F49" s="152"/>
      <c r="G49" s="172"/>
      <c r="H49" s="172"/>
      <c r="I49" s="152">
        <v>60000.0</v>
      </c>
      <c r="J49" s="172"/>
      <c r="K49" s="180"/>
      <c r="L49" s="205"/>
      <c r="M49" s="181"/>
      <c r="N49" s="180"/>
      <c r="O49" s="180"/>
      <c r="P49" s="180"/>
      <c r="Q49" s="180"/>
      <c r="R49" s="180"/>
      <c r="S49" s="180"/>
      <c r="T49" s="122"/>
      <c r="U49" s="122"/>
      <c r="V49" s="122"/>
      <c r="W49" s="122"/>
      <c r="X49" s="122"/>
      <c r="Y49" s="122"/>
      <c r="Z49" s="122"/>
    </row>
    <row r="50" ht="24.75" customHeight="1">
      <c r="A50" s="122"/>
      <c r="B50" s="197">
        <v>44968.0</v>
      </c>
      <c r="C50" s="204" t="s">
        <v>109</v>
      </c>
      <c r="D50" s="204"/>
      <c r="E50" s="191"/>
      <c r="F50" s="172"/>
      <c r="G50" s="172"/>
      <c r="H50" s="172"/>
      <c r="I50" s="152">
        <v>75000.0</v>
      </c>
      <c r="J50" s="172"/>
      <c r="K50" s="180"/>
      <c r="L50" s="205"/>
      <c r="M50" s="181"/>
      <c r="N50" s="180"/>
      <c r="O50" s="180"/>
      <c r="P50" s="180"/>
      <c r="Q50" s="180"/>
      <c r="R50" s="180"/>
      <c r="S50" s="180"/>
      <c r="T50" s="122"/>
      <c r="U50" s="122"/>
      <c r="V50" s="122"/>
      <c r="W50" s="122"/>
      <c r="X50" s="122"/>
      <c r="Y50" s="122"/>
      <c r="Z50" s="122"/>
    </row>
    <row r="51" ht="24.75" customHeight="1">
      <c r="A51" s="122"/>
      <c r="B51" s="197">
        <v>44969.0</v>
      </c>
      <c r="C51" s="204" t="s">
        <v>110</v>
      </c>
      <c r="D51" s="204"/>
      <c r="E51" s="191"/>
      <c r="F51" s="172"/>
      <c r="G51" s="172"/>
      <c r="H51" s="172"/>
      <c r="I51" s="152">
        <v>55000.0</v>
      </c>
      <c r="J51" s="172"/>
      <c r="K51" s="180"/>
      <c r="L51" s="205"/>
      <c r="M51" s="181"/>
      <c r="N51" s="180"/>
      <c r="O51" s="180"/>
      <c r="P51" s="180"/>
      <c r="Q51" s="180"/>
      <c r="R51" s="180"/>
      <c r="S51" s="180"/>
      <c r="T51" s="122"/>
      <c r="U51" s="122"/>
      <c r="V51" s="122"/>
      <c r="W51" s="122"/>
      <c r="X51" s="122"/>
      <c r="Y51" s="122"/>
      <c r="Z51" s="122"/>
    </row>
    <row r="52" ht="24.75" customHeight="1">
      <c r="A52" s="122"/>
      <c r="B52" s="188">
        <v>44970.0</v>
      </c>
      <c r="C52" s="189" t="s">
        <v>111</v>
      </c>
      <c r="D52" s="189"/>
      <c r="E52" s="151">
        <v>550000.0</v>
      </c>
      <c r="F52" s="152"/>
      <c r="G52" s="172"/>
      <c r="H52" s="172"/>
      <c r="I52" s="152"/>
      <c r="J52" s="172"/>
      <c r="K52" s="180"/>
      <c r="L52" s="205"/>
      <c r="M52" s="181"/>
      <c r="N52" s="180"/>
      <c r="O52" s="180"/>
      <c r="P52" s="180"/>
      <c r="Q52" s="180"/>
      <c r="R52" s="180"/>
      <c r="S52" s="180"/>
      <c r="T52" s="122"/>
      <c r="U52" s="122"/>
      <c r="V52" s="122"/>
      <c r="W52" s="122"/>
      <c r="X52" s="122"/>
      <c r="Y52" s="122"/>
      <c r="Z52" s="122"/>
    </row>
    <row r="53" ht="24.75" customHeight="1">
      <c r="A53" s="122"/>
      <c r="B53" s="203">
        <v>44971.0</v>
      </c>
      <c r="C53" s="204" t="s">
        <v>112</v>
      </c>
      <c r="D53" s="204"/>
      <c r="E53" s="191"/>
      <c r="F53" s="152">
        <v>241000.0</v>
      </c>
      <c r="G53" s="172"/>
      <c r="H53" s="172"/>
      <c r="I53" s="152"/>
      <c r="J53" s="172"/>
      <c r="K53" s="180"/>
      <c r="L53" s="205"/>
      <c r="M53" s="181"/>
      <c r="N53" s="180"/>
      <c r="O53" s="180"/>
      <c r="P53" s="180"/>
      <c r="Q53" s="180"/>
      <c r="R53" s="180"/>
      <c r="S53" s="180"/>
      <c r="T53" s="122"/>
      <c r="U53" s="122"/>
      <c r="V53" s="122"/>
      <c r="W53" s="122"/>
      <c r="X53" s="122"/>
      <c r="Y53" s="122"/>
      <c r="Z53" s="122"/>
    </row>
    <row r="54" ht="24.75" customHeight="1">
      <c r="A54" s="122"/>
      <c r="B54" s="192">
        <v>44972.0</v>
      </c>
      <c r="C54" s="204" t="s">
        <v>113</v>
      </c>
      <c r="D54" s="204"/>
      <c r="E54" s="191"/>
      <c r="F54" s="180"/>
      <c r="G54" s="172"/>
      <c r="H54" s="152">
        <v>26000.0</v>
      </c>
      <c r="I54" s="152"/>
      <c r="J54" s="172"/>
      <c r="K54" s="180"/>
      <c r="L54" s="205"/>
      <c r="M54" s="181"/>
      <c r="N54" s="180"/>
      <c r="O54" s="180"/>
      <c r="P54" s="180"/>
      <c r="Q54" s="180"/>
      <c r="R54" s="180"/>
      <c r="S54" s="180"/>
      <c r="T54" s="122"/>
      <c r="U54" s="122"/>
      <c r="V54" s="122"/>
      <c r="W54" s="122"/>
      <c r="X54" s="122"/>
      <c r="Y54" s="122"/>
      <c r="Z54" s="122"/>
    </row>
    <row r="55" ht="24.75" customHeight="1">
      <c r="A55" s="122"/>
      <c r="B55" s="192">
        <v>44971.0</v>
      </c>
      <c r="C55" s="204" t="s">
        <v>114</v>
      </c>
      <c r="D55" s="204"/>
      <c r="E55" s="191"/>
      <c r="F55" s="172"/>
      <c r="G55" s="172"/>
      <c r="H55" s="172"/>
      <c r="I55" s="152">
        <v>250000.0</v>
      </c>
      <c r="J55" s="172"/>
      <c r="K55" s="180"/>
      <c r="L55" s="206"/>
      <c r="M55" s="180"/>
      <c r="N55" s="180"/>
      <c r="O55" s="182"/>
      <c r="P55" s="180"/>
      <c r="Q55" s="180"/>
      <c r="R55" s="180"/>
      <c r="S55" s="180"/>
      <c r="T55" s="122"/>
      <c r="U55" s="122"/>
      <c r="V55" s="122"/>
      <c r="W55" s="122"/>
      <c r="X55" s="122"/>
      <c r="Y55" s="122"/>
      <c r="Z55" s="122"/>
    </row>
    <row r="56" ht="24.75" customHeight="1">
      <c r="A56" s="122"/>
      <c r="B56" s="188">
        <v>44981.0</v>
      </c>
      <c r="C56" s="189" t="s">
        <v>115</v>
      </c>
      <c r="D56" s="189"/>
      <c r="E56" s="160">
        <v>210600.0</v>
      </c>
      <c r="F56" s="152"/>
      <c r="G56" s="172"/>
      <c r="H56" s="172"/>
      <c r="I56" s="172"/>
      <c r="J56" s="152"/>
      <c r="K56" s="180"/>
      <c r="L56" s="202"/>
      <c r="M56" s="182"/>
      <c r="N56" s="180"/>
      <c r="O56" s="180"/>
      <c r="P56" s="180"/>
      <c r="Q56" s="180"/>
      <c r="R56" s="180"/>
      <c r="S56" s="180"/>
      <c r="T56" s="122"/>
      <c r="U56" s="122"/>
      <c r="V56" s="122"/>
      <c r="W56" s="122"/>
      <c r="X56" s="122"/>
      <c r="Y56" s="122"/>
      <c r="Z56" s="122"/>
    </row>
    <row r="57" ht="24.75" customHeight="1">
      <c r="A57" s="122"/>
      <c r="B57" s="190"/>
      <c r="C57" s="204" t="s">
        <v>116</v>
      </c>
      <c r="D57" s="204"/>
      <c r="E57" s="191"/>
      <c r="F57" s="207"/>
      <c r="G57" s="172"/>
      <c r="H57" s="172"/>
      <c r="I57" s="172"/>
      <c r="J57" s="152">
        <v>102431.0</v>
      </c>
      <c r="K57" s="180"/>
      <c r="L57" s="205"/>
      <c r="M57" s="182"/>
      <c r="N57" s="180"/>
      <c r="O57" s="180"/>
      <c r="P57" s="180"/>
      <c r="Q57" s="180"/>
      <c r="R57" s="180"/>
      <c r="S57" s="180"/>
      <c r="T57" s="122"/>
      <c r="U57" s="122"/>
      <c r="V57" s="122"/>
      <c r="W57" s="122"/>
      <c r="X57" s="122"/>
      <c r="Y57" s="122"/>
      <c r="Z57" s="122"/>
    </row>
    <row r="58" ht="24.0" customHeight="1">
      <c r="A58" s="122"/>
      <c r="B58" s="190"/>
      <c r="C58" s="204" t="s">
        <v>117</v>
      </c>
      <c r="D58" s="204"/>
      <c r="E58" s="191"/>
      <c r="F58" s="207"/>
      <c r="G58" s="172"/>
      <c r="H58" s="172"/>
      <c r="I58" s="172"/>
      <c r="J58" s="152">
        <v>49180.0</v>
      </c>
      <c r="K58" s="180"/>
      <c r="L58" s="202"/>
      <c r="M58" s="182"/>
      <c r="N58" s="180"/>
      <c r="O58" s="180"/>
      <c r="P58" s="180"/>
      <c r="Q58" s="180"/>
      <c r="R58" s="180"/>
      <c r="S58" s="180"/>
      <c r="T58" s="122"/>
      <c r="U58" s="122"/>
      <c r="V58" s="122"/>
      <c r="W58" s="122"/>
      <c r="X58" s="122"/>
      <c r="Y58" s="122"/>
      <c r="Z58" s="122"/>
    </row>
    <row r="59" ht="48.0" customHeight="1">
      <c r="A59" s="122"/>
      <c r="B59" s="190"/>
      <c r="C59" s="208" t="s">
        <v>118</v>
      </c>
      <c r="D59" s="156"/>
      <c r="E59" s="201"/>
      <c r="F59" s="207"/>
      <c r="G59" s="172"/>
      <c r="H59" s="172"/>
      <c r="I59" s="172"/>
      <c r="J59" s="152">
        <v>78000.0</v>
      </c>
      <c r="K59" s="180"/>
      <c r="L59" s="181"/>
      <c r="M59" s="182"/>
      <c r="N59" s="180"/>
      <c r="O59" s="180"/>
      <c r="P59" s="180"/>
      <c r="Q59" s="180"/>
      <c r="R59" s="180"/>
      <c r="S59" s="180"/>
      <c r="T59" s="122"/>
      <c r="U59" s="122"/>
      <c r="V59" s="122"/>
      <c r="W59" s="122"/>
      <c r="X59" s="122"/>
      <c r="Y59" s="122"/>
      <c r="Z59" s="122"/>
    </row>
    <row r="60" ht="24.75" customHeight="1">
      <c r="A60" s="122"/>
      <c r="B60" s="190"/>
      <c r="C60" s="209" t="s">
        <v>119</v>
      </c>
      <c r="D60" s="156"/>
      <c r="E60" s="191"/>
      <c r="F60" s="207"/>
      <c r="G60" s="172"/>
      <c r="H60" s="172"/>
      <c r="I60" s="172"/>
      <c r="J60" s="152">
        <v>24220.0</v>
      </c>
      <c r="K60" s="210"/>
      <c r="L60" s="180"/>
      <c r="M60" s="180"/>
      <c r="N60" s="180"/>
      <c r="O60" s="180"/>
      <c r="P60" s="180"/>
      <c r="Q60" s="180"/>
      <c r="R60" s="180"/>
      <c r="S60" s="180"/>
      <c r="T60" s="122"/>
      <c r="U60" s="122"/>
      <c r="V60" s="122"/>
      <c r="W60" s="122"/>
      <c r="X60" s="122"/>
      <c r="Y60" s="122"/>
      <c r="Z60" s="122"/>
    </row>
    <row r="61" ht="95.25" customHeight="1">
      <c r="A61" s="122"/>
      <c r="B61" s="211"/>
      <c r="C61" s="212"/>
      <c r="D61" s="212"/>
      <c r="E61" s="202"/>
      <c r="F61" s="213"/>
      <c r="G61" s="180"/>
      <c r="H61" s="180"/>
      <c r="I61" s="180"/>
      <c r="J61" s="182"/>
      <c r="K61" s="210"/>
      <c r="L61" s="180"/>
      <c r="M61" s="180"/>
      <c r="N61" s="180"/>
      <c r="O61" s="180"/>
      <c r="P61" s="180"/>
      <c r="Q61" s="180"/>
      <c r="R61" s="180"/>
      <c r="S61" s="180"/>
      <c r="T61" s="122"/>
      <c r="U61" s="122"/>
      <c r="V61" s="122"/>
      <c r="W61" s="122"/>
      <c r="X61" s="122"/>
      <c r="Y61" s="122"/>
      <c r="Z61" s="122"/>
    </row>
    <row r="62" ht="29.25" customHeight="1">
      <c r="A62" s="122"/>
      <c r="B62" s="188">
        <v>45010.0</v>
      </c>
      <c r="C62" s="189" t="s">
        <v>120</v>
      </c>
      <c r="D62" s="189"/>
      <c r="E62" s="169">
        <v>200000.0</v>
      </c>
      <c r="F62" s="152"/>
      <c r="G62" s="152"/>
      <c r="H62" s="152"/>
      <c r="I62" s="152"/>
      <c r="J62" s="152"/>
      <c r="K62" s="180"/>
      <c r="L62" s="180"/>
      <c r="M62" s="180"/>
      <c r="N62" s="180"/>
      <c r="O62" s="180"/>
      <c r="P62" s="180"/>
      <c r="Q62" s="180"/>
      <c r="R62" s="180"/>
      <c r="S62" s="180"/>
      <c r="T62" s="122"/>
      <c r="U62" s="122"/>
      <c r="V62" s="122"/>
      <c r="W62" s="122"/>
      <c r="X62" s="122"/>
      <c r="Y62" s="122"/>
      <c r="Z62" s="122"/>
    </row>
    <row r="63" ht="24.75" customHeight="1">
      <c r="A63" s="122"/>
      <c r="B63" s="165">
        <v>45010.0</v>
      </c>
      <c r="C63" s="158" t="s">
        <v>121</v>
      </c>
      <c r="D63" s="156"/>
      <c r="E63" s="169"/>
      <c r="F63" s="152"/>
      <c r="G63" s="152"/>
      <c r="H63" s="152">
        <v>200000.0</v>
      </c>
      <c r="I63" s="152"/>
      <c r="J63" s="152"/>
      <c r="K63" s="180"/>
      <c r="L63" s="180"/>
      <c r="M63" s="180"/>
      <c r="N63" s="180"/>
      <c r="O63" s="180"/>
      <c r="P63" s="180"/>
      <c r="Q63" s="180"/>
      <c r="R63" s="180"/>
      <c r="S63" s="180"/>
      <c r="T63" s="122"/>
      <c r="U63" s="122"/>
      <c r="V63" s="122"/>
      <c r="W63" s="122"/>
      <c r="X63" s="122"/>
      <c r="Y63" s="122"/>
      <c r="Z63" s="122"/>
    </row>
    <row r="64" ht="46.5" customHeight="1">
      <c r="A64" s="122"/>
      <c r="B64" s="188">
        <v>44995.0</v>
      </c>
      <c r="C64" s="214" t="s">
        <v>122</v>
      </c>
      <c r="D64" s="156"/>
      <c r="E64" s="160">
        <v>880000.0</v>
      </c>
      <c r="F64" s="161"/>
      <c r="G64" s="161"/>
      <c r="H64" s="161"/>
      <c r="I64" s="152"/>
      <c r="J64" s="152"/>
      <c r="K64" s="180"/>
      <c r="L64" s="180"/>
      <c r="M64" s="180"/>
      <c r="N64" s="180"/>
      <c r="O64" s="180"/>
      <c r="P64" s="180"/>
      <c r="Q64" s="180"/>
      <c r="R64" s="180"/>
      <c r="S64" s="180"/>
      <c r="T64" s="122"/>
      <c r="U64" s="122"/>
      <c r="V64" s="122"/>
      <c r="W64" s="122"/>
      <c r="X64" s="122"/>
      <c r="Y64" s="122"/>
      <c r="Z64" s="122"/>
    </row>
    <row r="65" ht="77.25" customHeight="1">
      <c r="A65" s="122"/>
      <c r="B65" s="215">
        <v>44995.0</v>
      </c>
      <c r="C65" s="155" t="s">
        <v>123</v>
      </c>
      <c r="D65" s="156"/>
      <c r="E65" s="169"/>
      <c r="F65" s="152">
        <v>326000.0</v>
      </c>
      <c r="G65" s="152"/>
      <c r="H65" s="152"/>
      <c r="I65" s="152">
        <v>554000.0</v>
      </c>
      <c r="J65" s="152"/>
      <c r="K65" s="180"/>
      <c r="L65" s="180"/>
      <c r="M65" s="180"/>
      <c r="N65" s="180"/>
      <c r="O65" s="180"/>
      <c r="P65" s="180"/>
      <c r="Q65" s="180"/>
      <c r="R65" s="180"/>
      <c r="S65" s="180"/>
      <c r="T65" s="122"/>
      <c r="U65" s="122"/>
      <c r="V65" s="122"/>
      <c r="W65" s="122"/>
      <c r="X65" s="122"/>
      <c r="Y65" s="122"/>
      <c r="Z65" s="122"/>
    </row>
    <row r="66" ht="73.5" customHeight="1">
      <c r="A66" s="122"/>
      <c r="B66" s="216"/>
      <c r="C66" s="185"/>
      <c r="D66" s="185"/>
      <c r="E66" s="181"/>
      <c r="F66" s="182"/>
      <c r="G66" s="182"/>
      <c r="H66" s="182"/>
      <c r="I66" s="159"/>
      <c r="J66" s="152"/>
      <c r="K66" s="122"/>
      <c r="L66" s="180"/>
      <c r="M66" s="180"/>
      <c r="N66" s="180"/>
      <c r="O66" s="180"/>
      <c r="P66" s="180"/>
      <c r="Q66" s="180"/>
      <c r="R66" s="180"/>
      <c r="S66" s="180"/>
      <c r="T66" s="122"/>
      <c r="U66" s="122"/>
      <c r="V66" s="122"/>
      <c r="W66" s="122"/>
      <c r="X66" s="122"/>
      <c r="Y66" s="122"/>
      <c r="Z66" s="122"/>
    </row>
    <row r="67" ht="54.75" customHeight="1">
      <c r="A67" s="122"/>
      <c r="B67" s="165">
        <v>45022.0</v>
      </c>
      <c r="C67" s="155" t="s">
        <v>124</v>
      </c>
      <c r="D67" s="156"/>
      <c r="E67" s="169"/>
      <c r="F67" s="153"/>
      <c r="G67" s="153"/>
      <c r="H67" s="152">
        <v>230000.0</v>
      </c>
      <c r="I67" s="153"/>
      <c r="J67" s="204"/>
      <c r="K67" s="122"/>
      <c r="L67" s="180"/>
      <c r="M67" s="180"/>
      <c r="N67" s="180"/>
      <c r="O67" s="180"/>
      <c r="P67" s="180"/>
      <c r="Q67" s="180"/>
      <c r="R67" s="180"/>
      <c r="S67" s="180"/>
      <c r="T67" s="122"/>
      <c r="U67" s="122"/>
      <c r="V67" s="122"/>
      <c r="W67" s="122"/>
      <c r="X67" s="122"/>
      <c r="Y67" s="122"/>
      <c r="Z67" s="122"/>
    </row>
    <row r="68" ht="24.75" customHeight="1">
      <c r="A68" s="180"/>
      <c r="B68" s="188">
        <v>45031.0</v>
      </c>
      <c r="C68" s="189" t="s">
        <v>125</v>
      </c>
      <c r="D68" s="189"/>
      <c r="E68" s="152">
        <v>490000.0</v>
      </c>
      <c r="F68" s="152"/>
      <c r="G68" s="152"/>
      <c r="H68" s="152"/>
      <c r="I68" s="152"/>
      <c r="J68" s="152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ht="76.5" customHeight="1">
      <c r="A69" s="180"/>
      <c r="B69" s="215">
        <v>45031.0</v>
      </c>
      <c r="C69" s="155" t="s">
        <v>126</v>
      </c>
      <c r="D69" s="156"/>
      <c r="E69" s="169"/>
      <c r="F69" s="152">
        <v>140000.0</v>
      </c>
      <c r="G69" s="152"/>
      <c r="H69" s="152"/>
      <c r="I69" s="152">
        <v>309000.0</v>
      </c>
      <c r="J69" s="152">
        <v>41000.0</v>
      </c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ht="24.75" customHeight="1">
      <c r="A70" s="180"/>
      <c r="B70" s="188">
        <v>45041.0</v>
      </c>
      <c r="C70" s="217" t="s">
        <v>127</v>
      </c>
      <c r="D70" s="218"/>
      <c r="E70" s="160">
        <v>1400000.0</v>
      </c>
      <c r="F70" s="152"/>
      <c r="G70" s="152"/>
      <c r="H70" s="152"/>
      <c r="I70" s="152"/>
      <c r="J70" s="152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ht="24.75" customHeight="1">
      <c r="A71" s="180"/>
      <c r="B71" s="154">
        <v>45002.0</v>
      </c>
      <c r="C71" s="155" t="s">
        <v>128</v>
      </c>
      <c r="D71" s="156"/>
      <c r="E71" s="169"/>
      <c r="F71" s="152"/>
      <c r="G71" s="152"/>
      <c r="H71" s="152"/>
      <c r="I71" s="152">
        <v>150000.0</v>
      </c>
      <c r="J71" s="152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ht="24.75" customHeight="1">
      <c r="A72" s="180"/>
      <c r="B72" s="154">
        <v>45029.0</v>
      </c>
      <c r="C72" s="172" t="s">
        <v>129</v>
      </c>
      <c r="D72" s="172"/>
      <c r="E72" s="169"/>
      <c r="F72" s="152"/>
      <c r="G72" s="152">
        <v>20000.0</v>
      </c>
      <c r="H72" s="152"/>
      <c r="I72" s="152"/>
      <c r="J72" s="152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ht="49.5" customHeight="1">
      <c r="A73" s="180"/>
      <c r="B73" s="154">
        <v>45034.0</v>
      </c>
      <c r="C73" s="155" t="s">
        <v>130</v>
      </c>
      <c r="D73" s="156"/>
      <c r="E73" s="169"/>
      <c r="F73" s="152"/>
      <c r="G73" s="152">
        <v>350000.0</v>
      </c>
      <c r="H73" s="152"/>
      <c r="I73" s="152"/>
      <c r="J73" s="152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ht="24.75" customHeight="1">
      <c r="A74" s="180"/>
      <c r="B74" s="154">
        <v>45034.0</v>
      </c>
      <c r="C74" s="155" t="s">
        <v>131</v>
      </c>
      <c r="D74" s="156"/>
      <c r="E74" s="176"/>
      <c r="F74" s="152"/>
      <c r="G74" s="152"/>
      <c r="H74" s="152">
        <v>250000.0</v>
      </c>
      <c r="I74" s="152"/>
      <c r="J74" s="152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ht="24.75" customHeight="1">
      <c r="A75" s="180"/>
      <c r="B75" s="154">
        <v>45035.0</v>
      </c>
      <c r="C75" s="155" t="s">
        <v>132</v>
      </c>
      <c r="D75" s="156"/>
      <c r="E75" s="169"/>
      <c r="F75" s="152"/>
      <c r="G75" s="152"/>
      <c r="H75" s="152"/>
      <c r="I75" s="152">
        <v>128000.0</v>
      </c>
      <c r="J75" s="152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ht="24.75" customHeight="1">
      <c r="A76" s="180"/>
      <c r="B76" s="154">
        <v>45035.0</v>
      </c>
      <c r="C76" s="172" t="s">
        <v>133</v>
      </c>
      <c r="D76" s="172"/>
      <c r="E76" s="169"/>
      <c r="F76" s="152"/>
      <c r="G76" s="152"/>
      <c r="H76" s="152">
        <v>65000.0</v>
      </c>
      <c r="I76" s="152"/>
      <c r="J76" s="152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ht="24.75" customHeight="1">
      <c r="A77" s="180"/>
      <c r="B77" s="154">
        <v>45035.0</v>
      </c>
      <c r="C77" s="219" t="s">
        <v>134</v>
      </c>
      <c r="D77" s="152"/>
      <c r="E77" s="169"/>
      <c r="F77" s="152"/>
      <c r="G77" s="152"/>
      <c r="H77" s="152">
        <v>15000.0</v>
      </c>
      <c r="I77" s="152"/>
      <c r="J77" s="152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ht="24.75" customHeight="1">
      <c r="A78" s="180"/>
      <c r="B78" s="154">
        <v>45035.0</v>
      </c>
      <c r="C78" s="219" t="s">
        <v>135</v>
      </c>
      <c r="D78" s="152"/>
      <c r="E78" s="169"/>
      <c r="F78" s="152"/>
      <c r="G78" s="152"/>
      <c r="H78" s="152">
        <v>20000.0</v>
      </c>
      <c r="I78" s="152"/>
      <c r="J78" s="152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ht="24.75" customHeight="1">
      <c r="A79" s="180"/>
      <c r="B79" s="154">
        <v>45036.0</v>
      </c>
      <c r="C79" s="172" t="s">
        <v>136</v>
      </c>
      <c r="D79" s="172"/>
      <c r="E79" s="169"/>
      <c r="F79" s="152"/>
      <c r="G79" s="152"/>
      <c r="H79" s="152">
        <v>42000.0</v>
      </c>
      <c r="I79" s="152"/>
      <c r="J79" s="152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ht="24.75" customHeight="1">
      <c r="A80" s="180"/>
      <c r="B80" s="154">
        <v>45036.0</v>
      </c>
      <c r="C80" s="172" t="s">
        <v>137</v>
      </c>
      <c r="D80" s="172"/>
      <c r="E80" s="169"/>
      <c r="F80" s="152"/>
      <c r="G80" s="152"/>
      <c r="H80" s="152"/>
      <c r="I80" s="152">
        <v>3500.0</v>
      </c>
      <c r="J80" s="152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ht="24.0" customHeight="1">
      <c r="A81" s="180"/>
      <c r="B81" s="154">
        <v>45037.0</v>
      </c>
      <c r="C81" s="172" t="s">
        <v>138</v>
      </c>
      <c r="D81" s="172"/>
      <c r="E81" s="152"/>
      <c r="F81" s="152"/>
      <c r="G81" s="152"/>
      <c r="H81" s="152"/>
      <c r="I81" s="152"/>
      <c r="J81" s="152">
        <v>376500.0</v>
      </c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ht="24.75" customHeight="1">
      <c r="A82" s="180"/>
      <c r="B82" s="154">
        <v>45040.0</v>
      </c>
      <c r="C82" s="158" t="s">
        <v>139</v>
      </c>
      <c r="D82" s="156"/>
      <c r="E82" s="176"/>
      <c r="F82" s="152"/>
      <c r="G82" s="152"/>
      <c r="H82" s="152">
        <v>80000.0</v>
      </c>
      <c r="I82" s="152"/>
      <c r="J82" s="152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ht="51.75" customHeight="1">
      <c r="A83" s="180"/>
      <c r="B83" s="184"/>
      <c r="C83" s="220"/>
      <c r="D83" s="220"/>
      <c r="E83" s="186"/>
      <c r="F83" s="182"/>
      <c r="G83" s="182"/>
      <c r="H83" s="182"/>
      <c r="I83" s="182"/>
      <c r="J83" s="182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ht="24.75" customHeight="1">
      <c r="A84" s="180"/>
      <c r="B84" s="188">
        <v>45043.0</v>
      </c>
      <c r="C84" s="189" t="s">
        <v>140</v>
      </c>
      <c r="D84" s="189"/>
      <c r="E84" s="176">
        <v>390000.0</v>
      </c>
      <c r="F84" s="152"/>
      <c r="G84" s="152"/>
      <c r="H84" s="152"/>
      <c r="I84" s="152"/>
      <c r="J84" s="152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ht="24.75" customHeight="1">
      <c r="A85" s="180"/>
      <c r="B85" s="154"/>
      <c r="C85" s="219" t="s">
        <v>141</v>
      </c>
      <c r="D85" s="219"/>
      <c r="E85" s="176"/>
      <c r="F85" s="152">
        <v>350000.0</v>
      </c>
      <c r="G85" s="152"/>
      <c r="H85" s="152"/>
      <c r="I85" s="152"/>
      <c r="J85" s="152">
        <v>40000.0</v>
      </c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ht="24.75" customHeight="1">
      <c r="A86" s="180"/>
      <c r="B86" s="184"/>
      <c r="C86" s="220"/>
      <c r="D86" s="220"/>
      <c r="E86" s="186"/>
      <c r="F86" s="182"/>
      <c r="G86" s="182"/>
      <c r="H86" s="182"/>
      <c r="I86" s="182"/>
      <c r="J86" s="182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ht="24.75" customHeight="1">
      <c r="A87" s="180"/>
      <c r="B87" s="184"/>
      <c r="C87" s="220"/>
      <c r="D87" s="220"/>
      <c r="E87" s="186"/>
      <c r="F87" s="182"/>
      <c r="G87" s="182"/>
      <c r="H87" s="182"/>
      <c r="I87" s="182"/>
      <c r="J87" s="182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ht="24.75" customHeight="1">
      <c r="A88" s="180"/>
      <c r="B88" s="180"/>
      <c r="C88" s="180"/>
      <c r="D88" s="180"/>
      <c r="E88" s="182"/>
      <c r="F88" s="182"/>
      <c r="G88" s="182"/>
      <c r="H88" s="182"/>
      <c r="I88" s="182"/>
      <c r="J88" s="182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ht="24.75" customHeight="1">
      <c r="A89" s="180"/>
      <c r="B89" s="180"/>
      <c r="C89" s="221" t="s">
        <v>142</v>
      </c>
      <c r="D89" s="172"/>
      <c r="E89" s="182"/>
      <c r="F89" s="182"/>
      <c r="G89" s="182"/>
      <c r="H89" s="182"/>
      <c r="I89" s="182"/>
      <c r="J89" s="182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ht="24.75" customHeight="1">
      <c r="A90" s="180"/>
      <c r="B90" s="180"/>
      <c r="C90" s="221" t="s">
        <v>143</v>
      </c>
      <c r="D90" s="172"/>
      <c r="E90" s="182"/>
      <c r="F90" s="182"/>
      <c r="G90" s="182"/>
      <c r="H90" s="182"/>
      <c r="I90" s="182"/>
      <c r="J90" s="182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ht="24.75" customHeight="1">
      <c r="A91" s="180"/>
      <c r="B91" s="180"/>
      <c r="C91" s="180"/>
      <c r="D91" s="180"/>
      <c r="E91" s="182"/>
      <c r="F91" s="182"/>
      <c r="G91" s="182"/>
      <c r="H91" s="182"/>
      <c r="I91" s="182"/>
      <c r="J91" s="182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ht="24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2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ht="24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2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ht="24.75" customHeight="1">
      <c r="A94" s="180"/>
      <c r="B94" s="180"/>
      <c r="C94" s="221" t="s">
        <v>144</v>
      </c>
      <c r="D94" s="221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ht="24.75" customHeight="1">
      <c r="A95" s="180"/>
      <c r="B95" s="180"/>
      <c r="C95" s="221" t="s">
        <v>145</v>
      </c>
      <c r="D95" s="221"/>
      <c r="E95" s="180"/>
      <c r="F95" s="180"/>
      <c r="G95" s="180"/>
      <c r="H95" s="180"/>
      <c r="I95" s="182"/>
      <c r="J95" s="182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ht="24.75" customHeight="1">
      <c r="A96" s="180"/>
      <c r="B96" s="184"/>
      <c r="C96" s="221" t="s">
        <v>146</v>
      </c>
      <c r="D96" s="221"/>
      <c r="E96" s="180"/>
      <c r="F96" s="180"/>
      <c r="G96" s="180"/>
      <c r="H96" s="180"/>
      <c r="I96" s="182"/>
      <c r="J96" s="182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ht="24.75" customHeight="1">
      <c r="A97" s="180"/>
      <c r="B97" s="184"/>
      <c r="C97" s="222"/>
      <c r="D97" s="156"/>
      <c r="E97" s="180"/>
      <c r="F97" s="180"/>
      <c r="G97" s="180"/>
      <c r="H97" s="180"/>
      <c r="I97" s="182"/>
      <c r="J97" s="182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ht="24.75" customHeight="1">
      <c r="A98" s="180"/>
      <c r="B98" s="184"/>
      <c r="C98" s="223"/>
      <c r="D98" s="224"/>
      <c r="E98" s="181"/>
      <c r="F98" s="182"/>
      <c r="G98" s="182"/>
      <c r="H98" s="182"/>
      <c r="I98" s="182"/>
      <c r="J98" s="182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ht="24.75" customHeight="1">
      <c r="A99" s="180"/>
      <c r="B99" s="184"/>
      <c r="C99" s="223"/>
      <c r="D99" s="224"/>
      <c r="E99" s="181"/>
      <c r="F99" s="182"/>
      <c r="G99" s="182"/>
      <c r="H99" s="182"/>
      <c r="I99" s="182"/>
      <c r="J99" s="182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ht="51.0" customHeight="1">
      <c r="A100" s="180"/>
      <c r="B100" s="184"/>
      <c r="C100" s="206"/>
      <c r="D100" s="182"/>
      <c r="E100" s="225" t="s">
        <v>147</v>
      </c>
      <c r="F100" s="226"/>
      <c r="G100" s="226"/>
      <c r="H100" s="226"/>
      <c r="I100" s="226"/>
      <c r="J100" s="226"/>
      <c r="K100" s="226"/>
      <c r="L100" s="226"/>
      <c r="M100" s="156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ht="24.75" customHeight="1">
      <c r="A101" s="180"/>
      <c r="B101" s="184"/>
      <c r="C101" s="206"/>
      <c r="D101" s="182"/>
      <c r="E101" s="227" t="s">
        <v>148</v>
      </c>
      <c r="F101" s="228" t="s">
        <v>149</v>
      </c>
      <c r="G101" s="229" t="s">
        <v>150</v>
      </c>
      <c r="H101" s="230"/>
      <c r="I101" s="231" t="s">
        <v>49</v>
      </c>
      <c r="J101" s="231" t="s">
        <v>50</v>
      </c>
      <c r="K101" s="232" t="s">
        <v>151</v>
      </c>
      <c r="L101" s="232" t="s">
        <v>152</v>
      </c>
      <c r="M101" s="232" t="s">
        <v>153</v>
      </c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ht="24.75" customHeight="1">
      <c r="A102" s="180"/>
      <c r="B102" s="184"/>
      <c r="C102" s="206"/>
      <c r="D102" s="182"/>
      <c r="E102" s="233"/>
      <c r="F102" s="233"/>
      <c r="G102" s="234">
        <v>0.1</v>
      </c>
      <c r="H102" s="230"/>
      <c r="I102" s="233"/>
      <c r="J102" s="233"/>
      <c r="K102" s="233"/>
      <c r="L102" s="233"/>
      <c r="M102" s="233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ht="24.75" customHeight="1">
      <c r="A103" s="180"/>
      <c r="B103" s="180"/>
      <c r="C103" s="180"/>
      <c r="D103" s="180"/>
      <c r="E103" s="235"/>
      <c r="F103" s="235"/>
      <c r="G103" s="236" t="str">
        <f>SUM('ADMINISTRACION DETALLADA'!#REF!)</f>
        <v>#ERROR!</v>
      </c>
      <c r="H103" s="122"/>
      <c r="I103" s="235"/>
      <c r="J103" s="235"/>
      <c r="K103" s="235"/>
      <c r="L103" s="235"/>
      <c r="M103" s="235"/>
      <c r="N103" s="180"/>
      <c r="O103" s="180"/>
      <c r="P103" s="180"/>
      <c r="Q103" s="180"/>
      <c r="R103" s="180"/>
      <c r="S103" s="180"/>
      <c r="T103" s="180"/>
      <c r="U103" s="180"/>
      <c r="V103" s="180"/>
      <c r="W103" s="122"/>
      <c r="X103" s="180"/>
      <c r="Y103" s="180"/>
      <c r="Z103" s="180"/>
    </row>
    <row r="104" ht="53.25" customHeight="1">
      <c r="A104" s="180"/>
      <c r="B104" s="180"/>
      <c r="C104" s="180"/>
      <c r="D104" s="180"/>
      <c r="E104" s="237" t="str">
        <f>SUM(F105:F116)</f>
        <v>#ERROR!</v>
      </c>
      <c r="F104" s="156"/>
      <c r="G104" s="152"/>
      <c r="H104" s="180"/>
      <c r="I104" s="238"/>
      <c r="J104" s="238"/>
      <c r="K104" s="239" t="str">
        <f>SUM('ADMINISTRACION DETALLADA'!#REF!)</f>
        <v>#ERROR!</v>
      </c>
      <c r="L104" s="240" t="str">
        <f>SUM('ADMINISTRACION DETALLADA'!#REF!)</f>
        <v>#ERROR!</v>
      </c>
      <c r="M104" s="240" t="str">
        <f>SUM(K104-L104)</f>
        <v>#ERROR!</v>
      </c>
      <c r="N104" s="180"/>
      <c r="O104" s="180"/>
      <c r="P104" s="180"/>
      <c r="Q104" s="180"/>
      <c r="R104" s="180"/>
      <c r="S104" s="180"/>
      <c r="T104" s="180"/>
      <c r="U104" s="180"/>
      <c r="V104" s="180"/>
      <c r="W104" s="122"/>
      <c r="X104" s="180"/>
      <c r="Y104" s="180"/>
      <c r="Z104" s="180"/>
    </row>
    <row r="105" ht="31.5" customHeight="1">
      <c r="A105" s="180"/>
      <c r="B105" s="180"/>
      <c r="C105" s="180"/>
      <c r="D105" s="180"/>
      <c r="E105" s="241" t="s">
        <v>154</v>
      </c>
      <c r="F105" s="241" t="str">
        <f>SUM('ADMINISTRACION DETALLADA'!#REF!)</f>
        <v>#ERROR!</v>
      </c>
      <c r="G105" s="153" t="str">
        <f t="shared" ref="G105:G116" si="2">SUM(F105*10%)</f>
        <v>#ERROR!</v>
      </c>
      <c r="H105" s="122"/>
      <c r="I105" s="153"/>
      <c r="J105" s="153"/>
      <c r="K105" s="172"/>
      <c r="L105" s="172"/>
      <c r="M105" s="172"/>
      <c r="N105" s="180"/>
      <c r="O105" s="180"/>
      <c r="P105" s="180"/>
      <c r="Q105" s="180"/>
      <c r="R105" s="180"/>
      <c r="S105" s="180"/>
      <c r="T105" s="180"/>
      <c r="U105" s="180"/>
      <c r="V105" s="180"/>
      <c r="W105" s="122"/>
      <c r="X105" s="180"/>
      <c r="Y105" s="180"/>
      <c r="Z105" s="180"/>
    </row>
    <row r="106" ht="24.75" customHeight="1">
      <c r="A106" s="180"/>
      <c r="B106" s="180"/>
      <c r="C106" s="180"/>
      <c r="D106" s="180"/>
      <c r="E106" s="242" t="s">
        <v>155</v>
      </c>
      <c r="F106" s="241" t="str">
        <f>SUM('ADMINISTRACION DETALLADA'!#REF!)</f>
        <v>#ERROR!</v>
      </c>
      <c r="G106" s="243" t="str">
        <f t="shared" si="2"/>
        <v>#ERROR!</v>
      </c>
      <c r="H106" s="122"/>
      <c r="I106" s="147"/>
      <c r="J106" s="147"/>
      <c r="K106" s="153"/>
      <c r="L106" s="152"/>
      <c r="M106" s="152"/>
      <c r="N106" s="180"/>
      <c r="O106" s="180"/>
      <c r="P106" s="180"/>
      <c r="Q106" s="180"/>
      <c r="R106" s="180"/>
      <c r="S106" s="180"/>
      <c r="T106" s="180"/>
      <c r="U106" s="180"/>
      <c r="V106" s="180"/>
      <c r="W106" s="122"/>
      <c r="X106" s="180"/>
      <c r="Y106" s="180"/>
      <c r="Z106" s="180"/>
    </row>
    <row r="107" ht="81.0" customHeight="1">
      <c r="A107" s="180"/>
      <c r="B107" s="180"/>
      <c r="C107" s="180"/>
      <c r="D107" s="180"/>
      <c r="E107" s="244" t="s">
        <v>156</v>
      </c>
      <c r="F107" s="241" t="str">
        <f>SUM('ADMINISTRACION DETALLADA'!#REF!)</f>
        <v>#ERROR!</v>
      </c>
      <c r="G107" s="243" t="str">
        <f t="shared" si="2"/>
        <v>#ERROR!</v>
      </c>
      <c r="H107" s="159"/>
      <c r="I107" s="245">
        <v>44995.0</v>
      </c>
      <c r="J107" s="246" t="s">
        <v>157</v>
      </c>
      <c r="K107" s="153"/>
      <c r="L107" s="152">
        <v>880000.0</v>
      </c>
      <c r="M107" s="152"/>
      <c r="N107" s="180"/>
      <c r="O107" s="180"/>
      <c r="P107" s="180"/>
      <c r="Q107" s="180"/>
      <c r="R107" s="180"/>
      <c r="S107" s="180"/>
      <c r="T107" s="180"/>
      <c r="U107" s="180"/>
      <c r="V107" s="180"/>
      <c r="W107" s="122"/>
      <c r="X107" s="180"/>
      <c r="Y107" s="180"/>
      <c r="Z107" s="180"/>
    </row>
    <row r="108" ht="56.25" customHeight="1">
      <c r="A108" s="122"/>
      <c r="B108" s="211"/>
      <c r="C108" s="122"/>
      <c r="D108" s="122"/>
      <c r="E108" s="242" t="s">
        <v>158</v>
      </c>
      <c r="F108" s="241" t="str">
        <f>SUM('ADMINISTRACION DETALLADA'!#REF!)</f>
        <v>#ERROR!</v>
      </c>
      <c r="G108" s="243" t="str">
        <f t="shared" si="2"/>
        <v>#ERROR!</v>
      </c>
      <c r="H108" s="122"/>
      <c r="I108" s="245">
        <v>45031.0</v>
      </c>
      <c r="J108" s="247" t="s">
        <v>159</v>
      </c>
      <c r="K108" s="153"/>
      <c r="L108" s="152">
        <v>490000.0</v>
      </c>
      <c r="M108" s="15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71.25" customHeight="1">
      <c r="A109" s="122"/>
      <c r="B109" s="211"/>
      <c r="C109" s="122"/>
      <c r="D109" s="122"/>
      <c r="E109" s="244" t="s">
        <v>160</v>
      </c>
      <c r="F109" s="241" t="str">
        <f>SUM('ADMINISTRACION DETALLADA'!#REF!)</f>
        <v>#ERROR!</v>
      </c>
      <c r="G109" s="243" t="str">
        <f t="shared" si="2"/>
        <v>#ERROR!</v>
      </c>
      <c r="H109" s="122"/>
      <c r="I109" s="245"/>
      <c r="J109" s="247"/>
      <c r="K109" s="153"/>
      <c r="L109" s="152"/>
      <c r="M109" s="15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24.75" customHeight="1">
      <c r="A110" s="122"/>
      <c r="B110" s="211"/>
      <c r="C110" s="122"/>
      <c r="D110" s="122"/>
      <c r="E110" s="244" t="s">
        <v>161</v>
      </c>
      <c r="F110" s="241" t="str">
        <f>SUM('ADMINISTRACION DETALLADA'!#REF!)</f>
        <v>#ERROR!</v>
      </c>
      <c r="G110" s="243" t="str">
        <f t="shared" si="2"/>
        <v>#ERROR!</v>
      </c>
      <c r="H110" s="122"/>
      <c r="I110" s="204"/>
      <c r="J110" s="153"/>
      <c r="K110" s="153"/>
      <c r="L110" s="152"/>
      <c r="M110" s="15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24.75" customHeight="1">
      <c r="A111" s="122"/>
      <c r="B111" s="211"/>
      <c r="C111" s="122"/>
      <c r="D111" s="122"/>
      <c r="E111" s="244" t="s">
        <v>162</v>
      </c>
      <c r="F111" s="241" t="str">
        <f>SUM('ADMINISTRACION DETALLADA'!#REF!)</f>
        <v>#ERROR!</v>
      </c>
      <c r="G111" s="243" t="str">
        <f t="shared" si="2"/>
        <v>#ERROR!</v>
      </c>
      <c r="H111" s="122"/>
      <c r="I111" s="204"/>
      <c r="J111" s="153"/>
      <c r="K111" s="153"/>
      <c r="L111" s="152"/>
      <c r="M111" s="15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24.75" customHeight="1">
      <c r="A112" s="122"/>
      <c r="B112" s="211"/>
      <c r="C112" s="122"/>
      <c r="D112" s="122"/>
      <c r="E112" s="244" t="s">
        <v>163</v>
      </c>
      <c r="F112" s="241" t="str">
        <f>SUM('ADMINISTRACION DETALLADA'!#REF!)</f>
        <v>#ERROR!</v>
      </c>
      <c r="G112" s="243" t="str">
        <f t="shared" si="2"/>
        <v>#ERROR!</v>
      </c>
      <c r="H112" s="122"/>
      <c r="I112" s="204"/>
      <c r="J112" s="153"/>
      <c r="K112" s="153"/>
      <c r="L112" s="152"/>
      <c r="M112" s="15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24.75" customHeight="1">
      <c r="A113" s="122"/>
      <c r="B113" s="211"/>
      <c r="C113" s="122"/>
      <c r="D113" s="122"/>
      <c r="E113" s="244" t="s">
        <v>164</v>
      </c>
      <c r="F113" s="241" t="str">
        <f>SUM('ADMINISTRACION DETALLADA'!#REF!)</f>
        <v>#ERROR!</v>
      </c>
      <c r="G113" s="243" t="str">
        <f t="shared" si="2"/>
        <v>#ERROR!</v>
      </c>
      <c r="H113" s="122"/>
      <c r="I113" s="204"/>
      <c r="J113" s="153"/>
      <c r="K113" s="153"/>
      <c r="L113" s="152"/>
      <c r="M113" s="15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24.75" customHeight="1">
      <c r="A114" s="122"/>
      <c r="B114" s="211"/>
      <c r="C114" s="122"/>
      <c r="D114" s="122"/>
      <c r="E114" s="244" t="s">
        <v>165</v>
      </c>
      <c r="F114" s="241" t="str">
        <f>SUM('ADMINISTRACION DETALLADA'!#REF!)</f>
        <v>#ERROR!</v>
      </c>
      <c r="G114" s="243" t="str">
        <f t="shared" si="2"/>
        <v>#ERROR!</v>
      </c>
      <c r="H114" s="122"/>
      <c r="I114" s="204"/>
      <c r="J114" s="153"/>
      <c r="K114" s="153"/>
      <c r="L114" s="152"/>
      <c r="M114" s="15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24.75" customHeight="1">
      <c r="A115" s="122"/>
      <c r="B115" s="211"/>
      <c r="C115" s="122"/>
      <c r="D115" s="122"/>
      <c r="E115" s="244" t="s">
        <v>166</v>
      </c>
      <c r="F115" s="241" t="str">
        <f>SUM('ADMINISTRACION DETALLADA'!#REF!)</f>
        <v>#ERROR!</v>
      </c>
      <c r="G115" s="243" t="str">
        <f t="shared" si="2"/>
        <v>#ERROR!</v>
      </c>
      <c r="H115" s="122"/>
      <c r="I115" s="204"/>
      <c r="J115" s="153"/>
      <c r="K115" s="153"/>
      <c r="L115" s="152"/>
      <c r="M115" s="15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24.75" customHeight="1">
      <c r="A116" s="122"/>
      <c r="B116" s="211"/>
      <c r="C116" s="122"/>
      <c r="D116" s="122"/>
      <c r="E116" s="244" t="s">
        <v>167</v>
      </c>
      <c r="F116" s="241" t="str">
        <f>SUM('ADMINISTRACION DETALLADA'!#REF!)</f>
        <v>#ERROR!</v>
      </c>
      <c r="G116" s="243" t="str">
        <f t="shared" si="2"/>
        <v>#ERROR!</v>
      </c>
      <c r="H116" s="122"/>
      <c r="I116" s="204"/>
      <c r="J116" s="153"/>
      <c r="K116" s="153"/>
      <c r="L116" s="152"/>
      <c r="M116" s="15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24.75" customHeight="1">
      <c r="A117" s="122"/>
      <c r="B117" s="211"/>
      <c r="C117" s="122"/>
      <c r="D117" s="122"/>
      <c r="E117" s="244"/>
      <c r="F117" s="241"/>
      <c r="G117" s="248"/>
      <c r="H117" s="230"/>
      <c r="I117" s="204"/>
      <c r="J117" s="153"/>
      <c r="K117" s="153"/>
      <c r="L117" s="152"/>
      <c r="M117" s="15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24.75" customHeight="1">
      <c r="A118" s="122"/>
      <c r="B118" s="211"/>
      <c r="C118" s="122"/>
      <c r="D118" s="122"/>
      <c r="E118" s="249"/>
      <c r="F118" s="250"/>
      <c r="G118" s="251"/>
      <c r="H118" s="230"/>
      <c r="I118" s="204"/>
      <c r="J118" s="153"/>
      <c r="K118" s="152"/>
      <c r="L118" s="172"/>
      <c r="M118" s="17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24.75" customHeight="1">
      <c r="A119" s="122"/>
      <c r="B119" s="211"/>
      <c r="C119" s="122"/>
      <c r="D119" s="122"/>
      <c r="E119" s="216"/>
      <c r="F119" s="180"/>
      <c r="G119" s="180"/>
      <c r="H119" s="202"/>
      <c r="I119" s="180"/>
      <c r="J119" s="180"/>
      <c r="K119" s="180"/>
      <c r="L119" s="180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24.75" customHeight="1">
      <c r="A120" s="122"/>
      <c r="B120" s="211"/>
      <c r="C120" s="122"/>
      <c r="D120" s="122"/>
      <c r="E120" s="252"/>
      <c r="F120" s="122"/>
      <c r="G120" s="122"/>
      <c r="H120" s="122"/>
      <c r="I120" s="180"/>
      <c r="J120" s="180"/>
      <c r="K120" s="206"/>
      <c r="L120" s="180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24.75" customHeight="1">
      <c r="A121" s="122"/>
      <c r="B121" s="211"/>
      <c r="C121" s="122"/>
      <c r="D121" s="122"/>
      <c r="E121" s="252"/>
      <c r="F121" s="122"/>
      <c r="G121" s="122"/>
      <c r="H121" s="122"/>
      <c r="I121" s="206"/>
      <c r="J121" s="206"/>
      <c r="K121" s="206"/>
      <c r="L121" s="180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24.75" customHeight="1">
      <c r="A122" s="122"/>
      <c r="B122" s="211"/>
      <c r="C122" s="122"/>
      <c r="D122" s="122"/>
      <c r="E122" s="252"/>
      <c r="F122" s="122"/>
      <c r="G122" s="122"/>
      <c r="H122" s="122"/>
      <c r="I122" s="182"/>
      <c r="J122" s="182"/>
      <c r="K122" s="206"/>
      <c r="L122" s="180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24.75" customHeight="1">
      <c r="A123" s="122"/>
      <c r="B123" s="211"/>
      <c r="C123" s="122"/>
      <c r="D123" s="122"/>
      <c r="E123" s="252"/>
      <c r="F123" s="122"/>
      <c r="G123" s="122"/>
      <c r="H123" s="122"/>
      <c r="I123" s="180"/>
      <c r="J123" s="180"/>
      <c r="K123" s="206"/>
      <c r="L123" s="180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24.75" customHeight="1">
      <c r="A124" s="122"/>
      <c r="B124" s="211"/>
      <c r="C124" s="122"/>
      <c r="D124" s="122"/>
      <c r="E124" s="252"/>
      <c r="F124" s="122"/>
      <c r="G124" s="122"/>
      <c r="H124" s="122"/>
      <c r="I124" s="180"/>
      <c r="J124" s="180"/>
      <c r="K124" s="206"/>
      <c r="L124" s="180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24.75" customHeight="1">
      <c r="A125" s="122"/>
      <c r="B125" s="216"/>
      <c r="C125" s="180"/>
      <c r="D125" s="180"/>
      <c r="E125" s="202"/>
      <c r="F125" s="180"/>
      <c r="G125" s="180"/>
      <c r="H125" s="180"/>
      <c r="I125" s="180"/>
      <c r="J125" s="180"/>
      <c r="K125" s="206"/>
      <c r="L125" s="180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24.75" customHeight="1">
      <c r="A126" s="122"/>
      <c r="B126" s="216"/>
      <c r="C126" s="180"/>
      <c r="D126" s="180"/>
      <c r="E126" s="202"/>
      <c r="F126" s="180"/>
      <c r="G126" s="180"/>
      <c r="H126" s="180"/>
      <c r="I126" s="180"/>
      <c r="J126" s="180"/>
      <c r="K126" s="206"/>
      <c r="L126" s="180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24.75" customHeight="1">
      <c r="A127" s="122"/>
      <c r="B127" s="216"/>
      <c r="C127" s="253"/>
      <c r="D127" s="13"/>
      <c r="E127" s="202"/>
      <c r="F127" s="180"/>
      <c r="G127" s="180"/>
      <c r="H127" s="180"/>
      <c r="I127" s="180"/>
      <c r="J127" s="180"/>
      <c r="K127" s="206"/>
      <c r="L127" s="180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24.75" customHeight="1">
      <c r="A128" s="122"/>
      <c r="B128" s="216"/>
      <c r="C128" s="253"/>
      <c r="D128" s="13"/>
      <c r="E128" s="202"/>
      <c r="F128" s="180"/>
      <c r="G128" s="180"/>
      <c r="H128" s="180"/>
      <c r="I128" s="180"/>
      <c r="J128" s="180"/>
      <c r="K128" s="206"/>
      <c r="L128" s="180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24.75" customHeight="1">
      <c r="A129" s="122"/>
      <c r="B129" s="216"/>
      <c r="C129" s="253"/>
      <c r="D129" s="13"/>
      <c r="E129" s="202"/>
      <c r="F129" s="180"/>
      <c r="G129" s="180"/>
      <c r="H129" s="180"/>
      <c r="I129" s="180"/>
      <c r="J129" s="180"/>
      <c r="K129" s="206"/>
      <c r="L129" s="180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24.75" customHeight="1">
      <c r="A130" s="122"/>
      <c r="B130" s="216"/>
      <c r="C130" s="253"/>
      <c r="D130" s="13"/>
      <c r="E130" s="202"/>
      <c r="F130" s="180"/>
      <c r="G130" s="180"/>
      <c r="H130" s="180"/>
      <c r="I130" s="180"/>
      <c r="J130" s="180"/>
      <c r="K130" s="206"/>
      <c r="L130" s="180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24.75" customHeight="1">
      <c r="A131" s="122"/>
      <c r="B131" s="216"/>
      <c r="C131" s="206"/>
      <c r="D131" s="206"/>
      <c r="E131" s="202"/>
      <c r="F131" s="180"/>
      <c r="G131" s="180"/>
      <c r="H131" s="180"/>
      <c r="I131" s="180"/>
      <c r="J131" s="180"/>
      <c r="K131" s="206"/>
      <c r="L131" s="180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24.75" customHeight="1">
      <c r="A132" s="122"/>
      <c r="B132" s="216"/>
      <c r="C132" s="180"/>
      <c r="D132" s="180"/>
      <c r="E132" s="202"/>
      <c r="F132" s="180"/>
      <c r="G132" s="180"/>
      <c r="H132" s="180"/>
      <c r="I132" s="180"/>
      <c r="J132" s="180"/>
      <c r="K132" s="206"/>
      <c r="L132" s="180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24.75" customHeight="1">
      <c r="A133" s="122"/>
      <c r="B133" s="216"/>
      <c r="C133" s="180"/>
      <c r="D133" s="180"/>
      <c r="E133" s="202"/>
      <c r="F133" s="180"/>
      <c r="G133" s="180"/>
      <c r="H133" s="180"/>
      <c r="I133" s="180"/>
      <c r="J133" s="180"/>
      <c r="K133" s="206"/>
      <c r="L133" s="180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24.75" customHeight="1">
      <c r="A134" s="122"/>
      <c r="B134" s="216"/>
      <c r="C134" s="180"/>
      <c r="D134" s="180"/>
      <c r="E134" s="202"/>
      <c r="F134" s="180"/>
      <c r="G134" s="180"/>
      <c r="H134" s="180"/>
      <c r="I134" s="180"/>
      <c r="J134" s="180"/>
      <c r="K134" s="206"/>
      <c r="L134" s="180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24.75" customHeight="1">
      <c r="A135" s="122"/>
      <c r="B135" s="216"/>
      <c r="C135" s="180"/>
      <c r="D135" s="180"/>
      <c r="E135" s="202"/>
      <c r="F135" s="180"/>
      <c r="G135" s="180"/>
      <c r="H135" s="180"/>
      <c r="I135" s="180"/>
      <c r="J135" s="180"/>
      <c r="K135" s="206"/>
      <c r="L135" s="180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24.75" customHeight="1">
      <c r="A136" s="122"/>
      <c r="B136" s="216"/>
      <c r="C136" s="180"/>
      <c r="D136" s="180"/>
      <c r="E136" s="202"/>
      <c r="F136" s="182"/>
      <c r="G136" s="180"/>
      <c r="H136" s="206"/>
      <c r="I136" s="206"/>
      <c r="J136" s="206"/>
      <c r="K136" s="180"/>
      <c r="L136" s="180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24.75" customHeight="1">
      <c r="A137" s="122"/>
      <c r="B137" s="216"/>
      <c r="C137" s="180"/>
      <c r="D137" s="180"/>
      <c r="E137" s="202"/>
      <c r="F137" s="180"/>
      <c r="G137" s="180"/>
      <c r="H137" s="180"/>
      <c r="I137" s="180"/>
      <c r="J137" s="180"/>
      <c r="K137" s="180"/>
      <c r="L137" s="180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24.75" customHeight="1">
      <c r="A138" s="122"/>
      <c r="B138" s="216"/>
      <c r="C138" s="180"/>
      <c r="D138" s="180"/>
      <c r="E138" s="202"/>
      <c r="F138" s="180"/>
      <c r="G138" s="180"/>
      <c r="H138" s="180"/>
      <c r="I138" s="180"/>
      <c r="J138" s="180"/>
      <c r="K138" s="180"/>
      <c r="L138" s="180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24.75" customHeight="1">
      <c r="A139" s="122"/>
      <c r="B139" s="211"/>
      <c r="C139" s="212"/>
      <c r="E139" s="25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24.75" customHeight="1">
      <c r="A140" s="122"/>
      <c r="B140" s="211"/>
      <c r="C140" s="122"/>
      <c r="D140" s="122"/>
      <c r="E140" s="25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24.75" customHeight="1">
      <c r="A141" s="122"/>
      <c r="B141" s="211"/>
      <c r="C141" s="122"/>
      <c r="D141" s="122"/>
      <c r="E141" s="25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24.75" customHeight="1">
      <c r="A142" s="122"/>
      <c r="B142" s="211"/>
      <c r="C142" s="122"/>
      <c r="D142" s="122"/>
      <c r="E142" s="25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24.75" customHeight="1">
      <c r="A143" s="122"/>
      <c r="B143" s="211"/>
      <c r="C143" s="122"/>
      <c r="D143" s="122"/>
      <c r="E143" s="25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24.75" customHeight="1">
      <c r="A144" s="122"/>
      <c r="B144" s="211"/>
      <c r="C144" s="122"/>
      <c r="D144" s="122"/>
      <c r="E144" s="25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24.75" customHeight="1">
      <c r="A145" s="122"/>
      <c r="B145" s="211"/>
      <c r="C145" s="122"/>
      <c r="D145" s="122"/>
      <c r="E145" s="25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24.75" customHeight="1">
      <c r="A146" s="122"/>
      <c r="B146" s="211"/>
      <c r="C146" s="122"/>
      <c r="D146" s="122"/>
      <c r="E146" s="25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24.75" customHeight="1">
      <c r="A147" s="122"/>
      <c r="B147" s="211"/>
      <c r="C147" s="122"/>
      <c r="D147" s="122"/>
      <c r="E147" s="25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24.75" customHeight="1">
      <c r="A148" s="122"/>
      <c r="B148" s="211"/>
      <c r="C148" s="122"/>
      <c r="D148" s="122"/>
      <c r="E148" s="25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24.75" customHeight="1">
      <c r="A149" s="122"/>
      <c r="B149" s="211"/>
      <c r="C149" s="122"/>
      <c r="D149" s="122"/>
      <c r="E149" s="25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24.75" customHeight="1">
      <c r="A150" s="122"/>
      <c r="B150" s="211"/>
      <c r="C150" s="122"/>
      <c r="D150" s="122"/>
      <c r="E150" s="25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24.75" customHeight="1">
      <c r="A151" s="122"/>
      <c r="B151" s="211"/>
      <c r="C151" s="122"/>
      <c r="D151" s="122"/>
      <c r="E151" s="25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24.75" customHeight="1">
      <c r="A152" s="122"/>
      <c r="B152" s="211"/>
      <c r="C152" s="122"/>
      <c r="D152" s="122"/>
      <c r="E152" s="25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24.75" customHeight="1">
      <c r="A153" s="122"/>
      <c r="B153" s="211"/>
      <c r="C153" s="122"/>
      <c r="D153" s="122"/>
      <c r="E153" s="25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24.75" customHeight="1">
      <c r="A154" s="122"/>
      <c r="B154" s="211"/>
      <c r="C154" s="122"/>
      <c r="D154" s="122"/>
      <c r="E154" s="25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24.75" customHeight="1">
      <c r="A155" s="122"/>
      <c r="B155" s="211"/>
      <c r="C155" s="122"/>
      <c r="D155" s="122"/>
      <c r="E155" s="25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24.75" customHeight="1">
      <c r="A156" s="122"/>
      <c r="B156" s="211"/>
      <c r="C156" s="122"/>
      <c r="D156" s="122"/>
      <c r="E156" s="25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24.75" customHeight="1">
      <c r="A157" s="122"/>
      <c r="B157" s="211"/>
      <c r="C157" s="122"/>
      <c r="D157" s="122"/>
      <c r="E157" s="25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24.75" customHeight="1">
      <c r="A158" s="122"/>
      <c r="B158" s="211"/>
      <c r="C158" s="122"/>
      <c r="D158" s="122"/>
      <c r="E158" s="25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24.75" customHeight="1">
      <c r="A159" s="122"/>
      <c r="B159" s="211"/>
      <c r="C159" s="122"/>
      <c r="D159" s="122"/>
      <c r="E159" s="25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24.75" customHeight="1">
      <c r="A160" s="122"/>
      <c r="B160" s="211"/>
      <c r="C160" s="122"/>
      <c r="D160" s="122"/>
      <c r="E160" s="25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24.75" customHeight="1">
      <c r="A161" s="122"/>
      <c r="B161" s="211"/>
      <c r="C161" s="122"/>
      <c r="D161" s="122"/>
      <c r="E161" s="25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24.75" customHeight="1">
      <c r="A162" s="122"/>
      <c r="B162" s="211"/>
      <c r="C162" s="122"/>
      <c r="D162" s="122"/>
      <c r="E162" s="25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24.75" customHeight="1">
      <c r="A163" s="122"/>
      <c r="B163" s="211"/>
      <c r="C163" s="122"/>
      <c r="D163" s="122"/>
      <c r="E163" s="25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24.75" customHeight="1">
      <c r="A164" s="122"/>
      <c r="B164" s="211"/>
      <c r="C164" s="122"/>
      <c r="D164" s="122"/>
      <c r="E164" s="25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24.75" customHeight="1">
      <c r="A165" s="122"/>
      <c r="B165" s="211"/>
      <c r="C165" s="122"/>
      <c r="D165" s="122"/>
      <c r="E165" s="25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24.75" customHeight="1">
      <c r="A166" s="122"/>
      <c r="B166" s="211"/>
      <c r="C166" s="122"/>
      <c r="D166" s="122"/>
      <c r="E166" s="25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24.75" customHeight="1">
      <c r="A167" s="122"/>
      <c r="B167" s="211"/>
      <c r="C167" s="122"/>
      <c r="D167" s="122"/>
      <c r="E167" s="25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24.75" customHeight="1">
      <c r="A168" s="122"/>
      <c r="B168" s="211"/>
      <c r="C168" s="122"/>
      <c r="D168" s="122"/>
      <c r="E168" s="25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24.75" customHeight="1">
      <c r="A169" s="122"/>
      <c r="B169" s="211"/>
      <c r="C169" s="122"/>
      <c r="D169" s="122"/>
      <c r="E169" s="25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24.75" customHeight="1">
      <c r="A170" s="122"/>
      <c r="B170" s="211"/>
      <c r="C170" s="122"/>
      <c r="D170" s="122"/>
      <c r="E170" s="25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24.75" customHeight="1">
      <c r="A171" s="122"/>
      <c r="B171" s="211"/>
      <c r="C171" s="122"/>
      <c r="D171" s="122"/>
      <c r="E171" s="25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24.75" customHeight="1">
      <c r="A172" s="122"/>
      <c r="B172" s="211"/>
      <c r="C172" s="122"/>
      <c r="D172" s="122"/>
      <c r="E172" s="25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24.75" customHeight="1">
      <c r="A173" s="122"/>
      <c r="B173" s="211"/>
      <c r="C173" s="122"/>
      <c r="D173" s="122"/>
      <c r="E173" s="25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24.75" customHeight="1">
      <c r="A174" s="122"/>
      <c r="B174" s="211"/>
      <c r="C174" s="122"/>
      <c r="D174" s="122"/>
      <c r="E174" s="25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24.75" customHeight="1">
      <c r="A175" s="122"/>
      <c r="B175" s="211"/>
      <c r="C175" s="122"/>
      <c r="D175" s="122"/>
      <c r="E175" s="25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24.75" customHeight="1">
      <c r="A176" s="122"/>
      <c r="B176" s="211"/>
      <c r="C176" s="122"/>
      <c r="D176" s="122"/>
      <c r="E176" s="25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24.75" customHeight="1">
      <c r="A177" s="122"/>
      <c r="B177" s="211"/>
      <c r="C177" s="122"/>
      <c r="D177" s="122"/>
      <c r="E177" s="25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24.75" customHeight="1">
      <c r="A178" s="122"/>
      <c r="B178" s="211"/>
      <c r="C178" s="122"/>
      <c r="D178" s="122"/>
      <c r="E178" s="25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24.75" customHeight="1">
      <c r="A179" s="122"/>
      <c r="B179" s="211"/>
      <c r="C179" s="122"/>
      <c r="D179" s="122"/>
      <c r="E179" s="25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24.75" customHeight="1">
      <c r="A180" s="122"/>
      <c r="B180" s="211"/>
      <c r="C180" s="122"/>
      <c r="D180" s="122"/>
      <c r="E180" s="25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24.75" customHeight="1">
      <c r="A181" s="122"/>
      <c r="B181" s="211"/>
      <c r="C181" s="122"/>
      <c r="D181" s="122"/>
      <c r="E181" s="25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24.75" customHeight="1">
      <c r="A182" s="122"/>
      <c r="B182" s="211"/>
      <c r="C182" s="122"/>
      <c r="D182" s="122"/>
      <c r="E182" s="25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24.75" customHeight="1">
      <c r="A183" s="122"/>
      <c r="B183" s="211"/>
      <c r="C183" s="122"/>
      <c r="D183" s="122"/>
      <c r="E183" s="25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24.75" customHeight="1">
      <c r="A184" s="122"/>
      <c r="B184" s="211"/>
      <c r="C184" s="122"/>
      <c r="D184" s="122"/>
      <c r="E184" s="25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24.75" customHeight="1">
      <c r="A185" s="122"/>
      <c r="B185" s="211"/>
      <c r="C185" s="122"/>
      <c r="D185" s="122"/>
      <c r="E185" s="25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24.75" customHeight="1">
      <c r="A186" s="122"/>
      <c r="B186" s="211"/>
      <c r="C186" s="122"/>
      <c r="D186" s="122"/>
      <c r="E186" s="25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24.75" customHeight="1">
      <c r="A187" s="122"/>
      <c r="B187" s="211"/>
      <c r="C187" s="122"/>
      <c r="D187" s="122"/>
      <c r="E187" s="25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24.75" customHeight="1">
      <c r="A188" s="122"/>
      <c r="B188" s="211"/>
      <c r="C188" s="122"/>
      <c r="D188" s="122"/>
      <c r="E188" s="25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24.75" customHeight="1">
      <c r="A189" s="122"/>
      <c r="B189" s="211"/>
      <c r="C189" s="122"/>
      <c r="D189" s="122"/>
      <c r="E189" s="25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24.75" customHeight="1">
      <c r="A190" s="122"/>
      <c r="B190" s="211"/>
      <c r="C190" s="122"/>
      <c r="D190" s="122"/>
      <c r="E190" s="25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24.75" customHeight="1">
      <c r="A191" s="122"/>
      <c r="B191" s="211"/>
      <c r="C191" s="122"/>
      <c r="D191" s="122"/>
      <c r="E191" s="25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24.75" customHeight="1">
      <c r="A192" s="122"/>
      <c r="B192" s="211"/>
      <c r="C192" s="122"/>
      <c r="D192" s="122"/>
      <c r="E192" s="25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24.75" customHeight="1">
      <c r="A193" s="122"/>
      <c r="B193" s="211"/>
      <c r="C193" s="122"/>
      <c r="D193" s="122"/>
      <c r="E193" s="25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24.75" customHeight="1">
      <c r="A194" s="122"/>
      <c r="B194" s="211"/>
      <c r="C194" s="122"/>
      <c r="D194" s="122"/>
      <c r="E194" s="25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24.75" customHeight="1">
      <c r="A195" s="122"/>
      <c r="B195" s="211"/>
      <c r="C195" s="122"/>
      <c r="D195" s="122"/>
      <c r="E195" s="25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24.75" customHeight="1">
      <c r="A196" s="122"/>
      <c r="B196" s="211"/>
      <c r="C196" s="122"/>
      <c r="D196" s="122"/>
      <c r="E196" s="25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24.75" customHeight="1">
      <c r="A197" s="122"/>
      <c r="B197" s="211"/>
      <c r="C197" s="122"/>
      <c r="D197" s="122"/>
      <c r="E197" s="25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24.75" customHeight="1">
      <c r="A198" s="122"/>
      <c r="B198" s="211"/>
      <c r="C198" s="122"/>
      <c r="D198" s="122"/>
      <c r="E198" s="25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24.75" customHeight="1">
      <c r="A199" s="122"/>
      <c r="B199" s="211"/>
      <c r="C199" s="122"/>
      <c r="D199" s="122"/>
      <c r="E199" s="25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24.75" customHeight="1">
      <c r="A200" s="122"/>
      <c r="B200" s="211"/>
      <c r="C200" s="122"/>
      <c r="D200" s="122"/>
      <c r="E200" s="25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24.75" customHeight="1">
      <c r="A201" s="122"/>
      <c r="B201" s="211"/>
      <c r="C201" s="122"/>
      <c r="D201" s="122"/>
      <c r="E201" s="25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24.75" customHeight="1">
      <c r="A202" s="122"/>
      <c r="B202" s="211"/>
      <c r="C202" s="122"/>
      <c r="D202" s="122"/>
      <c r="E202" s="25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24.75" customHeight="1">
      <c r="A203" s="122"/>
      <c r="B203" s="211"/>
      <c r="C203" s="122"/>
      <c r="D203" s="122"/>
      <c r="E203" s="25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24.75" customHeight="1">
      <c r="A204" s="122"/>
      <c r="B204" s="211"/>
      <c r="C204" s="122"/>
      <c r="D204" s="122"/>
      <c r="E204" s="25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24.75" customHeight="1">
      <c r="A205" s="122"/>
      <c r="B205" s="211"/>
      <c r="C205" s="122"/>
      <c r="D205" s="122"/>
      <c r="E205" s="25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24.75" customHeight="1">
      <c r="A206" s="122"/>
      <c r="B206" s="211"/>
      <c r="C206" s="122"/>
      <c r="D206" s="122"/>
      <c r="E206" s="25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24.75" customHeight="1">
      <c r="A207" s="122"/>
      <c r="B207" s="211"/>
      <c r="C207" s="122"/>
      <c r="D207" s="122"/>
      <c r="E207" s="25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24.75" customHeight="1">
      <c r="A208" s="122"/>
      <c r="B208" s="211"/>
      <c r="C208" s="122"/>
      <c r="D208" s="122"/>
      <c r="E208" s="25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24.75" customHeight="1">
      <c r="A209" s="122"/>
      <c r="B209" s="211"/>
      <c r="C209" s="122"/>
      <c r="D209" s="122"/>
      <c r="E209" s="25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24.75" customHeight="1">
      <c r="A210" s="122"/>
      <c r="B210" s="211"/>
      <c r="C210" s="122"/>
      <c r="D210" s="122"/>
      <c r="E210" s="25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24.75" customHeight="1">
      <c r="A211" s="122"/>
      <c r="B211" s="211"/>
      <c r="C211" s="122"/>
      <c r="D211" s="122"/>
      <c r="E211" s="25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24.75" customHeight="1">
      <c r="A212" s="122"/>
      <c r="B212" s="211"/>
      <c r="C212" s="122"/>
      <c r="D212" s="122"/>
      <c r="E212" s="25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24.75" customHeight="1">
      <c r="A213" s="122"/>
      <c r="B213" s="211"/>
      <c r="C213" s="122"/>
      <c r="D213" s="122"/>
      <c r="E213" s="25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24.75" customHeight="1">
      <c r="A214" s="122"/>
      <c r="B214" s="211"/>
      <c r="C214" s="122"/>
      <c r="D214" s="122"/>
      <c r="E214" s="25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24.75" customHeight="1">
      <c r="A215" s="122"/>
      <c r="B215" s="211"/>
      <c r="C215" s="122"/>
      <c r="D215" s="122"/>
      <c r="E215" s="25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24.75" customHeight="1">
      <c r="A216" s="122"/>
      <c r="B216" s="211"/>
      <c r="C216" s="122"/>
      <c r="D216" s="122"/>
      <c r="E216" s="25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24.75" customHeight="1">
      <c r="A217" s="122"/>
      <c r="B217" s="211"/>
      <c r="C217" s="122"/>
      <c r="D217" s="122"/>
      <c r="E217" s="25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24.75" customHeight="1">
      <c r="A218" s="122"/>
      <c r="B218" s="211"/>
      <c r="C218" s="122"/>
      <c r="D218" s="122"/>
      <c r="E218" s="25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24.75" customHeight="1">
      <c r="A219" s="122"/>
      <c r="B219" s="211"/>
      <c r="C219" s="122"/>
      <c r="D219" s="122"/>
      <c r="E219" s="25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24.75" customHeight="1">
      <c r="A220" s="122"/>
      <c r="B220" s="211"/>
      <c r="C220" s="122"/>
      <c r="D220" s="122"/>
      <c r="E220" s="25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24.75" customHeight="1">
      <c r="A221" s="122"/>
      <c r="B221" s="211"/>
      <c r="C221" s="122"/>
      <c r="D221" s="122"/>
      <c r="E221" s="25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24.75" customHeight="1">
      <c r="A222" s="122"/>
      <c r="B222" s="211"/>
      <c r="C222" s="122"/>
      <c r="D222" s="122"/>
      <c r="E222" s="25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24.75" customHeight="1">
      <c r="A223" s="122"/>
      <c r="B223" s="211"/>
      <c r="C223" s="122"/>
      <c r="D223" s="122"/>
      <c r="E223" s="25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24.75" customHeight="1">
      <c r="A224" s="122"/>
      <c r="B224" s="211"/>
      <c r="C224" s="122"/>
      <c r="D224" s="122"/>
      <c r="E224" s="25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24.75" customHeight="1">
      <c r="A225" s="122"/>
      <c r="B225" s="211"/>
      <c r="C225" s="122"/>
      <c r="D225" s="122"/>
      <c r="E225" s="25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24.75" customHeight="1">
      <c r="A226" s="122"/>
      <c r="B226" s="211"/>
      <c r="C226" s="122"/>
      <c r="D226" s="122"/>
      <c r="E226" s="25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24.75" customHeight="1">
      <c r="A227" s="122"/>
      <c r="B227" s="211"/>
      <c r="C227" s="122"/>
      <c r="D227" s="122"/>
      <c r="E227" s="25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24.75" customHeight="1">
      <c r="A228" s="122"/>
      <c r="B228" s="211"/>
      <c r="C228" s="122"/>
      <c r="D228" s="122"/>
      <c r="E228" s="25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24.75" customHeight="1">
      <c r="A229" s="122"/>
      <c r="B229" s="211"/>
      <c r="C229" s="122"/>
      <c r="D229" s="122"/>
      <c r="E229" s="25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24.75" customHeight="1">
      <c r="A230" s="122"/>
      <c r="B230" s="211"/>
      <c r="C230" s="122"/>
      <c r="D230" s="122"/>
      <c r="E230" s="25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24.75" customHeight="1">
      <c r="A231" s="122"/>
      <c r="B231" s="211"/>
      <c r="C231" s="122"/>
      <c r="D231" s="122"/>
      <c r="E231" s="25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24.75" customHeight="1">
      <c r="A232" s="122"/>
      <c r="B232" s="211"/>
      <c r="C232" s="122"/>
      <c r="D232" s="122"/>
      <c r="E232" s="25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24.75" customHeight="1">
      <c r="A233" s="122"/>
      <c r="B233" s="211"/>
      <c r="C233" s="122"/>
      <c r="D233" s="122"/>
      <c r="E233" s="25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24.75" customHeight="1">
      <c r="A234" s="122"/>
      <c r="B234" s="211"/>
      <c r="C234" s="122"/>
      <c r="D234" s="122"/>
      <c r="E234" s="25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24.75" customHeight="1">
      <c r="A235" s="122"/>
      <c r="B235" s="211"/>
      <c r="C235" s="122"/>
      <c r="D235" s="122"/>
      <c r="E235" s="25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24.75" customHeight="1">
      <c r="A236" s="122"/>
      <c r="B236" s="211"/>
      <c r="C236" s="122"/>
      <c r="D236" s="122"/>
      <c r="E236" s="25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24.75" customHeight="1">
      <c r="A237" s="122"/>
      <c r="B237" s="211"/>
      <c r="C237" s="122"/>
      <c r="D237" s="122"/>
      <c r="E237" s="25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24.75" customHeight="1">
      <c r="A238" s="122"/>
      <c r="B238" s="211"/>
      <c r="C238" s="122"/>
      <c r="D238" s="122"/>
      <c r="E238" s="25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24.75" customHeight="1">
      <c r="A239" s="122"/>
      <c r="B239" s="211"/>
      <c r="C239" s="122"/>
      <c r="D239" s="122"/>
      <c r="E239" s="25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24.75" customHeight="1">
      <c r="A240" s="122"/>
      <c r="B240" s="211"/>
      <c r="C240" s="122"/>
      <c r="D240" s="122"/>
      <c r="E240" s="25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24.75" customHeight="1">
      <c r="A241" s="122"/>
      <c r="B241" s="211"/>
      <c r="C241" s="122"/>
      <c r="D241" s="122"/>
      <c r="E241" s="25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24.75" customHeight="1">
      <c r="A242" s="122"/>
      <c r="B242" s="211"/>
      <c r="C242" s="122"/>
      <c r="D242" s="122"/>
      <c r="E242" s="25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24.75" customHeight="1">
      <c r="A243" s="122"/>
      <c r="B243" s="211"/>
      <c r="C243" s="122"/>
      <c r="D243" s="122"/>
      <c r="E243" s="25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24.75" customHeight="1">
      <c r="A244" s="122"/>
      <c r="B244" s="211"/>
      <c r="C244" s="122"/>
      <c r="D244" s="122"/>
      <c r="E244" s="25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24.75" customHeight="1">
      <c r="A245" s="122"/>
      <c r="B245" s="211"/>
      <c r="C245" s="122"/>
      <c r="D245" s="122"/>
      <c r="E245" s="25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24.75" customHeight="1">
      <c r="A246" s="122"/>
      <c r="B246" s="211"/>
      <c r="C246" s="122"/>
      <c r="D246" s="122"/>
      <c r="E246" s="25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24.75" customHeight="1">
      <c r="A247" s="122"/>
      <c r="B247" s="211"/>
      <c r="C247" s="122"/>
      <c r="D247" s="122"/>
      <c r="E247" s="25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24.75" customHeight="1">
      <c r="A248" s="122"/>
      <c r="B248" s="211"/>
      <c r="C248" s="122"/>
      <c r="D248" s="122"/>
      <c r="E248" s="25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24.75" customHeight="1">
      <c r="A249" s="122"/>
      <c r="B249" s="211"/>
      <c r="C249" s="122"/>
      <c r="D249" s="122"/>
      <c r="E249" s="25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24.75" customHeight="1">
      <c r="A250" s="122"/>
      <c r="B250" s="211"/>
      <c r="C250" s="122"/>
      <c r="D250" s="122"/>
      <c r="E250" s="25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24.75" customHeight="1">
      <c r="A251" s="122"/>
      <c r="B251" s="211"/>
      <c r="C251" s="122"/>
      <c r="D251" s="122"/>
      <c r="E251" s="25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24.75" customHeight="1">
      <c r="A252" s="122"/>
      <c r="B252" s="211"/>
      <c r="C252" s="122"/>
      <c r="D252" s="122"/>
      <c r="E252" s="25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24.75" customHeight="1">
      <c r="A253" s="122"/>
      <c r="B253" s="211"/>
      <c r="C253" s="122"/>
      <c r="D253" s="122"/>
      <c r="E253" s="25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24.75" customHeight="1">
      <c r="A254" s="122"/>
      <c r="B254" s="211"/>
      <c r="C254" s="122"/>
      <c r="D254" s="122"/>
      <c r="E254" s="25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24.75" customHeight="1">
      <c r="A255" s="122"/>
      <c r="B255" s="211"/>
      <c r="C255" s="122"/>
      <c r="D255" s="122"/>
      <c r="E255" s="25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24.75" customHeight="1">
      <c r="A256" s="122"/>
      <c r="B256" s="211"/>
      <c r="C256" s="122"/>
      <c r="D256" s="122"/>
      <c r="E256" s="25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24.75" customHeight="1">
      <c r="A257" s="122"/>
      <c r="B257" s="211"/>
      <c r="C257" s="122"/>
      <c r="D257" s="122"/>
      <c r="E257" s="25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24.75" customHeight="1">
      <c r="A258" s="122"/>
      <c r="B258" s="211"/>
      <c r="C258" s="122"/>
      <c r="D258" s="122"/>
      <c r="E258" s="25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24.75" customHeight="1">
      <c r="A259" s="122"/>
      <c r="B259" s="211"/>
      <c r="C259" s="122"/>
      <c r="D259" s="122"/>
      <c r="E259" s="25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24.75" customHeight="1">
      <c r="A260" s="122"/>
      <c r="B260" s="211"/>
      <c r="C260" s="122"/>
      <c r="D260" s="122"/>
      <c r="E260" s="25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24.75" customHeight="1">
      <c r="A261" s="122"/>
      <c r="B261" s="211"/>
      <c r="C261" s="122"/>
      <c r="D261" s="122"/>
      <c r="E261" s="25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24.75" customHeight="1">
      <c r="A262" s="122"/>
      <c r="B262" s="211"/>
      <c r="C262" s="122"/>
      <c r="D262" s="122"/>
      <c r="E262" s="25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24.75" customHeight="1">
      <c r="A263" s="122"/>
      <c r="B263" s="211"/>
      <c r="C263" s="122"/>
      <c r="D263" s="122"/>
      <c r="E263" s="25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24.75" customHeight="1">
      <c r="A264" s="122"/>
      <c r="B264" s="211"/>
      <c r="C264" s="122"/>
      <c r="D264" s="122"/>
      <c r="E264" s="25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24.75" customHeight="1">
      <c r="A265" s="122"/>
      <c r="B265" s="211"/>
      <c r="C265" s="122"/>
      <c r="D265" s="122"/>
      <c r="E265" s="25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24.75" customHeight="1">
      <c r="A266" s="122"/>
      <c r="B266" s="211"/>
      <c r="C266" s="122"/>
      <c r="D266" s="122"/>
      <c r="E266" s="25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24.75" customHeight="1">
      <c r="A267" s="122"/>
      <c r="B267" s="211"/>
      <c r="C267" s="122"/>
      <c r="D267" s="122"/>
      <c r="E267" s="25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24.75" customHeight="1">
      <c r="A268" s="122"/>
      <c r="B268" s="211"/>
      <c r="C268" s="122"/>
      <c r="D268" s="122"/>
      <c r="E268" s="25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24.75" customHeight="1">
      <c r="A269" s="122"/>
      <c r="B269" s="211"/>
      <c r="C269" s="122"/>
      <c r="D269" s="122"/>
      <c r="E269" s="25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24.75" customHeight="1">
      <c r="A270" s="122"/>
      <c r="B270" s="211"/>
      <c r="C270" s="122"/>
      <c r="D270" s="122"/>
      <c r="E270" s="25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24.75" customHeight="1">
      <c r="A271" s="122"/>
      <c r="B271" s="211"/>
      <c r="C271" s="122"/>
      <c r="D271" s="122"/>
      <c r="E271" s="25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24.75" customHeight="1">
      <c r="A272" s="122"/>
      <c r="B272" s="211"/>
      <c r="C272" s="122"/>
      <c r="D272" s="122"/>
      <c r="E272" s="25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24.75" customHeight="1">
      <c r="A273" s="122"/>
      <c r="B273" s="211"/>
      <c r="C273" s="122"/>
      <c r="D273" s="122"/>
      <c r="E273" s="25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24.75" customHeight="1">
      <c r="A274" s="122"/>
      <c r="B274" s="211"/>
      <c r="C274" s="122"/>
      <c r="D274" s="122"/>
      <c r="E274" s="25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24.75" customHeight="1">
      <c r="A275" s="122"/>
      <c r="B275" s="211"/>
      <c r="C275" s="122"/>
      <c r="D275" s="122"/>
      <c r="E275" s="25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24.75" customHeight="1">
      <c r="A276" s="122"/>
      <c r="B276" s="211"/>
      <c r="C276" s="122"/>
      <c r="D276" s="122"/>
      <c r="E276" s="25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24.75" customHeight="1">
      <c r="A277" s="122"/>
      <c r="B277" s="211"/>
      <c r="C277" s="122"/>
      <c r="D277" s="122"/>
      <c r="E277" s="25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24.75" customHeight="1">
      <c r="A278" s="122"/>
      <c r="B278" s="211"/>
      <c r="C278" s="122"/>
      <c r="D278" s="122"/>
      <c r="E278" s="25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24.75" customHeight="1">
      <c r="A279" s="122"/>
      <c r="B279" s="211"/>
      <c r="C279" s="122"/>
      <c r="D279" s="122"/>
      <c r="E279" s="25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24.75" customHeight="1">
      <c r="A280" s="122"/>
      <c r="B280" s="211"/>
      <c r="C280" s="122"/>
      <c r="D280" s="122"/>
      <c r="E280" s="25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24.75" customHeight="1">
      <c r="A281" s="122"/>
      <c r="B281" s="211"/>
      <c r="C281" s="122"/>
      <c r="D281" s="122"/>
      <c r="E281" s="25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24.75" customHeight="1">
      <c r="A282" s="122"/>
      <c r="B282" s="211"/>
      <c r="C282" s="122"/>
      <c r="D282" s="122"/>
      <c r="E282" s="25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24.75" customHeight="1">
      <c r="A283" s="122"/>
      <c r="B283" s="211"/>
      <c r="C283" s="122"/>
      <c r="D283" s="122"/>
      <c r="E283" s="25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24.75" customHeight="1">
      <c r="A284" s="122"/>
      <c r="B284" s="211"/>
      <c r="C284" s="122"/>
      <c r="D284" s="122"/>
      <c r="E284" s="25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24.75" customHeight="1">
      <c r="A285" s="122"/>
      <c r="B285" s="211"/>
      <c r="C285" s="122"/>
      <c r="D285" s="122"/>
      <c r="E285" s="25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24.75" customHeight="1">
      <c r="A286" s="122"/>
      <c r="B286" s="211"/>
      <c r="C286" s="122"/>
      <c r="D286" s="122"/>
      <c r="E286" s="25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24.75" customHeight="1">
      <c r="A287" s="122"/>
      <c r="B287" s="211"/>
      <c r="C287" s="122"/>
      <c r="D287" s="122"/>
      <c r="E287" s="25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24.75" customHeight="1">
      <c r="A288" s="122"/>
      <c r="B288" s="211"/>
      <c r="C288" s="122"/>
      <c r="D288" s="122"/>
      <c r="E288" s="25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24.75" customHeight="1">
      <c r="A289" s="122"/>
      <c r="B289" s="211"/>
      <c r="C289" s="122"/>
      <c r="D289" s="122"/>
      <c r="E289" s="25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24.75" customHeight="1">
      <c r="A290" s="122"/>
      <c r="B290" s="211"/>
      <c r="C290" s="122"/>
      <c r="D290" s="122"/>
      <c r="E290" s="25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24.75" customHeight="1">
      <c r="A291" s="122"/>
      <c r="B291" s="211"/>
      <c r="C291" s="122"/>
      <c r="D291" s="122"/>
      <c r="E291" s="25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24.75" customHeight="1">
      <c r="A292" s="122"/>
      <c r="B292" s="211"/>
      <c r="C292" s="122"/>
      <c r="D292" s="122"/>
      <c r="E292" s="25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24.75" customHeight="1">
      <c r="A293" s="122"/>
      <c r="B293" s="211"/>
      <c r="C293" s="122"/>
      <c r="D293" s="122"/>
      <c r="E293" s="25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24.75" customHeight="1">
      <c r="A294" s="122"/>
      <c r="B294" s="211"/>
      <c r="C294" s="122"/>
      <c r="D294" s="122"/>
      <c r="E294" s="25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24.75" customHeight="1">
      <c r="A295" s="122"/>
      <c r="B295" s="211"/>
      <c r="C295" s="122"/>
      <c r="D295" s="122"/>
      <c r="E295" s="25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24.75" customHeight="1">
      <c r="A296" s="122"/>
      <c r="B296" s="211"/>
      <c r="C296" s="122"/>
      <c r="D296" s="122"/>
      <c r="E296" s="25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24.75" customHeight="1">
      <c r="A297" s="122"/>
      <c r="B297" s="211"/>
      <c r="C297" s="122"/>
      <c r="D297" s="122"/>
      <c r="E297" s="25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24.75" customHeight="1">
      <c r="A298" s="122"/>
      <c r="B298" s="211"/>
      <c r="C298" s="122"/>
      <c r="D298" s="122"/>
      <c r="E298" s="25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24.75" customHeight="1">
      <c r="A299" s="122"/>
      <c r="B299" s="211"/>
      <c r="C299" s="122"/>
      <c r="D299" s="122"/>
      <c r="E299" s="25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24.75" customHeight="1">
      <c r="A300" s="122"/>
      <c r="B300" s="211"/>
      <c r="C300" s="122"/>
      <c r="D300" s="122"/>
      <c r="E300" s="25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24.75" customHeight="1">
      <c r="A301" s="122"/>
      <c r="B301" s="211"/>
      <c r="C301" s="122"/>
      <c r="D301" s="122"/>
      <c r="E301" s="25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24.75" customHeight="1">
      <c r="A302" s="122"/>
      <c r="B302" s="211"/>
      <c r="C302" s="122"/>
      <c r="D302" s="122"/>
      <c r="E302" s="25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24.75" customHeight="1">
      <c r="A303" s="122"/>
      <c r="B303" s="211"/>
      <c r="C303" s="122"/>
      <c r="D303" s="122"/>
      <c r="E303" s="25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24.75" customHeight="1">
      <c r="A304" s="122"/>
      <c r="B304" s="211"/>
      <c r="C304" s="122"/>
      <c r="D304" s="122"/>
      <c r="E304" s="25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24.75" customHeight="1">
      <c r="A305" s="122"/>
      <c r="B305" s="211"/>
      <c r="C305" s="122"/>
      <c r="D305" s="122"/>
      <c r="E305" s="25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24.75" customHeight="1">
      <c r="A306" s="122"/>
      <c r="B306" s="211"/>
      <c r="C306" s="122"/>
      <c r="D306" s="122"/>
      <c r="E306" s="25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24.75" customHeight="1">
      <c r="A307" s="122"/>
      <c r="B307" s="211"/>
      <c r="C307" s="122"/>
      <c r="D307" s="122"/>
      <c r="E307" s="25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24.75" customHeight="1">
      <c r="A308" s="122"/>
      <c r="B308" s="211"/>
      <c r="C308" s="122"/>
      <c r="D308" s="122"/>
      <c r="E308" s="25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24.75" customHeight="1">
      <c r="A309" s="122"/>
      <c r="B309" s="211"/>
      <c r="C309" s="122"/>
      <c r="D309" s="122"/>
      <c r="E309" s="25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24.75" customHeight="1">
      <c r="A310" s="122"/>
      <c r="B310" s="211"/>
      <c r="C310" s="122"/>
      <c r="D310" s="122"/>
      <c r="E310" s="25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24.75" customHeight="1">
      <c r="A311" s="122"/>
      <c r="B311" s="211"/>
      <c r="C311" s="122"/>
      <c r="D311" s="122"/>
      <c r="E311" s="25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24.75" customHeight="1">
      <c r="A312" s="122"/>
      <c r="B312" s="211"/>
      <c r="C312" s="122"/>
      <c r="D312" s="122"/>
      <c r="E312" s="25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24.75" customHeight="1">
      <c r="A313" s="122"/>
      <c r="B313" s="211"/>
      <c r="C313" s="122"/>
      <c r="D313" s="122"/>
      <c r="E313" s="25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24.75" customHeight="1">
      <c r="A314" s="122"/>
      <c r="B314" s="211"/>
      <c r="C314" s="122"/>
      <c r="D314" s="122"/>
      <c r="E314" s="25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24.75" customHeight="1">
      <c r="A315" s="122"/>
      <c r="B315" s="211"/>
      <c r="C315" s="122"/>
      <c r="D315" s="122"/>
      <c r="E315" s="25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24.75" customHeight="1">
      <c r="A316" s="122"/>
      <c r="B316" s="211"/>
      <c r="C316" s="122"/>
      <c r="D316" s="122"/>
      <c r="E316" s="25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24.75" customHeight="1">
      <c r="A317" s="122"/>
      <c r="B317" s="211"/>
      <c r="C317" s="122"/>
      <c r="D317" s="122"/>
      <c r="E317" s="25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24.75" customHeight="1">
      <c r="A318" s="122"/>
      <c r="B318" s="211"/>
      <c r="C318" s="122"/>
      <c r="D318" s="122"/>
      <c r="E318" s="25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24.75" customHeight="1">
      <c r="A319" s="122"/>
      <c r="B319" s="211"/>
      <c r="C319" s="122"/>
      <c r="D319" s="122"/>
      <c r="E319" s="25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24.75" customHeight="1">
      <c r="A320" s="122"/>
      <c r="B320" s="211"/>
      <c r="C320" s="122"/>
      <c r="D320" s="122"/>
      <c r="E320" s="25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24.75" customHeight="1">
      <c r="A321" s="122"/>
      <c r="B321" s="211"/>
      <c r="C321" s="122"/>
      <c r="D321" s="122"/>
      <c r="E321" s="25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24.75" customHeight="1">
      <c r="A322" s="122"/>
      <c r="B322" s="211"/>
      <c r="C322" s="122"/>
      <c r="D322" s="122"/>
      <c r="E322" s="25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24.75" customHeight="1">
      <c r="A323" s="122"/>
      <c r="B323" s="211"/>
      <c r="C323" s="122"/>
      <c r="D323" s="122"/>
      <c r="E323" s="25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24.75" customHeight="1">
      <c r="A324" s="122"/>
      <c r="B324" s="211"/>
      <c r="C324" s="122"/>
      <c r="D324" s="122"/>
      <c r="E324" s="25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24.75" customHeight="1">
      <c r="A325" s="122"/>
      <c r="B325" s="211"/>
      <c r="C325" s="122"/>
      <c r="D325" s="122"/>
      <c r="E325" s="25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24.75" customHeight="1">
      <c r="A326" s="122"/>
      <c r="B326" s="211"/>
      <c r="C326" s="122"/>
      <c r="D326" s="122"/>
      <c r="E326" s="25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24.75" customHeight="1">
      <c r="A327" s="122"/>
      <c r="B327" s="211"/>
      <c r="C327" s="122"/>
      <c r="D327" s="122"/>
      <c r="E327" s="25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24.75" customHeight="1">
      <c r="A328" s="122"/>
      <c r="B328" s="211"/>
      <c r="C328" s="122"/>
      <c r="D328" s="122"/>
      <c r="E328" s="25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24.75" customHeight="1">
      <c r="A329" s="122"/>
      <c r="B329" s="211"/>
      <c r="C329" s="122"/>
      <c r="D329" s="122"/>
      <c r="E329" s="25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24.75" customHeight="1">
      <c r="A330" s="122"/>
      <c r="B330" s="211"/>
      <c r="C330" s="122"/>
      <c r="D330" s="122"/>
      <c r="E330" s="25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24.75" customHeight="1">
      <c r="A331" s="122"/>
      <c r="B331" s="211"/>
      <c r="C331" s="122"/>
      <c r="D331" s="122"/>
      <c r="E331" s="25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24.75" customHeight="1">
      <c r="A332" s="122"/>
      <c r="B332" s="211"/>
      <c r="C332" s="122"/>
      <c r="D332" s="122"/>
      <c r="E332" s="25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24.75" customHeight="1">
      <c r="A333" s="122"/>
      <c r="B333" s="211"/>
      <c r="C333" s="122"/>
      <c r="D333" s="122"/>
      <c r="E333" s="25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24.75" customHeight="1">
      <c r="A334" s="122"/>
      <c r="B334" s="211"/>
      <c r="C334" s="122"/>
      <c r="D334" s="122"/>
      <c r="E334" s="25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24.75" customHeight="1">
      <c r="A335" s="122"/>
      <c r="B335" s="211"/>
      <c r="C335" s="122"/>
      <c r="D335" s="122"/>
      <c r="E335" s="25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24.75" customHeight="1">
      <c r="A336" s="122"/>
      <c r="B336" s="211"/>
      <c r="C336" s="122"/>
      <c r="D336" s="122"/>
      <c r="E336" s="25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24.75" customHeight="1">
      <c r="A337" s="122"/>
      <c r="B337" s="211"/>
      <c r="C337" s="122"/>
      <c r="D337" s="122"/>
      <c r="E337" s="25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24.75" customHeight="1">
      <c r="A338" s="122"/>
      <c r="B338" s="211"/>
      <c r="C338" s="122"/>
      <c r="D338" s="122"/>
      <c r="E338" s="25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24.75" customHeight="1">
      <c r="A339" s="122"/>
      <c r="B339" s="211"/>
      <c r="C339" s="122"/>
      <c r="D339" s="122"/>
      <c r="E339" s="25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24.75" customHeight="1">
      <c r="A340" s="122"/>
      <c r="B340" s="211"/>
      <c r="C340" s="122"/>
      <c r="D340" s="122"/>
      <c r="E340" s="25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ht="24.75" customHeight="1">
      <c r="A341" s="122"/>
      <c r="B341" s="211"/>
      <c r="C341" s="122"/>
      <c r="D341" s="122"/>
      <c r="E341" s="25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ht="24.75" customHeight="1">
      <c r="A342" s="122"/>
      <c r="B342" s="211"/>
      <c r="C342" s="122"/>
      <c r="D342" s="122"/>
      <c r="E342" s="25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ht="24.75" customHeight="1">
      <c r="A343" s="122"/>
      <c r="B343" s="211"/>
      <c r="C343" s="122"/>
      <c r="D343" s="122"/>
      <c r="E343" s="25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ht="24.75" customHeight="1">
      <c r="A344" s="122"/>
      <c r="B344" s="211"/>
      <c r="C344" s="122"/>
      <c r="D344" s="122"/>
      <c r="E344" s="25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ht="24.75" customHeight="1">
      <c r="A345" s="122"/>
      <c r="B345" s="211"/>
      <c r="C345" s="122"/>
      <c r="D345" s="122"/>
      <c r="E345" s="25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ht="24.75" customHeight="1">
      <c r="A346" s="122"/>
      <c r="B346" s="211"/>
      <c r="C346" s="122"/>
      <c r="D346" s="122"/>
      <c r="E346" s="25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ht="24.75" customHeight="1">
      <c r="A347" s="122"/>
      <c r="B347" s="211"/>
      <c r="C347" s="122"/>
      <c r="D347" s="122"/>
      <c r="E347" s="25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ht="24.75" customHeight="1">
      <c r="A348" s="122"/>
      <c r="B348" s="211"/>
      <c r="C348" s="122"/>
      <c r="D348" s="122"/>
      <c r="E348" s="25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ht="24.75" customHeight="1">
      <c r="A349" s="122"/>
      <c r="B349" s="211"/>
      <c r="C349" s="122"/>
      <c r="D349" s="122"/>
      <c r="E349" s="25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ht="24.75" customHeight="1">
      <c r="A350" s="122"/>
      <c r="B350" s="211"/>
      <c r="C350" s="122"/>
      <c r="D350" s="122"/>
      <c r="E350" s="25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ht="24.75" customHeight="1">
      <c r="A351" s="122"/>
      <c r="B351" s="211"/>
      <c r="C351" s="122"/>
      <c r="D351" s="122"/>
      <c r="E351" s="25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ht="24.75" customHeight="1">
      <c r="A352" s="122"/>
      <c r="B352" s="211"/>
      <c r="C352" s="122"/>
      <c r="D352" s="122"/>
      <c r="E352" s="25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ht="24.75" customHeight="1">
      <c r="A353" s="122"/>
      <c r="B353" s="211"/>
      <c r="C353" s="122"/>
      <c r="D353" s="122"/>
      <c r="E353" s="25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ht="24.75" customHeight="1">
      <c r="A354" s="122"/>
      <c r="B354" s="211"/>
      <c r="C354" s="122"/>
      <c r="D354" s="122"/>
      <c r="E354" s="25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ht="24.75" customHeight="1">
      <c r="A355" s="122"/>
      <c r="B355" s="211"/>
      <c r="C355" s="122"/>
      <c r="D355" s="122"/>
      <c r="E355" s="25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ht="24.75" customHeight="1">
      <c r="A356" s="122"/>
      <c r="B356" s="211"/>
      <c r="C356" s="122"/>
      <c r="D356" s="122"/>
      <c r="E356" s="25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ht="24.75" customHeight="1">
      <c r="A357" s="122"/>
      <c r="B357" s="211"/>
      <c r="C357" s="122"/>
      <c r="D357" s="122"/>
      <c r="E357" s="25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ht="24.75" customHeight="1">
      <c r="A358" s="122"/>
      <c r="B358" s="211"/>
      <c r="C358" s="122"/>
      <c r="D358" s="122"/>
      <c r="E358" s="25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ht="24.75" customHeight="1">
      <c r="A359" s="122"/>
      <c r="B359" s="211"/>
      <c r="C359" s="122"/>
      <c r="D359" s="122"/>
      <c r="E359" s="25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ht="24.75" customHeight="1">
      <c r="A360" s="122"/>
      <c r="B360" s="211"/>
      <c r="C360" s="122"/>
      <c r="D360" s="122"/>
      <c r="E360" s="25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ht="24.75" customHeight="1">
      <c r="A361" s="122"/>
      <c r="B361" s="211"/>
      <c r="C361" s="122"/>
      <c r="D361" s="122"/>
      <c r="E361" s="25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ht="24.75" customHeight="1">
      <c r="A362" s="122"/>
      <c r="B362" s="211"/>
      <c r="C362" s="122"/>
      <c r="D362" s="122"/>
      <c r="E362" s="25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ht="24.75" customHeight="1">
      <c r="A363" s="122"/>
      <c r="B363" s="211"/>
      <c r="C363" s="122"/>
      <c r="D363" s="122"/>
      <c r="E363" s="25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ht="24.75" customHeight="1">
      <c r="A364" s="122"/>
      <c r="B364" s="211"/>
      <c r="C364" s="122"/>
      <c r="D364" s="122"/>
      <c r="E364" s="25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ht="24.75" customHeight="1">
      <c r="A365" s="122"/>
      <c r="B365" s="211"/>
      <c r="C365" s="122"/>
      <c r="D365" s="122"/>
      <c r="E365" s="25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ht="24.75" customHeight="1">
      <c r="A366" s="122"/>
      <c r="B366" s="211"/>
      <c r="C366" s="122"/>
      <c r="D366" s="122"/>
      <c r="E366" s="25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ht="24.75" customHeight="1">
      <c r="A367" s="122"/>
      <c r="B367" s="211"/>
      <c r="C367" s="122"/>
      <c r="D367" s="122"/>
      <c r="E367" s="25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ht="24.75" customHeight="1">
      <c r="A368" s="122"/>
      <c r="B368" s="211"/>
      <c r="C368" s="122"/>
      <c r="D368" s="122"/>
      <c r="E368" s="25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ht="24.75" customHeight="1">
      <c r="A369" s="122"/>
      <c r="B369" s="211"/>
      <c r="C369" s="122"/>
      <c r="D369" s="122"/>
      <c r="E369" s="25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ht="24.75" customHeight="1">
      <c r="A370" s="122"/>
      <c r="B370" s="211"/>
      <c r="C370" s="122"/>
      <c r="D370" s="122"/>
      <c r="E370" s="25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ht="24.75" customHeight="1">
      <c r="A371" s="122"/>
      <c r="B371" s="211"/>
      <c r="C371" s="122"/>
      <c r="D371" s="122"/>
      <c r="E371" s="25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ht="24.75" customHeight="1">
      <c r="A372" s="122"/>
      <c r="B372" s="211"/>
      <c r="C372" s="122"/>
      <c r="D372" s="122"/>
      <c r="E372" s="25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ht="24.75" customHeight="1">
      <c r="A373" s="122"/>
      <c r="B373" s="211"/>
      <c r="C373" s="122"/>
      <c r="D373" s="122"/>
      <c r="E373" s="25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ht="24.75" customHeight="1">
      <c r="A374" s="122"/>
      <c r="B374" s="211"/>
      <c r="C374" s="122"/>
      <c r="D374" s="122"/>
      <c r="E374" s="25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ht="24.75" customHeight="1">
      <c r="A375" s="122"/>
      <c r="B375" s="211"/>
      <c r="C375" s="122"/>
      <c r="D375" s="122"/>
      <c r="E375" s="25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ht="24.75" customHeight="1">
      <c r="A376" s="122"/>
      <c r="B376" s="211"/>
      <c r="C376" s="122"/>
      <c r="D376" s="122"/>
      <c r="E376" s="25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ht="24.75" customHeight="1">
      <c r="A377" s="122"/>
      <c r="B377" s="211"/>
      <c r="C377" s="122"/>
      <c r="D377" s="122"/>
      <c r="E377" s="25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ht="24.75" customHeight="1">
      <c r="A378" s="122"/>
      <c r="B378" s="211"/>
      <c r="C378" s="122"/>
      <c r="D378" s="122"/>
      <c r="E378" s="25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ht="24.75" customHeight="1">
      <c r="A379" s="122"/>
      <c r="B379" s="211"/>
      <c r="C379" s="122"/>
      <c r="D379" s="122"/>
      <c r="E379" s="25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ht="24.75" customHeight="1">
      <c r="A380" s="122"/>
      <c r="B380" s="211"/>
      <c r="C380" s="122"/>
      <c r="D380" s="122"/>
      <c r="E380" s="25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ht="24.75" customHeight="1">
      <c r="A381" s="122"/>
      <c r="B381" s="211"/>
      <c r="C381" s="122"/>
      <c r="D381" s="122"/>
      <c r="E381" s="25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ht="24.75" customHeight="1">
      <c r="A382" s="122"/>
      <c r="B382" s="211"/>
      <c r="C382" s="122"/>
      <c r="D382" s="122"/>
      <c r="E382" s="25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ht="24.75" customHeight="1">
      <c r="A383" s="122"/>
      <c r="B383" s="211"/>
      <c r="C383" s="122"/>
      <c r="D383" s="122"/>
      <c r="E383" s="25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ht="24.75" customHeight="1">
      <c r="A384" s="122"/>
      <c r="B384" s="211"/>
      <c r="C384" s="122"/>
      <c r="D384" s="122"/>
      <c r="E384" s="25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ht="24.75" customHeight="1">
      <c r="A385" s="122"/>
      <c r="B385" s="211"/>
      <c r="C385" s="122"/>
      <c r="D385" s="122"/>
      <c r="E385" s="25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ht="24.75" customHeight="1">
      <c r="A386" s="122"/>
      <c r="B386" s="211"/>
      <c r="C386" s="122"/>
      <c r="D386" s="122"/>
      <c r="E386" s="25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ht="24.75" customHeight="1">
      <c r="A387" s="122"/>
      <c r="B387" s="211"/>
      <c r="C387" s="122"/>
      <c r="D387" s="122"/>
      <c r="E387" s="25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ht="24.75" customHeight="1">
      <c r="A388" s="122"/>
      <c r="B388" s="211"/>
      <c r="C388" s="122"/>
      <c r="D388" s="122"/>
      <c r="E388" s="25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ht="24.75" customHeight="1">
      <c r="A389" s="122"/>
      <c r="B389" s="211"/>
      <c r="C389" s="122"/>
      <c r="D389" s="122"/>
      <c r="E389" s="25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ht="24.75" customHeight="1">
      <c r="A390" s="122"/>
      <c r="B390" s="211"/>
      <c r="C390" s="122"/>
      <c r="D390" s="122"/>
      <c r="E390" s="25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ht="24.75" customHeight="1">
      <c r="A391" s="122"/>
      <c r="B391" s="211"/>
      <c r="C391" s="122"/>
      <c r="D391" s="122"/>
      <c r="E391" s="25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ht="24.75" customHeight="1">
      <c r="A392" s="122"/>
      <c r="B392" s="211"/>
      <c r="C392" s="122"/>
      <c r="D392" s="122"/>
      <c r="E392" s="25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ht="24.75" customHeight="1">
      <c r="A393" s="122"/>
      <c r="B393" s="211"/>
      <c r="C393" s="122"/>
      <c r="D393" s="122"/>
      <c r="E393" s="25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ht="24.75" customHeight="1">
      <c r="A394" s="122"/>
      <c r="B394" s="211"/>
      <c r="C394" s="122"/>
      <c r="D394" s="122"/>
      <c r="E394" s="25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ht="24.75" customHeight="1">
      <c r="A395" s="122"/>
      <c r="B395" s="211"/>
      <c r="C395" s="122"/>
      <c r="D395" s="122"/>
      <c r="E395" s="25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ht="24.75" customHeight="1">
      <c r="A396" s="122"/>
      <c r="B396" s="211"/>
      <c r="C396" s="122"/>
      <c r="D396" s="122"/>
      <c r="E396" s="25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ht="24.75" customHeight="1">
      <c r="A397" s="122"/>
      <c r="B397" s="211"/>
      <c r="C397" s="122"/>
      <c r="D397" s="122"/>
      <c r="E397" s="25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ht="24.75" customHeight="1">
      <c r="A398" s="122"/>
      <c r="B398" s="211"/>
      <c r="C398" s="122"/>
      <c r="D398" s="122"/>
      <c r="E398" s="25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ht="24.75" customHeight="1">
      <c r="A399" s="122"/>
      <c r="B399" s="211"/>
      <c r="C399" s="122"/>
      <c r="D399" s="122"/>
      <c r="E399" s="25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ht="24.75" customHeight="1">
      <c r="A400" s="122"/>
      <c r="B400" s="211"/>
      <c r="C400" s="122"/>
      <c r="D400" s="122"/>
      <c r="E400" s="25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ht="24.75" customHeight="1">
      <c r="A401" s="122"/>
      <c r="B401" s="211"/>
      <c r="C401" s="122"/>
      <c r="D401" s="122"/>
      <c r="E401" s="25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ht="24.75" customHeight="1">
      <c r="A402" s="122"/>
      <c r="B402" s="211"/>
      <c r="C402" s="122"/>
      <c r="D402" s="122"/>
      <c r="E402" s="25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ht="24.75" customHeight="1">
      <c r="A403" s="122"/>
      <c r="B403" s="211"/>
      <c r="C403" s="122"/>
      <c r="D403" s="122"/>
      <c r="E403" s="25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ht="24.75" customHeight="1">
      <c r="A404" s="122"/>
      <c r="B404" s="211"/>
      <c r="C404" s="122"/>
      <c r="D404" s="122"/>
      <c r="E404" s="25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ht="24.75" customHeight="1">
      <c r="A405" s="122"/>
      <c r="B405" s="211"/>
      <c r="C405" s="122"/>
      <c r="D405" s="122"/>
      <c r="E405" s="25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ht="24.75" customHeight="1">
      <c r="A406" s="122"/>
      <c r="B406" s="211"/>
      <c r="C406" s="122"/>
      <c r="D406" s="122"/>
      <c r="E406" s="25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ht="24.75" customHeight="1">
      <c r="A407" s="122"/>
      <c r="B407" s="211"/>
      <c r="C407" s="122"/>
      <c r="D407" s="122"/>
      <c r="E407" s="25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ht="24.75" customHeight="1">
      <c r="A408" s="122"/>
      <c r="B408" s="211"/>
      <c r="C408" s="122"/>
      <c r="D408" s="122"/>
      <c r="E408" s="25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ht="24.75" customHeight="1">
      <c r="A409" s="122"/>
      <c r="B409" s="211"/>
      <c r="C409" s="122"/>
      <c r="D409" s="122"/>
      <c r="E409" s="25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ht="24.75" customHeight="1">
      <c r="A410" s="122"/>
      <c r="B410" s="211"/>
      <c r="C410" s="122"/>
      <c r="D410" s="122"/>
      <c r="E410" s="25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ht="24.75" customHeight="1">
      <c r="A411" s="122"/>
      <c r="B411" s="211"/>
      <c r="C411" s="122"/>
      <c r="D411" s="122"/>
      <c r="E411" s="25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ht="24.75" customHeight="1">
      <c r="A412" s="122"/>
      <c r="B412" s="211"/>
      <c r="C412" s="122"/>
      <c r="D412" s="122"/>
      <c r="E412" s="25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ht="24.75" customHeight="1">
      <c r="A413" s="122"/>
      <c r="B413" s="211"/>
      <c r="C413" s="122"/>
      <c r="D413" s="122"/>
      <c r="E413" s="25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ht="24.75" customHeight="1">
      <c r="A414" s="122"/>
      <c r="B414" s="211"/>
      <c r="C414" s="122"/>
      <c r="D414" s="122"/>
      <c r="E414" s="25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ht="24.75" customHeight="1">
      <c r="A415" s="122"/>
      <c r="B415" s="211"/>
      <c r="C415" s="122"/>
      <c r="D415" s="122"/>
      <c r="E415" s="25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ht="24.75" customHeight="1">
      <c r="A416" s="122"/>
      <c r="B416" s="211"/>
      <c r="C416" s="122"/>
      <c r="D416" s="122"/>
      <c r="E416" s="25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ht="24.75" customHeight="1">
      <c r="A417" s="122"/>
      <c r="B417" s="211"/>
      <c r="C417" s="122"/>
      <c r="D417" s="122"/>
      <c r="E417" s="25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ht="24.75" customHeight="1">
      <c r="A418" s="122"/>
      <c r="B418" s="211"/>
      <c r="C418" s="122"/>
      <c r="D418" s="122"/>
      <c r="E418" s="25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ht="24.75" customHeight="1">
      <c r="A419" s="122"/>
      <c r="B419" s="211"/>
      <c r="C419" s="122"/>
      <c r="D419" s="122"/>
      <c r="E419" s="25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ht="24.75" customHeight="1">
      <c r="A420" s="122"/>
      <c r="B420" s="211"/>
      <c r="C420" s="122"/>
      <c r="D420" s="122"/>
      <c r="E420" s="25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ht="24.75" customHeight="1">
      <c r="A421" s="122"/>
      <c r="B421" s="211"/>
      <c r="C421" s="122"/>
      <c r="D421" s="122"/>
      <c r="E421" s="25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ht="24.75" customHeight="1">
      <c r="A422" s="122"/>
      <c r="B422" s="211"/>
      <c r="C422" s="122"/>
      <c r="D422" s="122"/>
      <c r="E422" s="25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ht="24.75" customHeight="1">
      <c r="A423" s="122"/>
      <c r="B423" s="211"/>
      <c r="C423" s="122"/>
      <c r="D423" s="122"/>
      <c r="E423" s="25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ht="24.75" customHeight="1">
      <c r="A424" s="122"/>
      <c r="B424" s="211"/>
      <c r="C424" s="122"/>
      <c r="D424" s="122"/>
      <c r="E424" s="25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ht="24.75" customHeight="1">
      <c r="A425" s="122"/>
      <c r="B425" s="211"/>
      <c r="C425" s="122"/>
      <c r="D425" s="122"/>
      <c r="E425" s="25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ht="24.75" customHeight="1">
      <c r="A426" s="122"/>
      <c r="B426" s="211"/>
      <c r="C426" s="122"/>
      <c r="D426" s="122"/>
      <c r="E426" s="25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ht="24.75" customHeight="1">
      <c r="A427" s="122"/>
      <c r="B427" s="211"/>
      <c r="C427" s="122"/>
      <c r="D427" s="122"/>
      <c r="E427" s="25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ht="24.75" customHeight="1">
      <c r="A428" s="122"/>
      <c r="B428" s="211"/>
      <c r="C428" s="122"/>
      <c r="D428" s="122"/>
      <c r="E428" s="25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ht="24.75" customHeight="1">
      <c r="A429" s="122"/>
      <c r="B429" s="211"/>
      <c r="C429" s="122"/>
      <c r="D429" s="122"/>
      <c r="E429" s="25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ht="24.75" customHeight="1">
      <c r="A430" s="122"/>
      <c r="B430" s="211"/>
      <c r="C430" s="122"/>
      <c r="D430" s="122"/>
      <c r="E430" s="25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ht="24.75" customHeight="1">
      <c r="A431" s="122"/>
      <c r="B431" s="211"/>
      <c r="C431" s="122"/>
      <c r="D431" s="122"/>
      <c r="E431" s="25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ht="24.75" customHeight="1">
      <c r="A432" s="122"/>
      <c r="B432" s="211"/>
      <c r="C432" s="122"/>
      <c r="D432" s="122"/>
      <c r="E432" s="25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ht="24.75" customHeight="1">
      <c r="A433" s="122"/>
      <c r="B433" s="211"/>
      <c r="C433" s="122"/>
      <c r="D433" s="122"/>
      <c r="E433" s="25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ht="24.75" customHeight="1">
      <c r="A434" s="122"/>
      <c r="B434" s="211"/>
      <c r="C434" s="122"/>
      <c r="D434" s="122"/>
      <c r="E434" s="25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ht="24.75" customHeight="1">
      <c r="A435" s="122"/>
      <c r="B435" s="211"/>
      <c r="C435" s="122"/>
      <c r="D435" s="122"/>
      <c r="E435" s="25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ht="24.75" customHeight="1">
      <c r="A436" s="122"/>
      <c r="B436" s="211"/>
      <c r="C436" s="122"/>
      <c r="D436" s="122"/>
      <c r="E436" s="25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ht="24.75" customHeight="1">
      <c r="A437" s="122"/>
      <c r="B437" s="211"/>
      <c r="C437" s="122"/>
      <c r="D437" s="122"/>
      <c r="E437" s="25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ht="24.75" customHeight="1">
      <c r="A438" s="122"/>
      <c r="B438" s="211"/>
      <c r="C438" s="122"/>
      <c r="D438" s="122"/>
      <c r="E438" s="25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ht="24.75" customHeight="1">
      <c r="A439" s="122"/>
      <c r="B439" s="211"/>
      <c r="C439" s="122"/>
      <c r="D439" s="122"/>
      <c r="E439" s="25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ht="24.75" customHeight="1">
      <c r="A440" s="122"/>
      <c r="B440" s="211"/>
      <c r="C440" s="122"/>
      <c r="D440" s="122"/>
      <c r="E440" s="25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ht="24.75" customHeight="1">
      <c r="A441" s="122"/>
      <c r="B441" s="211"/>
      <c r="C441" s="122"/>
      <c r="D441" s="122"/>
      <c r="E441" s="25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ht="24.75" customHeight="1">
      <c r="A442" s="122"/>
      <c r="B442" s="211"/>
      <c r="C442" s="122"/>
      <c r="D442" s="122"/>
      <c r="E442" s="25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ht="24.75" customHeight="1">
      <c r="A443" s="122"/>
      <c r="B443" s="211"/>
      <c r="C443" s="122"/>
      <c r="D443" s="122"/>
      <c r="E443" s="25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ht="24.75" customHeight="1">
      <c r="A444" s="122"/>
      <c r="B444" s="211"/>
      <c r="C444" s="122"/>
      <c r="D444" s="122"/>
      <c r="E444" s="25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ht="24.75" customHeight="1">
      <c r="A445" s="122"/>
      <c r="B445" s="211"/>
      <c r="C445" s="122"/>
      <c r="D445" s="122"/>
      <c r="E445" s="25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ht="24.75" customHeight="1">
      <c r="A446" s="122"/>
      <c r="B446" s="211"/>
      <c r="C446" s="122"/>
      <c r="D446" s="122"/>
      <c r="E446" s="25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ht="24.75" customHeight="1">
      <c r="A447" s="122"/>
      <c r="B447" s="211"/>
      <c r="C447" s="122"/>
      <c r="D447" s="122"/>
      <c r="E447" s="25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ht="24.75" customHeight="1">
      <c r="A448" s="122"/>
      <c r="B448" s="211"/>
      <c r="C448" s="122"/>
      <c r="D448" s="122"/>
      <c r="E448" s="25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ht="24.75" customHeight="1">
      <c r="A449" s="122"/>
      <c r="B449" s="211"/>
      <c r="C449" s="122"/>
      <c r="D449" s="122"/>
      <c r="E449" s="25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ht="24.75" customHeight="1">
      <c r="A450" s="122"/>
      <c r="B450" s="211"/>
      <c r="C450" s="122"/>
      <c r="D450" s="122"/>
      <c r="E450" s="25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ht="24.75" customHeight="1">
      <c r="A451" s="122"/>
      <c r="B451" s="211"/>
      <c r="C451" s="122"/>
      <c r="D451" s="122"/>
      <c r="E451" s="25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ht="24.75" customHeight="1">
      <c r="A452" s="122"/>
      <c r="B452" s="211"/>
      <c r="C452" s="122"/>
      <c r="D452" s="122"/>
      <c r="E452" s="25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ht="24.75" customHeight="1">
      <c r="A453" s="122"/>
      <c r="B453" s="211"/>
      <c r="C453" s="122"/>
      <c r="D453" s="122"/>
      <c r="E453" s="25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ht="24.75" customHeight="1">
      <c r="A454" s="122"/>
      <c r="B454" s="211"/>
      <c r="C454" s="122"/>
      <c r="D454" s="122"/>
      <c r="E454" s="25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ht="24.75" customHeight="1">
      <c r="A455" s="122"/>
      <c r="B455" s="211"/>
      <c r="C455" s="122"/>
      <c r="D455" s="122"/>
      <c r="E455" s="25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ht="24.75" customHeight="1">
      <c r="A456" s="122"/>
      <c r="B456" s="211"/>
      <c r="C456" s="122"/>
      <c r="D456" s="122"/>
      <c r="E456" s="25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ht="24.75" customHeight="1">
      <c r="A457" s="122"/>
      <c r="B457" s="211"/>
      <c r="C457" s="122"/>
      <c r="D457" s="122"/>
      <c r="E457" s="25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ht="24.75" customHeight="1">
      <c r="A458" s="122"/>
      <c r="B458" s="211"/>
      <c r="C458" s="122"/>
      <c r="D458" s="122"/>
      <c r="E458" s="25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ht="24.75" customHeight="1">
      <c r="A459" s="122"/>
      <c r="B459" s="211"/>
      <c r="C459" s="122"/>
      <c r="D459" s="122"/>
      <c r="E459" s="25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ht="24.75" customHeight="1">
      <c r="A460" s="122"/>
      <c r="B460" s="211"/>
      <c r="C460" s="122"/>
      <c r="D460" s="122"/>
      <c r="E460" s="25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ht="24.75" customHeight="1">
      <c r="A461" s="122"/>
      <c r="B461" s="211"/>
      <c r="C461" s="122"/>
      <c r="D461" s="122"/>
      <c r="E461" s="25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ht="24.75" customHeight="1">
      <c r="A462" s="122"/>
      <c r="B462" s="211"/>
      <c r="C462" s="122"/>
      <c r="D462" s="122"/>
      <c r="E462" s="25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ht="24.75" customHeight="1">
      <c r="A463" s="122"/>
      <c r="B463" s="211"/>
      <c r="C463" s="122"/>
      <c r="D463" s="122"/>
      <c r="E463" s="25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ht="24.75" customHeight="1">
      <c r="A464" s="122"/>
      <c r="B464" s="211"/>
      <c r="C464" s="122"/>
      <c r="D464" s="122"/>
      <c r="E464" s="25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ht="24.75" customHeight="1">
      <c r="A465" s="122"/>
      <c r="B465" s="211"/>
      <c r="C465" s="122"/>
      <c r="D465" s="122"/>
      <c r="E465" s="25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ht="24.75" customHeight="1">
      <c r="A466" s="122"/>
      <c r="B466" s="211"/>
      <c r="C466" s="122"/>
      <c r="D466" s="122"/>
      <c r="E466" s="25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ht="24.75" customHeight="1">
      <c r="A467" s="122"/>
      <c r="B467" s="211"/>
      <c r="C467" s="122"/>
      <c r="D467" s="122"/>
      <c r="E467" s="25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ht="24.75" customHeight="1">
      <c r="A468" s="122"/>
      <c r="B468" s="211"/>
      <c r="C468" s="122"/>
      <c r="D468" s="122"/>
      <c r="E468" s="25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ht="24.75" customHeight="1">
      <c r="A469" s="122"/>
      <c r="B469" s="211"/>
      <c r="C469" s="122"/>
      <c r="D469" s="122"/>
      <c r="E469" s="25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ht="24.75" customHeight="1">
      <c r="A470" s="122"/>
      <c r="B470" s="211"/>
      <c r="C470" s="122"/>
      <c r="D470" s="122"/>
      <c r="E470" s="25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ht="24.75" customHeight="1">
      <c r="A471" s="122"/>
      <c r="B471" s="211"/>
      <c r="C471" s="122"/>
      <c r="D471" s="122"/>
      <c r="E471" s="25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ht="24.75" customHeight="1">
      <c r="A472" s="122"/>
      <c r="B472" s="211"/>
      <c r="C472" s="122"/>
      <c r="D472" s="122"/>
      <c r="E472" s="25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ht="24.75" customHeight="1">
      <c r="A473" s="122"/>
      <c r="B473" s="211"/>
      <c r="C473" s="122"/>
      <c r="D473" s="122"/>
      <c r="E473" s="25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ht="24.75" customHeight="1">
      <c r="A474" s="122"/>
      <c r="B474" s="211"/>
      <c r="C474" s="122"/>
      <c r="D474" s="122"/>
      <c r="E474" s="25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ht="24.75" customHeight="1">
      <c r="A475" s="122"/>
      <c r="B475" s="211"/>
      <c r="C475" s="122"/>
      <c r="D475" s="122"/>
      <c r="E475" s="25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ht="24.75" customHeight="1">
      <c r="A476" s="122"/>
      <c r="B476" s="211"/>
      <c r="C476" s="122"/>
      <c r="D476" s="122"/>
      <c r="E476" s="25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ht="24.75" customHeight="1">
      <c r="A477" s="122"/>
      <c r="B477" s="211"/>
      <c r="C477" s="122"/>
      <c r="D477" s="122"/>
      <c r="E477" s="25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ht="24.75" customHeight="1">
      <c r="A478" s="122"/>
      <c r="B478" s="211"/>
      <c r="C478" s="122"/>
      <c r="D478" s="122"/>
      <c r="E478" s="25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ht="24.75" customHeight="1">
      <c r="A479" s="122"/>
      <c r="B479" s="211"/>
      <c r="C479" s="122"/>
      <c r="D479" s="122"/>
      <c r="E479" s="25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ht="24.75" customHeight="1">
      <c r="A480" s="122"/>
      <c r="B480" s="211"/>
      <c r="C480" s="122"/>
      <c r="D480" s="122"/>
      <c r="E480" s="25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ht="24.75" customHeight="1">
      <c r="A481" s="122"/>
      <c r="B481" s="211"/>
      <c r="C481" s="122"/>
      <c r="D481" s="122"/>
      <c r="E481" s="25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ht="24.75" customHeight="1">
      <c r="A482" s="122"/>
      <c r="B482" s="211"/>
      <c r="C482" s="122"/>
      <c r="D482" s="122"/>
      <c r="E482" s="25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ht="24.75" customHeight="1">
      <c r="A483" s="122"/>
      <c r="B483" s="211"/>
      <c r="C483" s="122"/>
      <c r="D483" s="122"/>
      <c r="E483" s="25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ht="24.75" customHeight="1">
      <c r="A484" s="122"/>
      <c r="B484" s="211"/>
      <c r="C484" s="122"/>
      <c r="D484" s="122"/>
      <c r="E484" s="25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ht="24.75" customHeight="1">
      <c r="A485" s="122"/>
      <c r="B485" s="211"/>
      <c r="C485" s="122"/>
      <c r="D485" s="122"/>
      <c r="E485" s="25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ht="24.75" customHeight="1">
      <c r="A486" s="122"/>
      <c r="B486" s="211"/>
      <c r="C486" s="122"/>
      <c r="D486" s="122"/>
      <c r="E486" s="25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ht="24.75" customHeight="1">
      <c r="A487" s="122"/>
      <c r="B487" s="211"/>
      <c r="C487" s="122"/>
      <c r="D487" s="122"/>
      <c r="E487" s="25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ht="24.75" customHeight="1">
      <c r="A488" s="122"/>
      <c r="B488" s="211"/>
      <c r="C488" s="122"/>
      <c r="D488" s="122"/>
      <c r="E488" s="25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ht="24.75" customHeight="1">
      <c r="A489" s="122"/>
      <c r="B489" s="211"/>
      <c r="C489" s="122"/>
      <c r="D489" s="122"/>
      <c r="E489" s="25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ht="24.75" customHeight="1">
      <c r="A490" s="122"/>
      <c r="B490" s="211"/>
      <c r="C490" s="122"/>
      <c r="D490" s="122"/>
      <c r="E490" s="25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ht="24.75" customHeight="1">
      <c r="A491" s="122"/>
      <c r="B491" s="211"/>
      <c r="C491" s="122"/>
      <c r="D491" s="122"/>
      <c r="E491" s="25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ht="24.75" customHeight="1">
      <c r="A492" s="122"/>
      <c r="B492" s="211"/>
      <c r="C492" s="122"/>
      <c r="D492" s="122"/>
      <c r="E492" s="25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ht="24.75" customHeight="1">
      <c r="A493" s="122"/>
      <c r="B493" s="211"/>
      <c r="C493" s="122"/>
      <c r="D493" s="122"/>
      <c r="E493" s="25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ht="24.75" customHeight="1">
      <c r="A494" s="122"/>
      <c r="B494" s="211"/>
      <c r="C494" s="122"/>
      <c r="D494" s="122"/>
      <c r="E494" s="25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ht="24.75" customHeight="1">
      <c r="A495" s="122"/>
      <c r="B495" s="211"/>
      <c r="C495" s="122"/>
      <c r="D495" s="122"/>
      <c r="E495" s="25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ht="24.75" customHeight="1">
      <c r="A496" s="122"/>
      <c r="B496" s="211"/>
      <c r="C496" s="122"/>
      <c r="D496" s="122"/>
      <c r="E496" s="25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ht="24.75" customHeight="1">
      <c r="A497" s="122"/>
      <c r="B497" s="211"/>
      <c r="C497" s="122"/>
      <c r="D497" s="122"/>
      <c r="E497" s="25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ht="24.75" customHeight="1">
      <c r="A498" s="122"/>
      <c r="B498" s="211"/>
      <c r="C498" s="122"/>
      <c r="D498" s="122"/>
      <c r="E498" s="25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ht="24.75" customHeight="1">
      <c r="A499" s="122"/>
      <c r="B499" s="211"/>
      <c r="C499" s="122"/>
      <c r="D499" s="122"/>
      <c r="E499" s="25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ht="24.75" customHeight="1">
      <c r="A500" s="122"/>
      <c r="B500" s="211"/>
      <c r="C500" s="122"/>
      <c r="D500" s="122"/>
      <c r="E500" s="25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ht="24.75" customHeight="1">
      <c r="A501" s="122"/>
      <c r="B501" s="211"/>
      <c r="C501" s="122"/>
      <c r="D501" s="122"/>
      <c r="E501" s="25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ht="24.75" customHeight="1">
      <c r="A502" s="122"/>
      <c r="B502" s="211"/>
      <c r="C502" s="122"/>
      <c r="D502" s="122"/>
      <c r="E502" s="25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ht="24.75" customHeight="1">
      <c r="A503" s="122"/>
      <c r="B503" s="211"/>
      <c r="C503" s="122"/>
      <c r="D503" s="122"/>
      <c r="E503" s="25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ht="24.75" customHeight="1">
      <c r="A504" s="122"/>
      <c r="B504" s="211"/>
      <c r="C504" s="122"/>
      <c r="D504" s="122"/>
      <c r="E504" s="25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ht="24.75" customHeight="1">
      <c r="A505" s="122"/>
      <c r="B505" s="211"/>
      <c r="C505" s="122"/>
      <c r="D505" s="122"/>
      <c r="E505" s="25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ht="24.75" customHeight="1">
      <c r="A506" s="122"/>
      <c r="B506" s="211"/>
      <c r="C506" s="122"/>
      <c r="D506" s="122"/>
      <c r="E506" s="25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ht="24.75" customHeight="1">
      <c r="A507" s="122"/>
      <c r="B507" s="211"/>
      <c r="C507" s="122"/>
      <c r="D507" s="122"/>
      <c r="E507" s="25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ht="24.75" customHeight="1">
      <c r="A508" s="122"/>
      <c r="B508" s="211"/>
      <c r="C508" s="122"/>
      <c r="D508" s="122"/>
      <c r="E508" s="25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ht="24.75" customHeight="1">
      <c r="A509" s="122"/>
      <c r="B509" s="211"/>
      <c r="C509" s="122"/>
      <c r="D509" s="122"/>
      <c r="E509" s="25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ht="24.75" customHeight="1">
      <c r="A510" s="122"/>
      <c r="B510" s="211"/>
      <c r="C510" s="122"/>
      <c r="D510" s="122"/>
      <c r="E510" s="25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ht="24.75" customHeight="1">
      <c r="A511" s="122"/>
      <c r="B511" s="211"/>
      <c r="C511" s="122"/>
      <c r="D511" s="122"/>
      <c r="E511" s="25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ht="24.75" customHeight="1">
      <c r="A512" s="122"/>
      <c r="B512" s="211"/>
      <c r="C512" s="122"/>
      <c r="D512" s="122"/>
      <c r="E512" s="25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ht="24.75" customHeight="1">
      <c r="A513" s="122"/>
      <c r="B513" s="211"/>
      <c r="C513" s="122"/>
      <c r="D513" s="122"/>
      <c r="E513" s="25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ht="24.75" customHeight="1">
      <c r="A514" s="122"/>
      <c r="B514" s="211"/>
      <c r="C514" s="122"/>
      <c r="D514" s="122"/>
      <c r="E514" s="25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ht="24.75" customHeight="1">
      <c r="A515" s="122"/>
      <c r="B515" s="211"/>
      <c r="C515" s="122"/>
      <c r="D515" s="122"/>
      <c r="E515" s="25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ht="24.75" customHeight="1">
      <c r="A516" s="122"/>
      <c r="B516" s="211"/>
      <c r="C516" s="122"/>
      <c r="D516" s="122"/>
      <c r="E516" s="25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ht="24.75" customHeight="1">
      <c r="A517" s="122"/>
      <c r="B517" s="211"/>
      <c r="C517" s="122"/>
      <c r="D517" s="122"/>
      <c r="E517" s="25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ht="24.75" customHeight="1">
      <c r="A518" s="122"/>
      <c r="B518" s="211"/>
      <c r="C518" s="122"/>
      <c r="D518" s="122"/>
      <c r="E518" s="25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ht="24.75" customHeight="1">
      <c r="A519" s="122"/>
      <c r="B519" s="211"/>
      <c r="C519" s="122"/>
      <c r="D519" s="122"/>
      <c r="E519" s="25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ht="24.75" customHeight="1">
      <c r="A520" s="122"/>
      <c r="B520" s="211"/>
      <c r="C520" s="122"/>
      <c r="D520" s="122"/>
      <c r="E520" s="25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ht="24.75" customHeight="1">
      <c r="A521" s="122"/>
      <c r="B521" s="211"/>
      <c r="C521" s="122"/>
      <c r="D521" s="122"/>
      <c r="E521" s="25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ht="24.75" customHeight="1">
      <c r="A522" s="122"/>
      <c r="B522" s="211"/>
      <c r="C522" s="122"/>
      <c r="D522" s="122"/>
      <c r="E522" s="25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ht="24.75" customHeight="1">
      <c r="A523" s="122"/>
      <c r="B523" s="211"/>
      <c r="C523" s="122"/>
      <c r="D523" s="122"/>
      <c r="E523" s="25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ht="24.75" customHeight="1">
      <c r="A524" s="122"/>
      <c r="B524" s="211"/>
      <c r="C524" s="122"/>
      <c r="D524" s="122"/>
      <c r="E524" s="25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ht="24.75" customHeight="1">
      <c r="A525" s="122"/>
      <c r="B525" s="211"/>
      <c r="C525" s="122"/>
      <c r="D525" s="122"/>
      <c r="E525" s="25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ht="24.75" customHeight="1">
      <c r="A526" s="122"/>
      <c r="B526" s="211"/>
      <c r="C526" s="122"/>
      <c r="D526" s="122"/>
      <c r="E526" s="25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ht="24.75" customHeight="1">
      <c r="A527" s="122"/>
      <c r="B527" s="211"/>
      <c r="C527" s="122"/>
      <c r="D527" s="122"/>
      <c r="E527" s="25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ht="24.75" customHeight="1">
      <c r="A528" s="122"/>
      <c r="B528" s="211"/>
      <c r="C528" s="122"/>
      <c r="D528" s="122"/>
      <c r="E528" s="25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ht="24.75" customHeight="1">
      <c r="A529" s="122"/>
      <c r="B529" s="211"/>
      <c r="C529" s="122"/>
      <c r="D529" s="122"/>
      <c r="E529" s="25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ht="24.75" customHeight="1">
      <c r="A530" s="122"/>
      <c r="B530" s="211"/>
      <c r="C530" s="122"/>
      <c r="D530" s="122"/>
      <c r="E530" s="25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ht="24.75" customHeight="1">
      <c r="A531" s="122"/>
      <c r="B531" s="211"/>
      <c r="C531" s="122"/>
      <c r="D531" s="122"/>
      <c r="E531" s="25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ht="24.75" customHeight="1">
      <c r="A532" s="122"/>
      <c r="B532" s="211"/>
      <c r="C532" s="122"/>
      <c r="D532" s="122"/>
      <c r="E532" s="25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ht="24.75" customHeight="1">
      <c r="A533" s="122"/>
      <c r="B533" s="211"/>
      <c r="C533" s="122"/>
      <c r="D533" s="122"/>
      <c r="E533" s="25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ht="24.75" customHeight="1">
      <c r="A534" s="122"/>
      <c r="B534" s="211"/>
      <c r="C534" s="122"/>
      <c r="D534" s="122"/>
      <c r="E534" s="25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ht="24.75" customHeight="1">
      <c r="A535" s="122"/>
      <c r="B535" s="211"/>
      <c r="C535" s="122"/>
      <c r="D535" s="122"/>
      <c r="E535" s="25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ht="24.75" customHeight="1">
      <c r="A536" s="122"/>
      <c r="B536" s="211"/>
      <c r="C536" s="122"/>
      <c r="D536" s="122"/>
      <c r="E536" s="25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ht="24.75" customHeight="1">
      <c r="A537" s="122"/>
      <c r="B537" s="211"/>
      <c r="C537" s="122"/>
      <c r="D537" s="122"/>
      <c r="E537" s="25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ht="24.75" customHeight="1">
      <c r="A538" s="122"/>
      <c r="B538" s="211"/>
      <c r="C538" s="122"/>
      <c r="D538" s="122"/>
      <c r="E538" s="25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ht="24.75" customHeight="1">
      <c r="A539" s="122"/>
      <c r="B539" s="211"/>
      <c r="C539" s="122"/>
      <c r="D539" s="122"/>
      <c r="E539" s="25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ht="24.75" customHeight="1">
      <c r="A540" s="122"/>
      <c r="B540" s="211"/>
      <c r="C540" s="122"/>
      <c r="D540" s="122"/>
      <c r="E540" s="25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ht="24.75" customHeight="1">
      <c r="A541" s="122"/>
      <c r="B541" s="211"/>
      <c r="C541" s="122"/>
      <c r="D541" s="122"/>
      <c r="E541" s="25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ht="24.75" customHeight="1">
      <c r="A542" s="122"/>
      <c r="B542" s="211"/>
      <c r="C542" s="122"/>
      <c r="D542" s="122"/>
      <c r="E542" s="25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ht="24.75" customHeight="1">
      <c r="A543" s="122"/>
      <c r="B543" s="211"/>
      <c r="C543" s="122"/>
      <c r="D543" s="122"/>
      <c r="E543" s="25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ht="24.75" customHeight="1">
      <c r="A544" s="122"/>
      <c r="B544" s="211"/>
      <c r="C544" s="122"/>
      <c r="D544" s="122"/>
      <c r="E544" s="25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ht="24.75" customHeight="1">
      <c r="A545" s="122"/>
      <c r="B545" s="211"/>
      <c r="C545" s="122"/>
      <c r="D545" s="122"/>
      <c r="E545" s="25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ht="24.75" customHeight="1">
      <c r="A546" s="122"/>
      <c r="B546" s="211"/>
      <c r="C546" s="122"/>
      <c r="D546" s="122"/>
      <c r="E546" s="25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ht="24.75" customHeight="1">
      <c r="A547" s="122"/>
      <c r="B547" s="211"/>
      <c r="C547" s="122"/>
      <c r="D547" s="122"/>
      <c r="E547" s="25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ht="24.75" customHeight="1">
      <c r="A548" s="122"/>
      <c r="B548" s="211"/>
      <c r="C548" s="122"/>
      <c r="D548" s="122"/>
      <c r="E548" s="25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ht="24.75" customHeight="1">
      <c r="A549" s="122"/>
      <c r="B549" s="211"/>
      <c r="C549" s="122"/>
      <c r="D549" s="122"/>
      <c r="E549" s="25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ht="24.75" customHeight="1">
      <c r="A550" s="122"/>
      <c r="B550" s="211"/>
      <c r="C550" s="122"/>
      <c r="D550" s="122"/>
      <c r="E550" s="25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ht="24.75" customHeight="1">
      <c r="A551" s="122"/>
      <c r="B551" s="211"/>
      <c r="C551" s="122"/>
      <c r="D551" s="122"/>
      <c r="E551" s="25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ht="24.75" customHeight="1">
      <c r="A552" s="122"/>
      <c r="B552" s="211"/>
      <c r="C552" s="122"/>
      <c r="D552" s="122"/>
      <c r="E552" s="25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ht="24.75" customHeight="1">
      <c r="A553" s="122"/>
      <c r="B553" s="211"/>
      <c r="C553" s="122"/>
      <c r="D553" s="122"/>
      <c r="E553" s="25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ht="24.75" customHeight="1">
      <c r="A554" s="122"/>
      <c r="B554" s="211"/>
      <c r="C554" s="122"/>
      <c r="D554" s="122"/>
      <c r="E554" s="25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ht="24.75" customHeight="1">
      <c r="A555" s="122"/>
      <c r="B555" s="211"/>
      <c r="C555" s="122"/>
      <c r="D555" s="122"/>
      <c r="E555" s="25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ht="24.75" customHeight="1">
      <c r="A556" s="122"/>
      <c r="B556" s="211"/>
      <c r="C556" s="122"/>
      <c r="D556" s="122"/>
      <c r="E556" s="25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ht="24.75" customHeight="1">
      <c r="A557" s="122"/>
      <c r="B557" s="211"/>
      <c r="C557" s="122"/>
      <c r="D557" s="122"/>
      <c r="E557" s="25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ht="24.75" customHeight="1">
      <c r="A558" s="122"/>
      <c r="B558" s="211"/>
      <c r="C558" s="122"/>
      <c r="D558" s="122"/>
      <c r="E558" s="25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ht="24.75" customHeight="1">
      <c r="A559" s="122"/>
      <c r="B559" s="211"/>
      <c r="C559" s="122"/>
      <c r="D559" s="122"/>
      <c r="E559" s="25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ht="24.75" customHeight="1">
      <c r="A560" s="122"/>
      <c r="B560" s="211"/>
      <c r="C560" s="122"/>
      <c r="D560" s="122"/>
      <c r="E560" s="25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ht="24.75" customHeight="1">
      <c r="A561" s="122"/>
      <c r="B561" s="211"/>
      <c r="C561" s="122"/>
      <c r="D561" s="122"/>
      <c r="E561" s="25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ht="24.75" customHeight="1">
      <c r="A562" s="122"/>
      <c r="B562" s="211"/>
      <c r="C562" s="122"/>
      <c r="D562" s="122"/>
      <c r="E562" s="25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ht="24.75" customHeight="1">
      <c r="A563" s="122"/>
      <c r="B563" s="211"/>
      <c r="C563" s="122"/>
      <c r="D563" s="122"/>
      <c r="E563" s="25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ht="24.75" customHeight="1">
      <c r="A564" s="122"/>
      <c r="B564" s="211"/>
      <c r="C564" s="122"/>
      <c r="D564" s="122"/>
      <c r="E564" s="25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ht="24.75" customHeight="1">
      <c r="A565" s="122"/>
      <c r="B565" s="211"/>
      <c r="C565" s="122"/>
      <c r="D565" s="122"/>
      <c r="E565" s="25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ht="24.75" customHeight="1">
      <c r="A566" s="122"/>
      <c r="B566" s="211"/>
      <c r="C566" s="122"/>
      <c r="D566" s="122"/>
      <c r="E566" s="25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ht="24.75" customHeight="1">
      <c r="A567" s="122"/>
      <c r="B567" s="211"/>
      <c r="C567" s="122"/>
      <c r="D567" s="122"/>
      <c r="E567" s="25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ht="24.75" customHeight="1">
      <c r="A568" s="122"/>
      <c r="B568" s="211"/>
      <c r="C568" s="122"/>
      <c r="D568" s="122"/>
      <c r="E568" s="25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ht="24.75" customHeight="1">
      <c r="A569" s="122"/>
      <c r="B569" s="211"/>
      <c r="C569" s="122"/>
      <c r="D569" s="122"/>
      <c r="E569" s="25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ht="24.75" customHeight="1">
      <c r="A570" s="122"/>
      <c r="B570" s="211"/>
      <c r="C570" s="122"/>
      <c r="D570" s="122"/>
      <c r="E570" s="25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ht="24.75" customHeight="1">
      <c r="A571" s="122"/>
      <c r="B571" s="211"/>
      <c r="C571" s="122"/>
      <c r="D571" s="122"/>
      <c r="E571" s="25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ht="24.75" customHeight="1">
      <c r="A572" s="122"/>
      <c r="B572" s="211"/>
      <c r="C572" s="122"/>
      <c r="D572" s="122"/>
      <c r="E572" s="25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ht="24.75" customHeight="1">
      <c r="A573" s="122"/>
      <c r="B573" s="211"/>
      <c r="C573" s="122"/>
      <c r="D573" s="122"/>
      <c r="E573" s="25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ht="24.75" customHeight="1">
      <c r="A574" s="122"/>
      <c r="B574" s="211"/>
      <c r="C574" s="122"/>
      <c r="D574" s="122"/>
      <c r="E574" s="25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ht="24.75" customHeight="1">
      <c r="A575" s="122"/>
      <c r="B575" s="211"/>
      <c r="C575" s="122"/>
      <c r="D575" s="122"/>
      <c r="E575" s="25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ht="24.75" customHeight="1">
      <c r="A576" s="122"/>
      <c r="B576" s="211"/>
      <c r="C576" s="122"/>
      <c r="D576" s="122"/>
      <c r="E576" s="25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ht="24.75" customHeight="1">
      <c r="A577" s="122"/>
      <c r="B577" s="211"/>
      <c r="C577" s="122"/>
      <c r="D577" s="122"/>
      <c r="E577" s="25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ht="24.75" customHeight="1">
      <c r="A578" s="122"/>
      <c r="B578" s="211"/>
      <c r="C578" s="122"/>
      <c r="D578" s="122"/>
      <c r="E578" s="25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ht="24.75" customHeight="1">
      <c r="A579" s="122"/>
      <c r="B579" s="211"/>
      <c r="C579" s="122"/>
      <c r="D579" s="122"/>
      <c r="E579" s="25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ht="24.75" customHeight="1">
      <c r="A580" s="122"/>
      <c r="B580" s="211"/>
      <c r="C580" s="122"/>
      <c r="D580" s="122"/>
      <c r="E580" s="25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ht="24.75" customHeight="1">
      <c r="A581" s="122"/>
      <c r="B581" s="211"/>
      <c r="C581" s="122"/>
      <c r="D581" s="122"/>
      <c r="E581" s="25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ht="24.75" customHeight="1">
      <c r="A582" s="122"/>
      <c r="B582" s="211"/>
      <c r="C582" s="122"/>
      <c r="D582" s="122"/>
      <c r="E582" s="25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ht="24.75" customHeight="1">
      <c r="A583" s="122"/>
      <c r="B583" s="211"/>
      <c r="C583" s="122"/>
      <c r="D583" s="122"/>
      <c r="E583" s="25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ht="24.75" customHeight="1">
      <c r="A584" s="122"/>
      <c r="B584" s="211"/>
      <c r="C584" s="122"/>
      <c r="D584" s="122"/>
      <c r="E584" s="25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ht="24.75" customHeight="1">
      <c r="A585" s="122"/>
      <c r="B585" s="211"/>
      <c r="C585" s="122"/>
      <c r="D585" s="122"/>
      <c r="E585" s="25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ht="24.75" customHeight="1">
      <c r="A586" s="122"/>
      <c r="B586" s="211"/>
      <c r="C586" s="122"/>
      <c r="D586" s="122"/>
      <c r="E586" s="25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ht="24.75" customHeight="1">
      <c r="A587" s="122"/>
      <c r="B587" s="211"/>
      <c r="C587" s="122"/>
      <c r="D587" s="122"/>
      <c r="E587" s="25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ht="24.75" customHeight="1">
      <c r="A588" s="122"/>
      <c r="B588" s="211"/>
      <c r="C588" s="122"/>
      <c r="D588" s="122"/>
      <c r="E588" s="25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ht="24.75" customHeight="1">
      <c r="A589" s="122"/>
      <c r="B589" s="211"/>
      <c r="C589" s="122"/>
      <c r="D589" s="122"/>
      <c r="E589" s="25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ht="24.75" customHeight="1">
      <c r="A590" s="122"/>
      <c r="B590" s="211"/>
      <c r="C590" s="122"/>
      <c r="D590" s="122"/>
      <c r="E590" s="25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ht="24.75" customHeight="1">
      <c r="A591" s="122"/>
      <c r="B591" s="211"/>
      <c r="C591" s="122"/>
      <c r="D591" s="122"/>
      <c r="E591" s="25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ht="24.75" customHeight="1">
      <c r="A592" s="122"/>
      <c r="B592" s="211"/>
      <c r="C592" s="122"/>
      <c r="D592" s="122"/>
      <c r="E592" s="25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ht="24.75" customHeight="1">
      <c r="A593" s="122"/>
      <c r="B593" s="211"/>
      <c r="C593" s="122"/>
      <c r="D593" s="122"/>
      <c r="E593" s="25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ht="24.75" customHeight="1">
      <c r="A594" s="122"/>
      <c r="B594" s="211"/>
      <c r="C594" s="122"/>
      <c r="D594" s="122"/>
      <c r="E594" s="25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ht="24.75" customHeight="1">
      <c r="A595" s="122"/>
      <c r="B595" s="211"/>
      <c r="C595" s="122"/>
      <c r="D595" s="122"/>
      <c r="E595" s="25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ht="24.75" customHeight="1">
      <c r="A596" s="122"/>
      <c r="B596" s="211"/>
      <c r="C596" s="122"/>
      <c r="D596" s="122"/>
      <c r="E596" s="25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ht="24.75" customHeight="1">
      <c r="A597" s="122"/>
      <c r="B597" s="211"/>
      <c r="C597" s="122"/>
      <c r="D597" s="122"/>
      <c r="E597" s="25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ht="24.75" customHeight="1">
      <c r="A598" s="122"/>
      <c r="B598" s="211"/>
      <c r="C598" s="122"/>
      <c r="D598" s="122"/>
      <c r="E598" s="25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ht="24.75" customHeight="1">
      <c r="A599" s="122"/>
      <c r="B599" s="211"/>
      <c r="C599" s="122"/>
      <c r="D599" s="122"/>
      <c r="E599" s="25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ht="24.75" customHeight="1">
      <c r="A600" s="122"/>
      <c r="B600" s="211"/>
      <c r="C600" s="122"/>
      <c r="D600" s="122"/>
      <c r="E600" s="25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ht="24.75" customHeight="1">
      <c r="A601" s="122"/>
      <c r="B601" s="211"/>
      <c r="C601" s="122"/>
      <c r="D601" s="122"/>
      <c r="E601" s="25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ht="24.75" customHeight="1">
      <c r="A602" s="122"/>
      <c r="B602" s="211"/>
      <c r="C602" s="122"/>
      <c r="D602" s="122"/>
      <c r="E602" s="25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ht="24.75" customHeight="1">
      <c r="A603" s="122"/>
      <c r="B603" s="211"/>
      <c r="C603" s="122"/>
      <c r="D603" s="122"/>
      <c r="E603" s="25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ht="24.75" customHeight="1">
      <c r="A604" s="122"/>
      <c r="B604" s="211"/>
      <c r="C604" s="122"/>
      <c r="D604" s="122"/>
      <c r="E604" s="25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ht="24.75" customHeight="1">
      <c r="A605" s="122"/>
      <c r="B605" s="211"/>
      <c r="C605" s="122"/>
      <c r="D605" s="122"/>
      <c r="E605" s="25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ht="24.75" customHeight="1">
      <c r="A606" s="122"/>
      <c r="B606" s="211"/>
      <c r="C606" s="122"/>
      <c r="D606" s="122"/>
      <c r="E606" s="25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ht="24.75" customHeight="1">
      <c r="A607" s="122"/>
      <c r="B607" s="211"/>
      <c r="C607" s="122"/>
      <c r="D607" s="122"/>
      <c r="E607" s="25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ht="24.75" customHeight="1">
      <c r="A608" s="122"/>
      <c r="B608" s="211"/>
      <c r="C608" s="122"/>
      <c r="D608" s="122"/>
      <c r="E608" s="25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ht="24.75" customHeight="1">
      <c r="A609" s="122"/>
      <c r="B609" s="211"/>
      <c r="C609" s="122"/>
      <c r="D609" s="122"/>
      <c r="E609" s="25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ht="24.75" customHeight="1">
      <c r="A610" s="122"/>
      <c r="B610" s="211"/>
      <c r="C610" s="122"/>
      <c r="D610" s="122"/>
      <c r="E610" s="25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ht="24.75" customHeight="1">
      <c r="A611" s="122"/>
      <c r="B611" s="211"/>
      <c r="C611" s="122"/>
      <c r="D611" s="122"/>
      <c r="E611" s="25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ht="24.75" customHeight="1">
      <c r="A612" s="122"/>
      <c r="B612" s="211"/>
      <c r="C612" s="122"/>
      <c r="D612" s="122"/>
      <c r="E612" s="25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ht="24.75" customHeight="1">
      <c r="A613" s="122"/>
      <c r="B613" s="211"/>
      <c r="C613" s="122"/>
      <c r="D613" s="122"/>
      <c r="E613" s="25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ht="24.75" customHeight="1">
      <c r="A614" s="122"/>
      <c r="B614" s="211"/>
      <c r="C614" s="122"/>
      <c r="D614" s="122"/>
      <c r="E614" s="25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ht="24.75" customHeight="1">
      <c r="A615" s="122"/>
      <c r="B615" s="211"/>
      <c r="C615" s="122"/>
      <c r="D615" s="122"/>
      <c r="E615" s="25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ht="24.75" customHeight="1">
      <c r="A616" s="122"/>
      <c r="B616" s="211"/>
      <c r="C616" s="122"/>
      <c r="D616" s="122"/>
      <c r="E616" s="25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ht="24.75" customHeight="1">
      <c r="A617" s="122"/>
      <c r="B617" s="211"/>
      <c r="C617" s="122"/>
      <c r="D617" s="122"/>
      <c r="E617" s="25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ht="24.75" customHeight="1">
      <c r="A618" s="122"/>
      <c r="B618" s="211"/>
      <c r="C618" s="122"/>
      <c r="D618" s="122"/>
      <c r="E618" s="25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ht="24.75" customHeight="1">
      <c r="A619" s="122"/>
      <c r="B619" s="211"/>
      <c r="C619" s="122"/>
      <c r="D619" s="122"/>
      <c r="E619" s="25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ht="24.75" customHeight="1">
      <c r="A620" s="122"/>
      <c r="B620" s="211"/>
      <c r="C620" s="122"/>
      <c r="D620" s="122"/>
      <c r="E620" s="25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ht="24.75" customHeight="1">
      <c r="A621" s="122"/>
      <c r="B621" s="211"/>
      <c r="C621" s="122"/>
      <c r="D621" s="122"/>
      <c r="E621" s="25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ht="24.75" customHeight="1">
      <c r="A622" s="122"/>
      <c r="B622" s="211"/>
      <c r="C622" s="122"/>
      <c r="D622" s="122"/>
      <c r="E622" s="25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ht="24.75" customHeight="1">
      <c r="A623" s="122"/>
      <c r="B623" s="211"/>
      <c r="C623" s="122"/>
      <c r="D623" s="122"/>
      <c r="E623" s="25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ht="24.75" customHeight="1">
      <c r="A624" s="122"/>
      <c r="B624" s="211"/>
      <c r="C624" s="122"/>
      <c r="D624" s="122"/>
      <c r="E624" s="25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ht="24.75" customHeight="1">
      <c r="A625" s="122"/>
      <c r="B625" s="211"/>
      <c r="C625" s="122"/>
      <c r="D625" s="122"/>
      <c r="E625" s="25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ht="24.75" customHeight="1">
      <c r="A626" s="122"/>
      <c r="B626" s="211"/>
      <c r="C626" s="122"/>
      <c r="D626" s="122"/>
      <c r="E626" s="25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ht="24.75" customHeight="1">
      <c r="A627" s="122"/>
      <c r="B627" s="211"/>
      <c r="C627" s="122"/>
      <c r="D627" s="122"/>
      <c r="E627" s="25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ht="24.75" customHeight="1">
      <c r="A628" s="122"/>
      <c r="B628" s="211"/>
      <c r="C628" s="122"/>
      <c r="D628" s="122"/>
      <c r="E628" s="25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ht="24.75" customHeight="1">
      <c r="A629" s="122"/>
      <c r="B629" s="211"/>
      <c r="C629" s="122"/>
      <c r="D629" s="122"/>
      <c r="E629" s="25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ht="24.75" customHeight="1">
      <c r="A630" s="122"/>
      <c r="B630" s="211"/>
      <c r="C630" s="122"/>
      <c r="D630" s="122"/>
      <c r="E630" s="25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ht="24.75" customHeight="1">
      <c r="A631" s="122"/>
      <c r="B631" s="211"/>
      <c r="C631" s="122"/>
      <c r="D631" s="122"/>
      <c r="E631" s="25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ht="24.75" customHeight="1">
      <c r="A632" s="122"/>
      <c r="B632" s="211"/>
      <c r="C632" s="122"/>
      <c r="D632" s="122"/>
      <c r="E632" s="25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ht="24.75" customHeight="1">
      <c r="A633" s="122"/>
      <c r="B633" s="211"/>
      <c r="C633" s="122"/>
      <c r="D633" s="122"/>
      <c r="E633" s="25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ht="24.75" customHeight="1">
      <c r="A634" s="122"/>
      <c r="B634" s="211"/>
      <c r="C634" s="122"/>
      <c r="D634" s="122"/>
      <c r="E634" s="25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ht="24.75" customHeight="1">
      <c r="A635" s="122"/>
      <c r="B635" s="211"/>
      <c r="C635" s="122"/>
      <c r="D635" s="122"/>
      <c r="E635" s="25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ht="24.75" customHeight="1">
      <c r="A636" s="122"/>
      <c r="B636" s="211"/>
      <c r="C636" s="122"/>
      <c r="D636" s="122"/>
      <c r="E636" s="25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ht="24.75" customHeight="1">
      <c r="A637" s="122"/>
      <c r="B637" s="211"/>
      <c r="C637" s="122"/>
      <c r="D637" s="122"/>
      <c r="E637" s="25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ht="24.75" customHeight="1">
      <c r="A638" s="122"/>
      <c r="B638" s="211"/>
      <c r="C638" s="122"/>
      <c r="D638" s="122"/>
      <c r="E638" s="25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ht="24.75" customHeight="1">
      <c r="A639" s="122"/>
      <c r="B639" s="211"/>
      <c r="C639" s="122"/>
      <c r="D639" s="122"/>
      <c r="E639" s="25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ht="24.75" customHeight="1">
      <c r="A640" s="122"/>
      <c r="B640" s="211"/>
      <c r="C640" s="122"/>
      <c r="D640" s="122"/>
      <c r="E640" s="25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ht="24.75" customHeight="1">
      <c r="A641" s="122"/>
      <c r="B641" s="211"/>
      <c r="C641" s="122"/>
      <c r="D641" s="122"/>
      <c r="E641" s="25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ht="24.75" customHeight="1">
      <c r="A642" s="122"/>
      <c r="B642" s="211"/>
      <c r="C642" s="122"/>
      <c r="D642" s="122"/>
      <c r="E642" s="25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ht="24.75" customHeight="1">
      <c r="A643" s="122"/>
      <c r="B643" s="211"/>
      <c r="C643" s="122"/>
      <c r="D643" s="122"/>
      <c r="E643" s="25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ht="24.75" customHeight="1">
      <c r="A644" s="122"/>
      <c r="B644" s="211"/>
      <c r="C644" s="122"/>
      <c r="D644" s="122"/>
      <c r="E644" s="25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ht="24.75" customHeight="1">
      <c r="A645" s="122"/>
      <c r="B645" s="211"/>
      <c r="C645" s="122"/>
      <c r="D645" s="122"/>
      <c r="E645" s="25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ht="24.75" customHeight="1">
      <c r="A646" s="122"/>
      <c r="B646" s="211"/>
      <c r="C646" s="122"/>
      <c r="D646" s="122"/>
      <c r="E646" s="25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ht="24.75" customHeight="1">
      <c r="A647" s="122"/>
      <c r="B647" s="211"/>
      <c r="C647" s="122"/>
      <c r="D647" s="122"/>
      <c r="E647" s="25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ht="24.75" customHeight="1">
      <c r="A648" s="122"/>
      <c r="B648" s="211"/>
      <c r="C648" s="122"/>
      <c r="D648" s="122"/>
      <c r="E648" s="25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ht="24.75" customHeight="1">
      <c r="A649" s="122"/>
      <c r="B649" s="211"/>
      <c r="C649" s="122"/>
      <c r="D649" s="122"/>
      <c r="E649" s="25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ht="24.75" customHeight="1">
      <c r="A650" s="122"/>
      <c r="B650" s="211"/>
      <c r="C650" s="122"/>
      <c r="D650" s="122"/>
      <c r="E650" s="25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ht="24.75" customHeight="1">
      <c r="A651" s="122"/>
      <c r="B651" s="211"/>
      <c r="C651" s="122"/>
      <c r="D651" s="122"/>
      <c r="E651" s="25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ht="24.75" customHeight="1">
      <c r="A652" s="122"/>
      <c r="B652" s="211"/>
      <c r="C652" s="122"/>
      <c r="D652" s="122"/>
      <c r="E652" s="25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ht="24.75" customHeight="1">
      <c r="A653" s="122"/>
      <c r="B653" s="211"/>
      <c r="C653" s="122"/>
      <c r="D653" s="122"/>
      <c r="E653" s="25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ht="24.75" customHeight="1">
      <c r="A654" s="122"/>
      <c r="B654" s="211"/>
      <c r="C654" s="122"/>
      <c r="D654" s="122"/>
      <c r="E654" s="25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ht="24.75" customHeight="1">
      <c r="A655" s="122"/>
      <c r="B655" s="211"/>
      <c r="C655" s="122"/>
      <c r="D655" s="122"/>
      <c r="E655" s="25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ht="24.75" customHeight="1">
      <c r="A656" s="122"/>
      <c r="B656" s="211"/>
      <c r="C656" s="122"/>
      <c r="D656" s="122"/>
      <c r="E656" s="25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ht="24.75" customHeight="1">
      <c r="A657" s="122"/>
      <c r="B657" s="211"/>
      <c r="C657" s="122"/>
      <c r="D657" s="122"/>
      <c r="E657" s="25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ht="24.75" customHeight="1">
      <c r="A658" s="122"/>
      <c r="B658" s="211"/>
      <c r="C658" s="122"/>
      <c r="D658" s="122"/>
      <c r="E658" s="25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ht="24.75" customHeight="1">
      <c r="A659" s="122"/>
      <c r="B659" s="211"/>
      <c r="C659" s="122"/>
      <c r="D659" s="122"/>
      <c r="E659" s="25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ht="24.75" customHeight="1">
      <c r="A660" s="122"/>
      <c r="B660" s="211"/>
      <c r="C660" s="122"/>
      <c r="D660" s="122"/>
      <c r="E660" s="25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ht="24.75" customHeight="1">
      <c r="A661" s="122"/>
      <c r="B661" s="211"/>
      <c r="C661" s="122"/>
      <c r="D661" s="122"/>
      <c r="E661" s="25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ht="24.75" customHeight="1">
      <c r="A662" s="122"/>
      <c r="B662" s="211"/>
      <c r="C662" s="122"/>
      <c r="D662" s="122"/>
      <c r="E662" s="25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ht="24.75" customHeight="1">
      <c r="A663" s="122"/>
      <c r="B663" s="211"/>
      <c r="C663" s="122"/>
      <c r="D663" s="122"/>
      <c r="E663" s="25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ht="24.75" customHeight="1">
      <c r="A664" s="122"/>
      <c r="B664" s="211"/>
      <c r="C664" s="122"/>
      <c r="D664" s="122"/>
      <c r="E664" s="25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ht="24.75" customHeight="1">
      <c r="A665" s="122"/>
      <c r="B665" s="211"/>
      <c r="C665" s="122"/>
      <c r="D665" s="122"/>
      <c r="E665" s="25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ht="24.75" customHeight="1">
      <c r="A666" s="122"/>
      <c r="B666" s="211"/>
      <c r="C666" s="122"/>
      <c r="D666" s="122"/>
      <c r="E666" s="25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ht="24.75" customHeight="1">
      <c r="A667" s="122"/>
      <c r="B667" s="211"/>
      <c r="C667" s="122"/>
      <c r="D667" s="122"/>
      <c r="E667" s="25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ht="24.75" customHeight="1">
      <c r="A668" s="122"/>
      <c r="B668" s="211"/>
      <c r="C668" s="122"/>
      <c r="D668" s="122"/>
      <c r="E668" s="25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ht="24.75" customHeight="1">
      <c r="A669" s="122"/>
      <c r="B669" s="211"/>
      <c r="C669" s="122"/>
      <c r="D669" s="122"/>
      <c r="E669" s="25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ht="24.75" customHeight="1">
      <c r="A670" s="122"/>
      <c r="B670" s="211"/>
      <c r="C670" s="122"/>
      <c r="D670" s="122"/>
      <c r="E670" s="25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ht="24.75" customHeight="1">
      <c r="A671" s="122"/>
      <c r="B671" s="211"/>
      <c r="C671" s="122"/>
      <c r="D671" s="122"/>
      <c r="E671" s="25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ht="24.75" customHeight="1">
      <c r="A672" s="122"/>
      <c r="B672" s="211"/>
      <c r="C672" s="122"/>
      <c r="D672" s="122"/>
      <c r="E672" s="25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ht="24.75" customHeight="1">
      <c r="A673" s="122"/>
      <c r="B673" s="211"/>
      <c r="C673" s="122"/>
      <c r="D673" s="122"/>
      <c r="E673" s="25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ht="24.75" customHeight="1">
      <c r="A674" s="122"/>
      <c r="B674" s="211"/>
      <c r="C674" s="122"/>
      <c r="D674" s="122"/>
      <c r="E674" s="25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ht="24.75" customHeight="1">
      <c r="A675" s="122"/>
      <c r="B675" s="211"/>
      <c r="C675" s="122"/>
      <c r="D675" s="122"/>
      <c r="E675" s="25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ht="24.75" customHeight="1">
      <c r="A676" s="122"/>
      <c r="B676" s="211"/>
      <c r="C676" s="122"/>
      <c r="D676" s="122"/>
      <c r="E676" s="25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ht="24.75" customHeight="1">
      <c r="A677" s="122"/>
      <c r="B677" s="211"/>
      <c r="C677" s="122"/>
      <c r="D677" s="122"/>
      <c r="E677" s="25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ht="24.75" customHeight="1">
      <c r="A678" s="122"/>
      <c r="B678" s="211"/>
      <c r="C678" s="122"/>
      <c r="D678" s="122"/>
      <c r="E678" s="25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ht="24.75" customHeight="1">
      <c r="A679" s="122"/>
      <c r="B679" s="211"/>
      <c r="C679" s="122"/>
      <c r="D679" s="122"/>
      <c r="E679" s="25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ht="24.75" customHeight="1">
      <c r="A680" s="122"/>
      <c r="B680" s="211"/>
      <c r="C680" s="122"/>
      <c r="D680" s="122"/>
      <c r="E680" s="25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ht="24.75" customHeight="1">
      <c r="A681" s="122"/>
      <c r="B681" s="211"/>
      <c r="C681" s="122"/>
      <c r="D681" s="122"/>
      <c r="E681" s="25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ht="24.75" customHeight="1">
      <c r="A682" s="122"/>
      <c r="B682" s="211"/>
      <c r="C682" s="122"/>
      <c r="D682" s="122"/>
      <c r="E682" s="25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ht="24.75" customHeight="1">
      <c r="A683" s="122"/>
      <c r="B683" s="211"/>
      <c r="C683" s="122"/>
      <c r="D683" s="122"/>
      <c r="E683" s="25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ht="24.75" customHeight="1">
      <c r="A684" s="122"/>
      <c r="B684" s="211"/>
      <c r="C684" s="122"/>
      <c r="D684" s="122"/>
      <c r="E684" s="25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ht="24.75" customHeight="1">
      <c r="A685" s="122"/>
      <c r="B685" s="211"/>
      <c r="C685" s="122"/>
      <c r="D685" s="122"/>
      <c r="E685" s="25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ht="24.75" customHeight="1">
      <c r="A686" s="122"/>
      <c r="B686" s="211"/>
      <c r="C686" s="122"/>
      <c r="D686" s="122"/>
      <c r="E686" s="25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ht="24.75" customHeight="1">
      <c r="A687" s="122"/>
      <c r="B687" s="211"/>
      <c r="C687" s="122"/>
      <c r="D687" s="122"/>
      <c r="E687" s="25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ht="24.75" customHeight="1">
      <c r="A688" s="122"/>
      <c r="B688" s="211"/>
      <c r="C688" s="122"/>
      <c r="D688" s="122"/>
      <c r="E688" s="25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ht="24.75" customHeight="1">
      <c r="A689" s="122"/>
      <c r="B689" s="211"/>
      <c r="C689" s="122"/>
      <c r="D689" s="122"/>
      <c r="E689" s="25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ht="24.75" customHeight="1">
      <c r="A690" s="122"/>
      <c r="B690" s="211"/>
      <c r="C690" s="122"/>
      <c r="D690" s="122"/>
      <c r="E690" s="25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ht="24.75" customHeight="1">
      <c r="A691" s="122"/>
      <c r="B691" s="211"/>
      <c r="C691" s="122"/>
      <c r="D691" s="122"/>
      <c r="E691" s="25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ht="24.75" customHeight="1">
      <c r="A692" s="122"/>
      <c r="B692" s="211"/>
      <c r="C692" s="122"/>
      <c r="D692" s="122"/>
      <c r="E692" s="25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ht="24.75" customHeight="1">
      <c r="A693" s="122"/>
      <c r="B693" s="211"/>
      <c r="C693" s="122"/>
      <c r="D693" s="122"/>
      <c r="E693" s="25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ht="24.75" customHeight="1">
      <c r="A694" s="122"/>
      <c r="B694" s="211"/>
      <c r="C694" s="122"/>
      <c r="D694" s="122"/>
      <c r="E694" s="25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ht="24.75" customHeight="1">
      <c r="A695" s="122"/>
      <c r="B695" s="211"/>
      <c r="C695" s="122"/>
      <c r="D695" s="122"/>
      <c r="E695" s="25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ht="24.75" customHeight="1">
      <c r="A696" s="122"/>
      <c r="B696" s="211"/>
      <c r="C696" s="122"/>
      <c r="D696" s="122"/>
      <c r="E696" s="25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ht="24.75" customHeight="1">
      <c r="A697" s="122"/>
      <c r="B697" s="211"/>
      <c r="C697" s="122"/>
      <c r="D697" s="122"/>
      <c r="E697" s="25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ht="24.75" customHeight="1">
      <c r="A698" s="122"/>
      <c r="B698" s="211"/>
      <c r="C698" s="122"/>
      <c r="D698" s="122"/>
      <c r="E698" s="25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ht="24.75" customHeight="1">
      <c r="A699" s="122"/>
      <c r="B699" s="211"/>
      <c r="C699" s="122"/>
      <c r="D699" s="122"/>
      <c r="E699" s="25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ht="24.75" customHeight="1">
      <c r="A700" s="122"/>
      <c r="B700" s="211"/>
      <c r="C700" s="122"/>
      <c r="D700" s="122"/>
      <c r="E700" s="25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ht="24.75" customHeight="1">
      <c r="A701" s="122"/>
      <c r="B701" s="211"/>
      <c r="C701" s="122"/>
      <c r="D701" s="122"/>
      <c r="E701" s="25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ht="24.75" customHeight="1">
      <c r="A702" s="122"/>
      <c r="B702" s="211"/>
      <c r="C702" s="122"/>
      <c r="D702" s="122"/>
      <c r="E702" s="25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ht="24.75" customHeight="1">
      <c r="A703" s="122"/>
      <c r="B703" s="211"/>
      <c r="C703" s="122"/>
      <c r="D703" s="122"/>
      <c r="E703" s="25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ht="24.75" customHeight="1">
      <c r="A704" s="122"/>
      <c r="B704" s="211"/>
      <c r="C704" s="122"/>
      <c r="D704" s="122"/>
      <c r="E704" s="25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ht="24.75" customHeight="1">
      <c r="A705" s="122"/>
      <c r="B705" s="211"/>
      <c r="C705" s="122"/>
      <c r="D705" s="122"/>
      <c r="E705" s="25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ht="24.75" customHeight="1">
      <c r="A706" s="122"/>
      <c r="B706" s="211"/>
      <c r="C706" s="122"/>
      <c r="D706" s="122"/>
      <c r="E706" s="25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ht="24.75" customHeight="1">
      <c r="A707" s="122"/>
      <c r="B707" s="211"/>
      <c r="C707" s="122"/>
      <c r="D707" s="122"/>
      <c r="E707" s="25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ht="24.75" customHeight="1">
      <c r="A708" s="122"/>
      <c r="B708" s="211"/>
      <c r="C708" s="122"/>
      <c r="D708" s="122"/>
      <c r="E708" s="25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ht="24.75" customHeight="1">
      <c r="A709" s="122"/>
      <c r="B709" s="211"/>
      <c r="C709" s="122"/>
      <c r="D709" s="122"/>
      <c r="E709" s="25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ht="24.75" customHeight="1">
      <c r="A710" s="122"/>
      <c r="B710" s="211"/>
      <c r="C710" s="122"/>
      <c r="D710" s="122"/>
      <c r="E710" s="25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ht="24.75" customHeight="1">
      <c r="A711" s="122"/>
      <c r="B711" s="211"/>
      <c r="C711" s="122"/>
      <c r="D711" s="122"/>
      <c r="E711" s="25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ht="24.75" customHeight="1">
      <c r="A712" s="122"/>
      <c r="B712" s="211"/>
      <c r="C712" s="122"/>
      <c r="D712" s="122"/>
      <c r="E712" s="25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ht="24.75" customHeight="1">
      <c r="A713" s="122"/>
      <c r="B713" s="211"/>
      <c r="C713" s="122"/>
      <c r="D713" s="122"/>
      <c r="E713" s="25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ht="24.75" customHeight="1">
      <c r="A714" s="122"/>
      <c r="B714" s="211"/>
      <c r="C714" s="122"/>
      <c r="D714" s="122"/>
      <c r="E714" s="25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ht="24.75" customHeight="1">
      <c r="A715" s="122"/>
      <c r="B715" s="211"/>
      <c r="C715" s="122"/>
      <c r="D715" s="122"/>
      <c r="E715" s="25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ht="24.75" customHeight="1">
      <c r="A716" s="122"/>
      <c r="B716" s="211"/>
      <c r="C716" s="122"/>
      <c r="D716" s="122"/>
      <c r="E716" s="25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ht="24.75" customHeight="1">
      <c r="A717" s="122"/>
      <c r="B717" s="211"/>
      <c r="C717" s="122"/>
      <c r="D717" s="122"/>
      <c r="E717" s="25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ht="24.75" customHeight="1">
      <c r="A718" s="122"/>
      <c r="B718" s="211"/>
      <c r="C718" s="122"/>
      <c r="D718" s="122"/>
      <c r="E718" s="25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ht="24.75" customHeight="1">
      <c r="A719" s="122"/>
      <c r="B719" s="211"/>
      <c r="C719" s="122"/>
      <c r="D719" s="122"/>
      <c r="E719" s="25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ht="24.75" customHeight="1">
      <c r="A720" s="122"/>
      <c r="B720" s="211"/>
      <c r="C720" s="122"/>
      <c r="D720" s="122"/>
      <c r="E720" s="25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ht="24.75" customHeight="1">
      <c r="A721" s="122"/>
      <c r="B721" s="211"/>
      <c r="C721" s="122"/>
      <c r="D721" s="122"/>
      <c r="E721" s="25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ht="24.75" customHeight="1">
      <c r="A722" s="122"/>
      <c r="B722" s="211"/>
      <c r="C722" s="122"/>
      <c r="D722" s="122"/>
      <c r="E722" s="25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ht="24.75" customHeight="1">
      <c r="A723" s="122"/>
      <c r="B723" s="211"/>
      <c r="C723" s="122"/>
      <c r="D723" s="122"/>
      <c r="E723" s="25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ht="24.75" customHeight="1">
      <c r="A724" s="122"/>
      <c r="B724" s="211"/>
      <c r="C724" s="122"/>
      <c r="D724" s="122"/>
      <c r="E724" s="25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ht="24.75" customHeight="1">
      <c r="A725" s="122"/>
      <c r="B725" s="211"/>
      <c r="C725" s="122"/>
      <c r="D725" s="122"/>
      <c r="E725" s="25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ht="24.75" customHeight="1">
      <c r="A726" s="122"/>
      <c r="B726" s="211"/>
      <c r="C726" s="122"/>
      <c r="D726" s="122"/>
      <c r="E726" s="25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ht="24.75" customHeight="1">
      <c r="A727" s="122"/>
      <c r="B727" s="211"/>
      <c r="C727" s="122"/>
      <c r="D727" s="122"/>
      <c r="E727" s="25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ht="24.75" customHeight="1">
      <c r="A728" s="122"/>
      <c r="B728" s="211"/>
      <c r="C728" s="122"/>
      <c r="D728" s="122"/>
      <c r="E728" s="25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ht="24.75" customHeight="1">
      <c r="A729" s="122"/>
      <c r="B729" s="211"/>
      <c r="C729" s="122"/>
      <c r="D729" s="122"/>
      <c r="E729" s="25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ht="24.75" customHeight="1">
      <c r="A730" s="122"/>
      <c r="B730" s="211"/>
      <c r="C730" s="122"/>
      <c r="D730" s="122"/>
      <c r="E730" s="25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ht="24.75" customHeight="1">
      <c r="A731" s="122"/>
      <c r="B731" s="211"/>
      <c r="C731" s="122"/>
      <c r="D731" s="122"/>
      <c r="E731" s="25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ht="24.75" customHeight="1">
      <c r="A732" s="122"/>
      <c r="B732" s="211"/>
      <c r="C732" s="122"/>
      <c r="D732" s="122"/>
      <c r="E732" s="25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ht="24.75" customHeight="1">
      <c r="A733" s="122"/>
      <c r="B733" s="211"/>
      <c r="C733" s="122"/>
      <c r="D733" s="122"/>
      <c r="E733" s="25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ht="24.75" customHeight="1">
      <c r="A734" s="122"/>
      <c r="B734" s="211"/>
      <c r="C734" s="122"/>
      <c r="D734" s="122"/>
      <c r="E734" s="25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ht="24.75" customHeight="1">
      <c r="A735" s="122"/>
      <c r="B735" s="211"/>
      <c r="C735" s="122"/>
      <c r="D735" s="122"/>
      <c r="E735" s="25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ht="24.75" customHeight="1">
      <c r="A736" s="122"/>
      <c r="B736" s="211"/>
      <c r="C736" s="122"/>
      <c r="D736" s="122"/>
      <c r="E736" s="25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ht="24.75" customHeight="1">
      <c r="A737" s="122"/>
      <c r="B737" s="211"/>
      <c r="C737" s="122"/>
      <c r="D737" s="122"/>
      <c r="E737" s="25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ht="24.75" customHeight="1">
      <c r="A738" s="122"/>
      <c r="B738" s="211"/>
      <c r="C738" s="122"/>
      <c r="D738" s="122"/>
      <c r="E738" s="25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ht="24.75" customHeight="1">
      <c r="A739" s="122"/>
      <c r="B739" s="211"/>
      <c r="C739" s="122"/>
      <c r="D739" s="122"/>
      <c r="E739" s="25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ht="24.75" customHeight="1">
      <c r="A740" s="122"/>
      <c r="B740" s="211"/>
      <c r="C740" s="122"/>
      <c r="D740" s="122"/>
      <c r="E740" s="25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ht="24.75" customHeight="1">
      <c r="A741" s="122"/>
      <c r="B741" s="211"/>
      <c r="C741" s="122"/>
      <c r="D741" s="122"/>
      <c r="E741" s="25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ht="24.75" customHeight="1">
      <c r="A742" s="122"/>
      <c r="B742" s="211"/>
      <c r="C742" s="122"/>
      <c r="D742" s="122"/>
      <c r="E742" s="25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ht="24.75" customHeight="1">
      <c r="A743" s="122"/>
      <c r="B743" s="211"/>
      <c r="C743" s="122"/>
      <c r="D743" s="122"/>
      <c r="E743" s="25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ht="24.75" customHeight="1">
      <c r="A744" s="122"/>
      <c r="B744" s="211"/>
      <c r="C744" s="122"/>
      <c r="D744" s="122"/>
      <c r="E744" s="25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ht="24.75" customHeight="1">
      <c r="A745" s="122"/>
      <c r="B745" s="211"/>
      <c r="C745" s="122"/>
      <c r="D745" s="122"/>
      <c r="E745" s="25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ht="24.75" customHeight="1">
      <c r="A746" s="122"/>
      <c r="B746" s="211"/>
      <c r="C746" s="122"/>
      <c r="D746" s="122"/>
      <c r="E746" s="25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ht="24.75" customHeight="1">
      <c r="A747" s="122"/>
      <c r="B747" s="211"/>
      <c r="C747" s="122"/>
      <c r="D747" s="122"/>
      <c r="E747" s="25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ht="24.75" customHeight="1">
      <c r="A748" s="122"/>
      <c r="B748" s="211"/>
      <c r="C748" s="122"/>
      <c r="D748" s="122"/>
      <c r="E748" s="25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ht="24.75" customHeight="1">
      <c r="A749" s="122"/>
      <c r="B749" s="211"/>
      <c r="C749" s="122"/>
      <c r="D749" s="122"/>
      <c r="E749" s="25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ht="24.75" customHeight="1">
      <c r="A750" s="122"/>
      <c r="B750" s="211"/>
      <c r="C750" s="122"/>
      <c r="D750" s="122"/>
      <c r="E750" s="25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ht="24.75" customHeight="1">
      <c r="A751" s="122"/>
      <c r="B751" s="211"/>
      <c r="C751" s="122"/>
      <c r="D751" s="122"/>
      <c r="E751" s="25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ht="24.75" customHeight="1">
      <c r="A752" s="122"/>
      <c r="B752" s="211"/>
      <c r="C752" s="122"/>
      <c r="D752" s="122"/>
      <c r="E752" s="25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ht="24.75" customHeight="1">
      <c r="A753" s="122"/>
      <c r="B753" s="211"/>
      <c r="C753" s="122"/>
      <c r="D753" s="122"/>
      <c r="E753" s="25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ht="24.75" customHeight="1">
      <c r="A754" s="122"/>
      <c r="B754" s="211"/>
      <c r="C754" s="122"/>
      <c r="D754" s="122"/>
      <c r="E754" s="25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ht="24.75" customHeight="1">
      <c r="A755" s="122"/>
      <c r="B755" s="211"/>
      <c r="C755" s="122"/>
      <c r="D755" s="122"/>
      <c r="E755" s="25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ht="24.75" customHeight="1">
      <c r="A756" s="122"/>
      <c r="B756" s="211"/>
      <c r="C756" s="122"/>
      <c r="D756" s="122"/>
      <c r="E756" s="25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ht="24.75" customHeight="1">
      <c r="A757" s="122"/>
      <c r="B757" s="211"/>
      <c r="C757" s="122"/>
      <c r="D757" s="122"/>
      <c r="E757" s="25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ht="24.75" customHeight="1">
      <c r="A758" s="122"/>
      <c r="B758" s="211"/>
      <c r="C758" s="122"/>
      <c r="D758" s="122"/>
      <c r="E758" s="25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ht="24.75" customHeight="1">
      <c r="A759" s="122"/>
      <c r="B759" s="211"/>
      <c r="C759" s="122"/>
      <c r="D759" s="122"/>
      <c r="E759" s="25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ht="24.75" customHeight="1">
      <c r="A760" s="122"/>
      <c r="B760" s="211"/>
      <c r="C760" s="122"/>
      <c r="D760" s="122"/>
      <c r="E760" s="25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ht="24.75" customHeight="1">
      <c r="A761" s="122"/>
      <c r="B761" s="211"/>
      <c r="C761" s="122"/>
      <c r="D761" s="122"/>
      <c r="E761" s="25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ht="24.75" customHeight="1">
      <c r="A762" s="122"/>
      <c r="B762" s="211"/>
      <c r="C762" s="122"/>
      <c r="D762" s="122"/>
      <c r="E762" s="25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ht="24.75" customHeight="1">
      <c r="A763" s="122"/>
      <c r="B763" s="211"/>
      <c r="C763" s="122"/>
      <c r="D763" s="122"/>
      <c r="E763" s="25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ht="24.75" customHeight="1">
      <c r="A764" s="122"/>
      <c r="B764" s="211"/>
      <c r="C764" s="122"/>
      <c r="D764" s="122"/>
      <c r="E764" s="25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ht="24.75" customHeight="1">
      <c r="A765" s="122"/>
      <c r="B765" s="211"/>
      <c r="C765" s="122"/>
      <c r="D765" s="122"/>
      <c r="E765" s="25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ht="24.75" customHeight="1">
      <c r="A766" s="122"/>
      <c r="B766" s="211"/>
      <c r="C766" s="122"/>
      <c r="D766" s="122"/>
      <c r="E766" s="25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ht="24.75" customHeight="1">
      <c r="A767" s="122"/>
      <c r="B767" s="211"/>
      <c r="C767" s="122"/>
      <c r="D767" s="122"/>
      <c r="E767" s="25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ht="24.75" customHeight="1">
      <c r="A768" s="122"/>
      <c r="B768" s="211"/>
      <c r="C768" s="122"/>
      <c r="D768" s="122"/>
      <c r="E768" s="25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ht="24.75" customHeight="1">
      <c r="A769" s="122"/>
      <c r="B769" s="211"/>
      <c r="C769" s="122"/>
      <c r="D769" s="122"/>
      <c r="E769" s="25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ht="24.75" customHeight="1">
      <c r="A770" s="122"/>
      <c r="B770" s="211"/>
      <c r="C770" s="122"/>
      <c r="D770" s="122"/>
      <c r="E770" s="25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ht="24.75" customHeight="1">
      <c r="A771" s="122"/>
      <c r="B771" s="211"/>
      <c r="C771" s="122"/>
      <c r="D771" s="122"/>
      <c r="E771" s="25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ht="24.75" customHeight="1">
      <c r="A772" s="122"/>
      <c r="B772" s="211"/>
      <c r="C772" s="122"/>
      <c r="D772" s="122"/>
      <c r="E772" s="25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ht="24.75" customHeight="1">
      <c r="A773" s="122"/>
      <c r="B773" s="211"/>
      <c r="C773" s="122"/>
      <c r="D773" s="122"/>
      <c r="E773" s="25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ht="24.75" customHeight="1">
      <c r="A774" s="122"/>
      <c r="B774" s="211"/>
      <c r="C774" s="122"/>
      <c r="D774" s="122"/>
      <c r="E774" s="25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ht="24.75" customHeight="1">
      <c r="A775" s="122"/>
      <c r="B775" s="211"/>
      <c r="C775" s="122"/>
      <c r="D775" s="122"/>
      <c r="E775" s="25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ht="24.75" customHeight="1">
      <c r="A776" s="122"/>
      <c r="B776" s="211"/>
      <c r="C776" s="122"/>
      <c r="D776" s="122"/>
      <c r="E776" s="25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ht="24.75" customHeight="1">
      <c r="A777" s="122"/>
      <c r="B777" s="211"/>
      <c r="C777" s="122"/>
      <c r="D777" s="122"/>
      <c r="E777" s="25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ht="24.75" customHeight="1">
      <c r="A778" s="122"/>
      <c r="B778" s="211"/>
      <c r="C778" s="122"/>
      <c r="D778" s="122"/>
      <c r="E778" s="25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ht="24.75" customHeight="1">
      <c r="A779" s="122"/>
      <c r="B779" s="211"/>
      <c r="C779" s="122"/>
      <c r="D779" s="122"/>
      <c r="E779" s="25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ht="24.75" customHeight="1">
      <c r="A780" s="122"/>
      <c r="B780" s="211"/>
      <c r="C780" s="122"/>
      <c r="D780" s="122"/>
      <c r="E780" s="25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ht="24.75" customHeight="1">
      <c r="A781" s="122"/>
      <c r="B781" s="211"/>
      <c r="C781" s="122"/>
      <c r="D781" s="122"/>
      <c r="E781" s="25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ht="24.75" customHeight="1">
      <c r="A782" s="122"/>
      <c r="B782" s="211"/>
      <c r="C782" s="122"/>
      <c r="D782" s="122"/>
      <c r="E782" s="25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ht="24.75" customHeight="1">
      <c r="A783" s="122"/>
      <c r="B783" s="211"/>
      <c r="C783" s="122"/>
      <c r="D783" s="122"/>
      <c r="E783" s="25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ht="24.75" customHeight="1">
      <c r="A784" s="122"/>
      <c r="B784" s="211"/>
      <c r="C784" s="122"/>
      <c r="D784" s="122"/>
      <c r="E784" s="25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ht="24.75" customHeight="1">
      <c r="A785" s="122"/>
      <c r="B785" s="211"/>
      <c r="C785" s="122"/>
      <c r="D785" s="122"/>
      <c r="E785" s="25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ht="24.75" customHeight="1">
      <c r="A786" s="122"/>
      <c r="B786" s="211"/>
      <c r="C786" s="122"/>
      <c r="D786" s="122"/>
      <c r="E786" s="25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ht="24.75" customHeight="1">
      <c r="A787" s="122"/>
      <c r="B787" s="211"/>
      <c r="C787" s="122"/>
      <c r="D787" s="122"/>
      <c r="E787" s="25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ht="24.75" customHeight="1">
      <c r="A788" s="122"/>
      <c r="B788" s="211"/>
      <c r="C788" s="122"/>
      <c r="D788" s="122"/>
      <c r="E788" s="25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ht="24.75" customHeight="1">
      <c r="A789" s="122"/>
      <c r="B789" s="211"/>
      <c r="C789" s="122"/>
      <c r="D789" s="122"/>
      <c r="E789" s="25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ht="24.75" customHeight="1">
      <c r="A790" s="122"/>
      <c r="B790" s="211"/>
      <c r="C790" s="122"/>
      <c r="D790" s="122"/>
      <c r="E790" s="25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ht="24.75" customHeight="1">
      <c r="A791" s="122"/>
      <c r="B791" s="211"/>
      <c r="C791" s="122"/>
      <c r="D791" s="122"/>
      <c r="E791" s="25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ht="24.75" customHeight="1">
      <c r="A792" s="122"/>
      <c r="B792" s="211"/>
      <c r="C792" s="122"/>
      <c r="D792" s="122"/>
      <c r="E792" s="25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ht="24.75" customHeight="1">
      <c r="A793" s="122"/>
      <c r="B793" s="211"/>
      <c r="C793" s="122"/>
      <c r="D793" s="122"/>
      <c r="E793" s="25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ht="24.75" customHeight="1">
      <c r="A794" s="122"/>
      <c r="B794" s="211"/>
      <c r="C794" s="122"/>
      <c r="D794" s="122"/>
      <c r="E794" s="25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ht="24.75" customHeight="1">
      <c r="A795" s="122"/>
      <c r="B795" s="211"/>
      <c r="C795" s="122"/>
      <c r="D795" s="122"/>
      <c r="E795" s="25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ht="24.75" customHeight="1">
      <c r="A796" s="122"/>
      <c r="B796" s="211"/>
      <c r="C796" s="122"/>
      <c r="D796" s="122"/>
      <c r="E796" s="25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ht="24.75" customHeight="1">
      <c r="A797" s="122"/>
      <c r="B797" s="211"/>
      <c r="C797" s="122"/>
      <c r="D797" s="122"/>
      <c r="E797" s="25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ht="24.75" customHeight="1">
      <c r="A798" s="122"/>
      <c r="B798" s="211"/>
      <c r="C798" s="122"/>
      <c r="D798" s="122"/>
      <c r="E798" s="25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ht="24.75" customHeight="1">
      <c r="A799" s="122"/>
      <c r="B799" s="211"/>
      <c r="C799" s="122"/>
      <c r="D799" s="122"/>
      <c r="E799" s="25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ht="24.75" customHeight="1">
      <c r="A800" s="122"/>
      <c r="B800" s="211"/>
      <c r="C800" s="122"/>
      <c r="D800" s="122"/>
      <c r="E800" s="25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ht="24.75" customHeight="1">
      <c r="A801" s="122"/>
      <c r="B801" s="211"/>
      <c r="C801" s="122"/>
      <c r="D801" s="122"/>
      <c r="E801" s="25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ht="24.75" customHeight="1">
      <c r="A802" s="122"/>
      <c r="B802" s="211"/>
      <c r="C802" s="122"/>
      <c r="D802" s="122"/>
      <c r="E802" s="25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ht="24.75" customHeight="1">
      <c r="A803" s="122"/>
      <c r="B803" s="211"/>
      <c r="C803" s="122"/>
      <c r="D803" s="122"/>
      <c r="E803" s="25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ht="24.75" customHeight="1">
      <c r="A804" s="122"/>
      <c r="B804" s="211"/>
      <c r="C804" s="122"/>
      <c r="D804" s="122"/>
      <c r="E804" s="25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ht="24.75" customHeight="1">
      <c r="A805" s="122"/>
      <c r="B805" s="211"/>
      <c r="C805" s="122"/>
      <c r="D805" s="122"/>
      <c r="E805" s="25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ht="24.75" customHeight="1">
      <c r="A806" s="122"/>
      <c r="B806" s="211"/>
      <c r="C806" s="122"/>
      <c r="D806" s="122"/>
      <c r="E806" s="25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ht="24.75" customHeight="1">
      <c r="A807" s="122"/>
      <c r="B807" s="211"/>
      <c r="C807" s="122"/>
      <c r="D807" s="122"/>
      <c r="E807" s="25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ht="24.75" customHeight="1">
      <c r="A808" s="122"/>
      <c r="B808" s="211"/>
      <c r="C808" s="122"/>
      <c r="D808" s="122"/>
      <c r="E808" s="25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ht="24.75" customHeight="1">
      <c r="A809" s="122"/>
      <c r="B809" s="211"/>
      <c r="C809" s="122"/>
      <c r="D809" s="122"/>
      <c r="E809" s="25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ht="24.75" customHeight="1">
      <c r="A810" s="122"/>
      <c r="B810" s="211"/>
      <c r="C810" s="122"/>
      <c r="D810" s="122"/>
      <c r="E810" s="25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ht="24.75" customHeight="1">
      <c r="A811" s="122"/>
      <c r="B811" s="211"/>
      <c r="C811" s="122"/>
      <c r="D811" s="122"/>
      <c r="E811" s="25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ht="24.75" customHeight="1">
      <c r="A812" s="122"/>
      <c r="B812" s="211"/>
      <c r="C812" s="122"/>
      <c r="D812" s="122"/>
      <c r="E812" s="25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ht="24.75" customHeight="1">
      <c r="A813" s="122"/>
      <c r="B813" s="211"/>
      <c r="C813" s="122"/>
      <c r="D813" s="122"/>
      <c r="E813" s="25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ht="24.75" customHeight="1">
      <c r="A814" s="122"/>
      <c r="B814" s="211"/>
      <c r="C814" s="122"/>
      <c r="D814" s="122"/>
      <c r="E814" s="25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ht="24.75" customHeight="1">
      <c r="A815" s="122"/>
      <c r="B815" s="211"/>
      <c r="C815" s="122"/>
      <c r="D815" s="122"/>
      <c r="E815" s="25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ht="24.75" customHeight="1">
      <c r="A816" s="122"/>
      <c r="B816" s="211"/>
      <c r="C816" s="122"/>
      <c r="D816" s="122"/>
      <c r="E816" s="25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ht="24.75" customHeight="1">
      <c r="A817" s="122"/>
      <c r="B817" s="211"/>
      <c r="C817" s="122"/>
      <c r="D817" s="122"/>
      <c r="E817" s="25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ht="24.75" customHeight="1">
      <c r="A818" s="122"/>
      <c r="B818" s="211"/>
      <c r="C818" s="122"/>
      <c r="D818" s="122"/>
      <c r="E818" s="25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ht="24.75" customHeight="1">
      <c r="A819" s="122"/>
      <c r="B819" s="211"/>
      <c r="C819" s="122"/>
      <c r="D819" s="122"/>
      <c r="E819" s="25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ht="24.75" customHeight="1">
      <c r="A820" s="122"/>
      <c r="B820" s="211"/>
      <c r="C820" s="122"/>
      <c r="D820" s="122"/>
      <c r="E820" s="25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ht="24.75" customHeight="1">
      <c r="A821" s="122"/>
      <c r="B821" s="211"/>
      <c r="C821" s="122"/>
      <c r="D821" s="122"/>
      <c r="E821" s="25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ht="24.75" customHeight="1">
      <c r="A822" s="122"/>
      <c r="B822" s="211"/>
      <c r="C822" s="122"/>
      <c r="D822" s="122"/>
      <c r="E822" s="25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ht="24.75" customHeight="1">
      <c r="A823" s="122"/>
      <c r="B823" s="211"/>
      <c r="C823" s="122"/>
      <c r="D823" s="122"/>
      <c r="E823" s="25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ht="24.75" customHeight="1">
      <c r="A824" s="122"/>
      <c r="B824" s="211"/>
      <c r="C824" s="122"/>
      <c r="D824" s="122"/>
      <c r="E824" s="25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ht="24.75" customHeight="1">
      <c r="A825" s="122"/>
      <c r="B825" s="211"/>
      <c r="C825" s="122"/>
      <c r="D825" s="122"/>
      <c r="E825" s="25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ht="24.75" customHeight="1">
      <c r="A826" s="122"/>
      <c r="B826" s="211"/>
      <c r="C826" s="122"/>
      <c r="D826" s="122"/>
      <c r="E826" s="25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ht="24.75" customHeight="1">
      <c r="A827" s="122"/>
      <c r="B827" s="211"/>
      <c r="C827" s="122"/>
      <c r="D827" s="122"/>
      <c r="E827" s="25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ht="24.75" customHeight="1">
      <c r="A828" s="122"/>
      <c r="B828" s="211"/>
      <c r="C828" s="122"/>
      <c r="D828" s="122"/>
      <c r="E828" s="25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ht="24.75" customHeight="1">
      <c r="A829" s="122"/>
      <c r="B829" s="211"/>
      <c r="C829" s="122"/>
      <c r="D829" s="122"/>
      <c r="E829" s="25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ht="24.75" customHeight="1">
      <c r="A830" s="122"/>
      <c r="B830" s="211"/>
      <c r="C830" s="122"/>
      <c r="D830" s="122"/>
      <c r="E830" s="25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ht="24.75" customHeight="1">
      <c r="A831" s="122"/>
      <c r="B831" s="211"/>
      <c r="C831" s="122"/>
      <c r="D831" s="122"/>
      <c r="E831" s="25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ht="24.75" customHeight="1">
      <c r="A832" s="122"/>
      <c r="B832" s="211"/>
      <c r="C832" s="122"/>
      <c r="D832" s="122"/>
      <c r="E832" s="25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ht="24.75" customHeight="1">
      <c r="A833" s="122"/>
      <c r="B833" s="211"/>
      <c r="C833" s="122"/>
      <c r="D833" s="122"/>
      <c r="E833" s="25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ht="24.75" customHeight="1">
      <c r="A834" s="122"/>
      <c r="B834" s="211"/>
      <c r="C834" s="122"/>
      <c r="D834" s="122"/>
      <c r="E834" s="25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ht="24.75" customHeight="1">
      <c r="A835" s="122"/>
      <c r="B835" s="211"/>
      <c r="C835" s="122"/>
      <c r="D835" s="122"/>
      <c r="E835" s="25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ht="24.75" customHeight="1">
      <c r="A836" s="122"/>
      <c r="B836" s="211"/>
      <c r="C836" s="122"/>
      <c r="D836" s="122"/>
      <c r="E836" s="25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ht="24.75" customHeight="1">
      <c r="A837" s="122"/>
      <c r="B837" s="211"/>
      <c r="C837" s="122"/>
      <c r="D837" s="122"/>
      <c r="E837" s="25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ht="24.75" customHeight="1">
      <c r="A838" s="122"/>
      <c r="B838" s="211"/>
      <c r="C838" s="122"/>
      <c r="D838" s="122"/>
      <c r="E838" s="25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ht="24.75" customHeight="1">
      <c r="A839" s="122"/>
      <c r="B839" s="211"/>
      <c r="C839" s="122"/>
      <c r="D839" s="122"/>
      <c r="E839" s="25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ht="24.75" customHeight="1">
      <c r="A840" s="122"/>
      <c r="B840" s="211"/>
      <c r="C840" s="122"/>
      <c r="D840" s="122"/>
      <c r="E840" s="25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ht="24.75" customHeight="1">
      <c r="A841" s="122"/>
      <c r="B841" s="211"/>
      <c r="C841" s="122"/>
      <c r="D841" s="122"/>
      <c r="E841" s="25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ht="24.75" customHeight="1">
      <c r="A842" s="122"/>
      <c r="B842" s="211"/>
      <c r="C842" s="122"/>
      <c r="D842" s="122"/>
      <c r="E842" s="25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ht="24.75" customHeight="1">
      <c r="A843" s="122"/>
      <c r="B843" s="211"/>
      <c r="C843" s="122"/>
      <c r="D843" s="122"/>
      <c r="E843" s="25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ht="24.75" customHeight="1">
      <c r="A844" s="122"/>
      <c r="B844" s="211"/>
      <c r="C844" s="122"/>
      <c r="D844" s="122"/>
      <c r="E844" s="25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ht="24.75" customHeight="1">
      <c r="A845" s="122"/>
      <c r="B845" s="211"/>
      <c r="C845" s="122"/>
      <c r="D845" s="122"/>
      <c r="E845" s="25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ht="24.75" customHeight="1">
      <c r="A846" s="122"/>
      <c r="B846" s="211"/>
      <c r="C846" s="122"/>
      <c r="D846" s="122"/>
      <c r="E846" s="25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ht="24.75" customHeight="1">
      <c r="A847" s="122"/>
      <c r="B847" s="211"/>
      <c r="C847" s="122"/>
      <c r="D847" s="122"/>
      <c r="E847" s="25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ht="24.75" customHeight="1">
      <c r="A848" s="122"/>
      <c r="B848" s="211"/>
      <c r="C848" s="122"/>
      <c r="D848" s="122"/>
      <c r="E848" s="25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ht="24.75" customHeight="1">
      <c r="A849" s="122"/>
      <c r="B849" s="211"/>
      <c r="C849" s="122"/>
      <c r="D849" s="122"/>
      <c r="E849" s="25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ht="24.75" customHeight="1">
      <c r="A850" s="122"/>
      <c r="B850" s="211"/>
      <c r="C850" s="122"/>
      <c r="D850" s="122"/>
      <c r="E850" s="25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ht="24.75" customHeight="1">
      <c r="A851" s="122"/>
      <c r="B851" s="211"/>
      <c r="C851" s="122"/>
      <c r="D851" s="122"/>
      <c r="E851" s="25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ht="24.75" customHeight="1">
      <c r="A852" s="122"/>
      <c r="B852" s="211"/>
      <c r="C852" s="122"/>
      <c r="D852" s="122"/>
      <c r="E852" s="25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ht="24.75" customHeight="1">
      <c r="A853" s="122"/>
      <c r="B853" s="211"/>
      <c r="C853" s="122"/>
      <c r="D853" s="122"/>
      <c r="E853" s="25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ht="24.75" customHeight="1">
      <c r="A854" s="122"/>
      <c r="B854" s="211"/>
      <c r="C854" s="122"/>
      <c r="D854" s="122"/>
      <c r="E854" s="25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ht="24.75" customHeight="1">
      <c r="A855" s="122"/>
      <c r="B855" s="211"/>
      <c r="C855" s="122"/>
      <c r="D855" s="122"/>
      <c r="E855" s="25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ht="24.75" customHeight="1">
      <c r="A856" s="122"/>
      <c r="B856" s="211"/>
      <c r="C856" s="122"/>
      <c r="D856" s="122"/>
      <c r="E856" s="25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ht="24.75" customHeight="1">
      <c r="A857" s="122"/>
      <c r="B857" s="211"/>
      <c r="C857" s="122"/>
      <c r="D857" s="122"/>
      <c r="E857" s="25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ht="24.75" customHeight="1">
      <c r="A858" s="122"/>
      <c r="B858" s="211"/>
      <c r="C858" s="122"/>
      <c r="D858" s="122"/>
      <c r="E858" s="25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ht="24.75" customHeight="1">
      <c r="A859" s="122"/>
      <c r="B859" s="211"/>
      <c r="C859" s="122"/>
      <c r="D859" s="122"/>
      <c r="E859" s="25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ht="24.75" customHeight="1">
      <c r="A860" s="122"/>
      <c r="B860" s="211"/>
      <c r="C860" s="122"/>
      <c r="D860" s="122"/>
      <c r="E860" s="25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ht="24.75" customHeight="1">
      <c r="A861" s="122"/>
      <c r="B861" s="211"/>
      <c r="C861" s="122"/>
      <c r="D861" s="122"/>
      <c r="E861" s="25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ht="24.75" customHeight="1">
      <c r="A862" s="122"/>
      <c r="B862" s="211"/>
      <c r="C862" s="122"/>
      <c r="D862" s="122"/>
      <c r="E862" s="25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ht="24.75" customHeight="1">
      <c r="A863" s="122"/>
      <c r="B863" s="211"/>
      <c r="C863" s="122"/>
      <c r="D863" s="122"/>
      <c r="E863" s="25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ht="24.75" customHeight="1">
      <c r="A864" s="122"/>
      <c r="B864" s="211"/>
      <c r="C864" s="122"/>
      <c r="D864" s="122"/>
      <c r="E864" s="25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ht="24.75" customHeight="1">
      <c r="A865" s="122"/>
      <c r="B865" s="211"/>
      <c r="C865" s="122"/>
      <c r="D865" s="122"/>
      <c r="E865" s="25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ht="24.75" customHeight="1">
      <c r="A866" s="122"/>
      <c r="B866" s="211"/>
      <c r="C866" s="122"/>
      <c r="D866" s="122"/>
      <c r="E866" s="25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ht="24.75" customHeight="1">
      <c r="A867" s="122"/>
      <c r="B867" s="211"/>
      <c r="C867" s="122"/>
      <c r="D867" s="122"/>
      <c r="E867" s="25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ht="24.75" customHeight="1">
      <c r="A868" s="122"/>
      <c r="B868" s="211"/>
      <c r="C868" s="122"/>
      <c r="D868" s="122"/>
      <c r="E868" s="25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ht="24.75" customHeight="1">
      <c r="A869" s="122"/>
      <c r="B869" s="211"/>
      <c r="C869" s="122"/>
      <c r="D869" s="122"/>
      <c r="E869" s="25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ht="24.75" customHeight="1">
      <c r="A870" s="122"/>
      <c r="B870" s="211"/>
      <c r="C870" s="122"/>
      <c r="D870" s="122"/>
      <c r="E870" s="25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ht="24.75" customHeight="1">
      <c r="A871" s="122"/>
      <c r="B871" s="211"/>
      <c r="C871" s="122"/>
      <c r="D871" s="122"/>
      <c r="E871" s="25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ht="24.75" customHeight="1">
      <c r="A872" s="122"/>
      <c r="B872" s="211"/>
      <c r="C872" s="122"/>
      <c r="D872" s="122"/>
      <c r="E872" s="25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ht="24.75" customHeight="1">
      <c r="A873" s="122"/>
      <c r="B873" s="211"/>
      <c r="C873" s="122"/>
      <c r="D873" s="122"/>
      <c r="E873" s="25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ht="24.75" customHeight="1">
      <c r="A874" s="122"/>
      <c r="B874" s="211"/>
      <c r="C874" s="122"/>
      <c r="D874" s="122"/>
      <c r="E874" s="25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ht="24.75" customHeight="1">
      <c r="A875" s="122"/>
      <c r="B875" s="211"/>
      <c r="C875" s="122"/>
      <c r="D875" s="122"/>
      <c r="E875" s="25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ht="24.75" customHeight="1">
      <c r="A876" s="122"/>
      <c r="B876" s="211"/>
      <c r="C876" s="122"/>
      <c r="D876" s="122"/>
      <c r="E876" s="25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ht="24.75" customHeight="1">
      <c r="A877" s="122"/>
      <c r="B877" s="211"/>
      <c r="C877" s="122"/>
      <c r="D877" s="122"/>
      <c r="E877" s="25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ht="24.75" customHeight="1">
      <c r="A878" s="122"/>
      <c r="B878" s="211"/>
      <c r="C878" s="122"/>
      <c r="D878" s="122"/>
      <c r="E878" s="25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ht="24.75" customHeight="1">
      <c r="A879" s="122"/>
      <c r="B879" s="211"/>
      <c r="C879" s="122"/>
      <c r="D879" s="122"/>
      <c r="E879" s="25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ht="24.75" customHeight="1">
      <c r="A880" s="122"/>
      <c r="B880" s="211"/>
      <c r="C880" s="122"/>
      <c r="D880" s="122"/>
      <c r="E880" s="25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ht="24.75" customHeight="1">
      <c r="A881" s="122"/>
      <c r="B881" s="211"/>
      <c r="C881" s="122"/>
      <c r="D881" s="122"/>
      <c r="E881" s="25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ht="24.75" customHeight="1">
      <c r="A882" s="122"/>
      <c r="B882" s="211"/>
      <c r="C882" s="122"/>
      <c r="D882" s="122"/>
      <c r="E882" s="25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ht="24.75" customHeight="1">
      <c r="A883" s="122"/>
      <c r="B883" s="211"/>
      <c r="C883" s="122"/>
      <c r="D883" s="122"/>
      <c r="E883" s="25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ht="24.75" customHeight="1">
      <c r="A884" s="122"/>
      <c r="B884" s="211"/>
      <c r="C884" s="122"/>
      <c r="D884" s="122"/>
      <c r="E884" s="25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ht="24.75" customHeight="1">
      <c r="A885" s="122"/>
      <c r="B885" s="211"/>
      <c r="C885" s="122"/>
      <c r="D885" s="122"/>
      <c r="E885" s="25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ht="24.75" customHeight="1">
      <c r="A886" s="122"/>
      <c r="B886" s="211"/>
      <c r="C886" s="122"/>
      <c r="D886" s="122"/>
      <c r="E886" s="25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ht="24.75" customHeight="1">
      <c r="A887" s="122"/>
      <c r="B887" s="211"/>
      <c r="C887" s="122"/>
      <c r="D887" s="122"/>
      <c r="E887" s="25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ht="24.75" customHeight="1">
      <c r="A888" s="122"/>
      <c r="B888" s="211"/>
      <c r="C888" s="122"/>
      <c r="D888" s="122"/>
      <c r="E888" s="25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ht="24.75" customHeight="1">
      <c r="A889" s="122"/>
      <c r="B889" s="211"/>
      <c r="C889" s="122"/>
      <c r="D889" s="122"/>
      <c r="E889" s="25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ht="24.75" customHeight="1">
      <c r="A890" s="122"/>
      <c r="B890" s="211"/>
      <c r="C890" s="122"/>
      <c r="D890" s="122"/>
      <c r="E890" s="25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ht="24.75" customHeight="1">
      <c r="A891" s="122"/>
      <c r="B891" s="211"/>
      <c r="C891" s="122"/>
      <c r="D891" s="122"/>
      <c r="E891" s="25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ht="24.75" customHeight="1">
      <c r="A892" s="122"/>
      <c r="B892" s="211"/>
      <c r="C892" s="122"/>
      <c r="D892" s="122"/>
      <c r="E892" s="25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ht="24.75" customHeight="1">
      <c r="A893" s="122"/>
      <c r="B893" s="211"/>
      <c r="C893" s="122"/>
      <c r="D893" s="122"/>
      <c r="E893" s="25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ht="24.75" customHeight="1">
      <c r="A894" s="122"/>
      <c r="B894" s="211"/>
      <c r="C894" s="122"/>
      <c r="D894" s="122"/>
      <c r="E894" s="25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ht="24.75" customHeight="1">
      <c r="A895" s="122"/>
      <c r="B895" s="211"/>
      <c r="C895" s="122"/>
      <c r="D895" s="122"/>
      <c r="E895" s="25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ht="24.75" customHeight="1">
      <c r="A896" s="122"/>
      <c r="B896" s="211"/>
      <c r="C896" s="122"/>
      <c r="D896" s="122"/>
      <c r="E896" s="25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ht="24.75" customHeight="1">
      <c r="A897" s="122"/>
      <c r="B897" s="211"/>
      <c r="C897" s="122"/>
      <c r="D897" s="122"/>
      <c r="E897" s="25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ht="24.75" customHeight="1">
      <c r="A898" s="122"/>
      <c r="B898" s="211"/>
      <c r="C898" s="122"/>
      <c r="D898" s="122"/>
      <c r="E898" s="25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ht="24.75" customHeight="1">
      <c r="A899" s="122"/>
      <c r="B899" s="211"/>
      <c r="C899" s="122"/>
      <c r="D899" s="122"/>
      <c r="E899" s="25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ht="24.75" customHeight="1">
      <c r="A900" s="122"/>
      <c r="B900" s="211"/>
      <c r="C900" s="122"/>
      <c r="D900" s="122"/>
      <c r="E900" s="25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ht="24.75" customHeight="1">
      <c r="A901" s="122"/>
      <c r="B901" s="211"/>
      <c r="C901" s="122"/>
      <c r="D901" s="122"/>
      <c r="E901" s="25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ht="24.75" customHeight="1">
      <c r="A902" s="122"/>
      <c r="B902" s="211"/>
      <c r="C902" s="122"/>
      <c r="D902" s="122"/>
      <c r="E902" s="25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ht="24.75" customHeight="1">
      <c r="A903" s="122"/>
      <c r="B903" s="211"/>
      <c r="C903" s="122"/>
      <c r="D903" s="122"/>
      <c r="E903" s="25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ht="24.75" customHeight="1">
      <c r="A904" s="122"/>
      <c r="B904" s="211"/>
      <c r="C904" s="122"/>
      <c r="D904" s="122"/>
      <c r="E904" s="25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ht="24.75" customHeight="1">
      <c r="A905" s="122"/>
      <c r="B905" s="211"/>
      <c r="C905" s="122"/>
      <c r="D905" s="122"/>
      <c r="E905" s="25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ht="24.75" customHeight="1">
      <c r="A906" s="122"/>
      <c r="B906" s="211"/>
      <c r="C906" s="122"/>
      <c r="D906" s="122"/>
      <c r="E906" s="25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ht="24.75" customHeight="1">
      <c r="A907" s="122"/>
      <c r="B907" s="211"/>
      <c r="C907" s="122"/>
      <c r="D907" s="122"/>
      <c r="E907" s="25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ht="24.75" customHeight="1">
      <c r="A908" s="122"/>
      <c r="B908" s="211"/>
      <c r="C908" s="122"/>
      <c r="D908" s="122"/>
      <c r="E908" s="25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ht="24.75" customHeight="1">
      <c r="A909" s="122"/>
      <c r="B909" s="211"/>
      <c r="C909" s="122"/>
      <c r="D909" s="122"/>
      <c r="E909" s="25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ht="24.75" customHeight="1">
      <c r="A910" s="122"/>
      <c r="B910" s="211"/>
      <c r="C910" s="122"/>
      <c r="D910" s="122"/>
      <c r="E910" s="25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ht="24.75" customHeight="1">
      <c r="A911" s="122"/>
      <c r="B911" s="211"/>
      <c r="C911" s="122"/>
      <c r="D911" s="122"/>
      <c r="E911" s="25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ht="24.75" customHeight="1">
      <c r="A912" s="122"/>
      <c r="B912" s="211"/>
      <c r="C912" s="122"/>
      <c r="D912" s="122"/>
      <c r="E912" s="25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ht="24.75" customHeight="1">
      <c r="A913" s="122"/>
      <c r="B913" s="211"/>
      <c r="C913" s="122"/>
      <c r="D913" s="122"/>
      <c r="E913" s="25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ht="24.75" customHeight="1">
      <c r="A914" s="122"/>
      <c r="B914" s="211"/>
      <c r="C914" s="122"/>
      <c r="D914" s="122"/>
      <c r="E914" s="25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ht="24.75" customHeight="1">
      <c r="A915" s="122"/>
      <c r="B915" s="211"/>
      <c r="C915" s="122"/>
      <c r="D915" s="122"/>
      <c r="E915" s="25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ht="24.75" customHeight="1">
      <c r="A916" s="122"/>
      <c r="B916" s="211"/>
      <c r="C916" s="122"/>
      <c r="D916" s="122"/>
      <c r="E916" s="25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ht="24.75" customHeight="1">
      <c r="A917" s="122"/>
      <c r="B917" s="211"/>
      <c r="C917" s="122"/>
      <c r="D917" s="122"/>
      <c r="E917" s="25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ht="24.75" customHeight="1">
      <c r="A918" s="122"/>
      <c r="B918" s="211"/>
      <c r="C918" s="122"/>
      <c r="D918" s="122"/>
      <c r="E918" s="25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ht="24.75" customHeight="1">
      <c r="A919" s="122"/>
      <c r="B919" s="211"/>
      <c r="C919" s="122"/>
      <c r="D919" s="122"/>
      <c r="E919" s="25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ht="24.75" customHeight="1">
      <c r="A920" s="122"/>
      <c r="B920" s="211"/>
      <c r="C920" s="122"/>
      <c r="D920" s="122"/>
      <c r="E920" s="25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ht="24.75" customHeight="1">
      <c r="A921" s="122"/>
      <c r="B921" s="211"/>
      <c r="C921" s="122"/>
      <c r="D921" s="122"/>
      <c r="E921" s="25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ht="24.75" customHeight="1">
      <c r="A922" s="122"/>
      <c r="B922" s="211"/>
      <c r="C922" s="122"/>
      <c r="D922" s="122"/>
      <c r="E922" s="25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ht="24.75" customHeight="1">
      <c r="A923" s="122"/>
      <c r="B923" s="211"/>
      <c r="C923" s="122"/>
      <c r="D923" s="122"/>
      <c r="E923" s="25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ht="24.75" customHeight="1">
      <c r="A924" s="122"/>
      <c r="B924" s="211"/>
      <c r="C924" s="122"/>
      <c r="D924" s="122"/>
      <c r="E924" s="25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ht="24.75" customHeight="1">
      <c r="A925" s="122"/>
      <c r="B925" s="211"/>
      <c r="C925" s="122"/>
      <c r="D925" s="122"/>
      <c r="E925" s="25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ht="24.75" customHeight="1">
      <c r="A926" s="122"/>
      <c r="B926" s="211"/>
      <c r="C926" s="122"/>
      <c r="D926" s="122"/>
      <c r="E926" s="25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ht="24.75" customHeight="1">
      <c r="A927" s="122"/>
      <c r="B927" s="211"/>
      <c r="C927" s="122"/>
      <c r="D927" s="122"/>
      <c r="E927" s="25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ht="24.75" customHeight="1">
      <c r="A928" s="122"/>
      <c r="B928" s="211"/>
      <c r="C928" s="122"/>
      <c r="D928" s="122"/>
      <c r="E928" s="25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ht="24.75" customHeight="1">
      <c r="A929" s="122"/>
      <c r="B929" s="211"/>
      <c r="C929" s="122"/>
      <c r="D929" s="122"/>
      <c r="E929" s="25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ht="24.75" customHeight="1">
      <c r="A930" s="122"/>
      <c r="B930" s="211"/>
      <c r="C930" s="122"/>
      <c r="D930" s="122"/>
      <c r="E930" s="25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ht="24.75" customHeight="1">
      <c r="A931" s="122"/>
      <c r="B931" s="211"/>
      <c r="C931" s="122"/>
      <c r="D931" s="122"/>
      <c r="E931" s="25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ht="24.75" customHeight="1">
      <c r="A932" s="122"/>
      <c r="B932" s="211"/>
      <c r="C932" s="122"/>
      <c r="D932" s="122"/>
      <c r="E932" s="25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ht="24.75" customHeight="1">
      <c r="A933" s="122"/>
      <c r="B933" s="211"/>
      <c r="C933" s="122"/>
      <c r="D933" s="122"/>
      <c r="E933" s="25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ht="24.75" customHeight="1">
      <c r="A934" s="122"/>
      <c r="B934" s="211"/>
      <c r="C934" s="122"/>
      <c r="D934" s="122"/>
      <c r="E934" s="25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ht="24.75" customHeight="1">
      <c r="A935" s="122"/>
      <c r="B935" s="211"/>
      <c r="C935" s="122"/>
      <c r="D935" s="122"/>
      <c r="E935" s="25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ht="24.75" customHeight="1">
      <c r="A936" s="122"/>
      <c r="B936" s="211"/>
      <c r="C936" s="122"/>
      <c r="D936" s="122"/>
      <c r="E936" s="25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ht="24.75" customHeight="1">
      <c r="A937" s="122"/>
      <c r="B937" s="211"/>
      <c r="C937" s="122"/>
      <c r="D937" s="122"/>
      <c r="E937" s="25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ht="24.75" customHeight="1">
      <c r="A938" s="122"/>
      <c r="B938" s="211"/>
      <c r="C938" s="122"/>
      <c r="D938" s="122"/>
      <c r="E938" s="25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ht="24.75" customHeight="1">
      <c r="A939" s="122"/>
      <c r="B939" s="211"/>
      <c r="C939" s="122"/>
      <c r="D939" s="122"/>
      <c r="E939" s="25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ht="24.75" customHeight="1">
      <c r="A940" s="122"/>
      <c r="B940" s="211"/>
      <c r="C940" s="122"/>
      <c r="D940" s="122"/>
      <c r="E940" s="25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ht="24.75" customHeight="1">
      <c r="A941" s="122"/>
      <c r="B941" s="211"/>
      <c r="C941" s="122"/>
      <c r="D941" s="122"/>
      <c r="E941" s="25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ht="24.75" customHeight="1">
      <c r="A942" s="122"/>
      <c r="B942" s="211"/>
      <c r="C942" s="122"/>
      <c r="D942" s="122"/>
      <c r="E942" s="25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ht="24.75" customHeight="1">
      <c r="A943" s="122"/>
      <c r="B943" s="211"/>
      <c r="C943" s="122"/>
      <c r="D943" s="122"/>
      <c r="E943" s="25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ht="24.75" customHeight="1">
      <c r="A944" s="122"/>
      <c r="B944" s="211"/>
      <c r="C944" s="122"/>
      <c r="D944" s="122"/>
      <c r="E944" s="25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ht="24.75" customHeight="1">
      <c r="A945" s="122"/>
      <c r="B945" s="211"/>
      <c r="C945" s="122"/>
      <c r="D945" s="122"/>
      <c r="E945" s="25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ht="24.75" customHeight="1">
      <c r="A946" s="122"/>
      <c r="B946" s="211"/>
      <c r="C946" s="122"/>
      <c r="D946" s="122"/>
      <c r="E946" s="25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ht="24.75" customHeight="1">
      <c r="A947" s="122"/>
      <c r="B947" s="211"/>
      <c r="C947" s="122"/>
      <c r="D947" s="122"/>
      <c r="E947" s="25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ht="24.75" customHeight="1">
      <c r="A948" s="122"/>
      <c r="B948" s="211"/>
      <c r="C948" s="122"/>
      <c r="D948" s="122"/>
      <c r="E948" s="25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ht="24.75" customHeight="1">
      <c r="A949" s="122"/>
      <c r="B949" s="211"/>
      <c r="C949" s="122"/>
      <c r="D949" s="122"/>
      <c r="E949" s="25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ht="24.75" customHeight="1">
      <c r="A950" s="122"/>
      <c r="B950" s="211"/>
      <c r="C950" s="122"/>
      <c r="D950" s="122"/>
      <c r="E950" s="25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ht="24.75" customHeight="1">
      <c r="A951" s="122"/>
      <c r="B951" s="211"/>
      <c r="C951" s="122"/>
      <c r="D951" s="122"/>
      <c r="E951" s="25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ht="24.75" customHeight="1">
      <c r="A952" s="122"/>
      <c r="B952" s="211"/>
      <c r="C952" s="122"/>
      <c r="D952" s="122"/>
      <c r="E952" s="25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ht="24.75" customHeight="1">
      <c r="A953" s="122"/>
      <c r="B953" s="211"/>
      <c r="C953" s="122"/>
      <c r="D953" s="122"/>
      <c r="E953" s="25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ht="24.75" customHeight="1">
      <c r="A954" s="122"/>
      <c r="B954" s="211"/>
      <c r="C954" s="122"/>
      <c r="D954" s="122"/>
      <c r="E954" s="25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ht="24.75" customHeight="1">
      <c r="A955" s="122"/>
      <c r="B955" s="211"/>
      <c r="C955" s="122"/>
      <c r="D955" s="122"/>
      <c r="E955" s="25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ht="24.75" customHeight="1">
      <c r="A956" s="122"/>
      <c r="B956" s="211"/>
      <c r="C956" s="122"/>
      <c r="D956" s="122"/>
      <c r="E956" s="25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ht="24.75" customHeight="1">
      <c r="A957" s="122"/>
      <c r="B957" s="211"/>
      <c r="C957" s="122"/>
      <c r="D957" s="122"/>
      <c r="E957" s="25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ht="24.75" customHeight="1">
      <c r="A958" s="122"/>
      <c r="B958" s="211"/>
      <c r="C958" s="122"/>
      <c r="D958" s="122"/>
      <c r="E958" s="25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ht="24.75" customHeight="1">
      <c r="A959" s="122"/>
      <c r="B959" s="211"/>
      <c r="C959" s="122"/>
      <c r="D959" s="122"/>
      <c r="E959" s="25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ht="24.75" customHeight="1">
      <c r="A960" s="122"/>
      <c r="B960" s="211"/>
      <c r="C960" s="122"/>
      <c r="D960" s="122"/>
      <c r="E960" s="25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ht="24.75" customHeight="1">
      <c r="A961" s="122"/>
      <c r="B961" s="211"/>
      <c r="C961" s="122"/>
      <c r="D961" s="122"/>
      <c r="E961" s="25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ht="24.75" customHeight="1">
      <c r="A962" s="122"/>
      <c r="B962" s="211"/>
      <c r="C962" s="122"/>
      <c r="D962" s="122"/>
      <c r="E962" s="25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ht="24.75" customHeight="1">
      <c r="A963" s="122"/>
      <c r="B963" s="211"/>
      <c r="C963" s="122"/>
      <c r="D963" s="122"/>
      <c r="E963" s="25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ht="24.75" customHeight="1">
      <c r="A964" s="122"/>
      <c r="B964" s="211"/>
      <c r="C964" s="122"/>
      <c r="D964" s="122"/>
      <c r="E964" s="25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ht="24.75" customHeight="1">
      <c r="A965" s="122"/>
      <c r="B965" s="211"/>
      <c r="C965" s="122"/>
      <c r="D965" s="122"/>
      <c r="E965" s="25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ht="24.75" customHeight="1">
      <c r="A966" s="122"/>
      <c r="B966" s="211"/>
      <c r="C966" s="122"/>
      <c r="D966" s="122"/>
      <c r="E966" s="25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ht="24.75" customHeight="1">
      <c r="A967" s="122"/>
      <c r="B967" s="211"/>
      <c r="C967" s="122"/>
      <c r="D967" s="122"/>
      <c r="E967" s="25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ht="24.75" customHeight="1">
      <c r="A968" s="122"/>
      <c r="B968" s="211"/>
      <c r="C968" s="122"/>
      <c r="D968" s="122"/>
      <c r="E968" s="25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ht="24.75" customHeight="1">
      <c r="A969" s="122"/>
      <c r="B969" s="211"/>
      <c r="C969" s="122"/>
      <c r="D969" s="122"/>
      <c r="E969" s="25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ht="24.75" customHeight="1">
      <c r="A970" s="122"/>
      <c r="B970" s="211"/>
      <c r="C970" s="122"/>
      <c r="D970" s="122"/>
      <c r="E970" s="25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ht="24.75" customHeight="1">
      <c r="A971" s="122"/>
      <c r="B971" s="211"/>
      <c r="C971" s="122"/>
      <c r="D971" s="122"/>
      <c r="E971" s="25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ht="24.75" customHeight="1">
      <c r="A972" s="122"/>
      <c r="B972" s="211"/>
      <c r="C972" s="122"/>
      <c r="D972" s="122"/>
      <c r="E972" s="25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ht="24.75" customHeight="1">
      <c r="A973" s="122"/>
      <c r="B973" s="211"/>
      <c r="C973" s="122"/>
      <c r="D973" s="122"/>
      <c r="E973" s="25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ht="24.75" customHeight="1">
      <c r="A974" s="122"/>
      <c r="B974" s="211"/>
      <c r="C974" s="122"/>
      <c r="D974" s="122"/>
      <c r="E974" s="25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ht="24.75" customHeight="1">
      <c r="A975" s="122"/>
      <c r="B975" s="211"/>
      <c r="C975" s="122"/>
      <c r="D975" s="122"/>
      <c r="E975" s="25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ht="24.75" customHeight="1">
      <c r="A976" s="122"/>
      <c r="B976" s="211"/>
      <c r="C976" s="122"/>
      <c r="D976" s="122"/>
      <c r="E976" s="25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ht="24.75" customHeight="1">
      <c r="A977" s="122"/>
      <c r="B977" s="211"/>
      <c r="C977" s="122"/>
      <c r="D977" s="122"/>
      <c r="E977" s="25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ht="24.75" customHeight="1">
      <c r="A978" s="122"/>
      <c r="B978" s="211"/>
      <c r="C978" s="122"/>
      <c r="D978" s="122"/>
      <c r="E978" s="25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ht="24.75" customHeight="1">
      <c r="A979" s="122"/>
      <c r="B979" s="211"/>
      <c r="C979" s="122"/>
      <c r="D979" s="122"/>
      <c r="E979" s="25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ht="24.75" customHeight="1">
      <c r="A980" s="122"/>
      <c r="B980" s="211"/>
      <c r="C980" s="122"/>
      <c r="D980" s="122"/>
      <c r="E980" s="25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ht="24.75" customHeight="1">
      <c r="A981" s="122"/>
      <c r="B981" s="211"/>
      <c r="C981" s="122"/>
      <c r="D981" s="122"/>
      <c r="E981" s="25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ht="24.75" customHeight="1">
      <c r="A982" s="122"/>
      <c r="B982" s="211"/>
      <c r="C982" s="122"/>
      <c r="D982" s="122"/>
      <c r="E982" s="25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ht="24.75" customHeight="1">
      <c r="A983" s="122"/>
      <c r="B983" s="211"/>
      <c r="C983" s="122"/>
      <c r="D983" s="122"/>
      <c r="E983" s="25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ht="24.75" customHeight="1">
      <c r="A984" s="122"/>
      <c r="B984" s="211"/>
      <c r="C984" s="122"/>
      <c r="D984" s="122"/>
      <c r="E984" s="25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ht="24.75" customHeight="1">
      <c r="A985" s="122"/>
      <c r="B985" s="211"/>
      <c r="C985" s="122"/>
      <c r="D985" s="122"/>
      <c r="E985" s="25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ht="24.75" customHeight="1">
      <c r="A986" s="122"/>
      <c r="B986" s="211"/>
      <c r="C986" s="122"/>
      <c r="D986" s="122"/>
      <c r="E986" s="25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ht="24.75" customHeight="1">
      <c r="A987" s="122"/>
      <c r="B987" s="211"/>
      <c r="C987" s="122"/>
      <c r="D987" s="122"/>
      <c r="E987" s="25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ht="24.75" customHeight="1">
      <c r="A988" s="122"/>
      <c r="B988" s="211"/>
      <c r="C988" s="122"/>
      <c r="D988" s="122"/>
      <c r="E988" s="25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ht="24.75" customHeight="1">
      <c r="A989" s="122"/>
      <c r="B989" s="211"/>
      <c r="C989" s="122"/>
      <c r="D989" s="122"/>
      <c r="E989" s="25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ht="24.75" customHeight="1">
      <c r="A990" s="122"/>
      <c r="B990" s="211"/>
      <c r="C990" s="122"/>
      <c r="D990" s="122"/>
      <c r="E990" s="25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ht="24.75" customHeight="1">
      <c r="A991" s="122"/>
      <c r="B991" s="211"/>
      <c r="C991" s="122"/>
      <c r="D991" s="122"/>
      <c r="E991" s="25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ht="24.75" customHeight="1">
      <c r="A992" s="122"/>
      <c r="B992" s="211"/>
      <c r="C992" s="122"/>
      <c r="D992" s="122"/>
      <c r="E992" s="25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ht="24.75" customHeight="1">
      <c r="A993" s="122"/>
      <c r="B993" s="211"/>
      <c r="C993" s="122"/>
      <c r="D993" s="122"/>
      <c r="E993" s="25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ht="24.75" customHeight="1">
      <c r="A994" s="122"/>
      <c r="B994" s="211"/>
      <c r="C994" s="122"/>
      <c r="D994" s="122"/>
      <c r="E994" s="25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ht="24.75" customHeight="1">
      <c r="A995" s="122"/>
      <c r="B995" s="211"/>
      <c r="C995" s="122"/>
      <c r="D995" s="122"/>
      <c r="E995" s="25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ht="24.75" customHeight="1">
      <c r="A996" s="122"/>
      <c r="B996" s="211"/>
      <c r="C996" s="122"/>
      <c r="D996" s="122"/>
      <c r="E996" s="25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ht="24.75" customHeight="1">
      <c r="A997" s="122"/>
      <c r="B997" s="211"/>
      <c r="C997" s="122"/>
      <c r="D997" s="122"/>
      <c r="E997" s="25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ht="24.75" customHeight="1">
      <c r="A998" s="122"/>
      <c r="B998" s="211"/>
      <c r="C998" s="122"/>
      <c r="D998" s="122"/>
      <c r="E998" s="25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ht="24.75" customHeight="1">
      <c r="A999" s="122"/>
      <c r="B999" s="211"/>
      <c r="C999" s="122"/>
      <c r="D999" s="122"/>
      <c r="E999" s="25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ht="24.75" customHeight="1">
      <c r="A1000" s="122"/>
      <c r="B1000" s="211"/>
      <c r="C1000" s="122"/>
      <c r="D1000" s="122"/>
      <c r="E1000" s="25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</sheetData>
  <mergeCells count="61">
    <mergeCell ref="J101:J103"/>
    <mergeCell ref="K101:K103"/>
    <mergeCell ref="C127:D127"/>
    <mergeCell ref="C128:D128"/>
    <mergeCell ref="C129:D129"/>
    <mergeCell ref="C130:D130"/>
    <mergeCell ref="C139:D139"/>
    <mergeCell ref="L101:L103"/>
    <mergeCell ref="M101:M103"/>
    <mergeCell ref="C75:D75"/>
    <mergeCell ref="C82:D82"/>
    <mergeCell ref="C97:D97"/>
    <mergeCell ref="E100:M100"/>
    <mergeCell ref="E101:E103"/>
    <mergeCell ref="F101:F103"/>
    <mergeCell ref="I101:I103"/>
    <mergeCell ref="E104:F104"/>
    <mergeCell ref="C8:D8"/>
    <mergeCell ref="L8:Q8"/>
    <mergeCell ref="B1:B2"/>
    <mergeCell ref="C1:D2"/>
    <mergeCell ref="B3:D3"/>
    <mergeCell ref="C4:D4"/>
    <mergeCell ref="C5:D5"/>
    <mergeCell ref="C6:D6"/>
    <mergeCell ref="C7:D7"/>
    <mergeCell ref="C9:D9"/>
    <mergeCell ref="C13:D13"/>
    <mergeCell ref="C14:D14"/>
    <mergeCell ref="K14:R14"/>
    <mergeCell ref="C15:D15"/>
    <mergeCell ref="C16:D16"/>
    <mergeCell ref="C17:D17"/>
    <mergeCell ref="C18:D18"/>
    <mergeCell ref="C19:D19"/>
    <mergeCell ref="C21:D21"/>
    <mergeCell ref="C22:D22"/>
    <mergeCell ref="C23:D23"/>
    <mergeCell ref="C24:D24"/>
    <mergeCell ref="C25:D25"/>
    <mergeCell ref="C26:D26"/>
    <mergeCell ref="C29:D29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59:D59"/>
    <mergeCell ref="C60:D60"/>
    <mergeCell ref="C63:D63"/>
    <mergeCell ref="C64:D64"/>
    <mergeCell ref="C65:D65"/>
    <mergeCell ref="C67:D67"/>
    <mergeCell ref="C69:D69"/>
    <mergeCell ref="C71:D71"/>
    <mergeCell ref="C73:D73"/>
    <mergeCell ref="C74:D7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2020-12-02T14:54:14Z</dcterms:created>
  <dc:creator>patricia</dc:creator>
</cp:coreProperties>
</file>